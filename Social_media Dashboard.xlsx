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72f243d02ff5658a/Desktop/"/>
    </mc:Choice>
  </mc:AlternateContent>
  <xr:revisionPtr revIDLastSave="0" documentId="14_{26F7C0A1-08C2-4D4B-A02A-615295392A01}" xr6:coauthVersionLast="47" xr6:coauthVersionMax="47" xr10:uidLastSave="{00000000-0000-0000-0000-000000000000}"/>
  <bookViews>
    <workbookView xWindow="-108" yWindow="-108" windowWidth="23256" windowHeight="12456" activeTab="2" xr2:uid="{E552BAE5-EE88-494C-9B6B-752C3F4F2476}"/>
  </bookViews>
  <sheets>
    <sheet name="Teen_Mental_Health_Dataset" sheetId="1" r:id="rId1"/>
    <sheet name="Sheet1" sheetId="4" r:id="rId2"/>
    <sheet name="Dashboard" sheetId="2" r:id="rId3"/>
  </sheets>
  <definedNames>
    <definedName name="Slicer_platform_usage">#N/A</definedName>
    <definedName name="Slicer_social_interaction_level">#N/A</definedName>
    <definedName name="Slicer_teenage_adul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a="1"/>
  <c r="J4" i="1" a="1"/>
  <c r="J5" i="1" a="1"/>
  <c r="J6" i="1" a="1"/>
  <c r="J7" i="1" a="1"/>
  <c r="J8" i="1" a="1"/>
  <c r="J9" i="1" a="1"/>
  <c r="J10" i="1" a="1"/>
  <c r="J11" i="1" a="1"/>
  <c r="J12" i="1" a="1"/>
  <c r="J13" i="1" a="1"/>
  <c r="J14" i="1" a="1"/>
  <c r="J15" i="1" a="1"/>
  <c r="J16" i="1" a="1"/>
  <c r="J17" i="1" a="1"/>
  <c r="J18" i="1" a="1"/>
  <c r="J19" i="1" a="1"/>
  <c r="J20" i="1" a="1"/>
  <c r="J21" i="1" a="1"/>
  <c r="J22" i="1" a="1"/>
  <c r="J23" i="1" a="1"/>
  <c r="J24" i="1" a="1"/>
  <c r="J25" i="1" a="1"/>
  <c r="J26" i="1" a="1"/>
  <c r="J27" i="1" a="1"/>
  <c r="J28" i="1" a="1"/>
  <c r="J29" i="1" a="1"/>
  <c r="J30" i="1" a="1"/>
  <c r="J31" i="1" a="1"/>
  <c r="J32" i="1" a="1"/>
  <c r="J33" i="1" a="1"/>
  <c r="J34" i="1" a="1"/>
  <c r="J35" i="1" a="1"/>
  <c r="J36" i="1" a="1"/>
  <c r="J37" i="1" a="1"/>
  <c r="J38" i="1" a="1"/>
  <c r="J39" i="1" a="1"/>
  <c r="J40" i="1" a="1"/>
  <c r="J41" i="1" a="1"/>
  <c r="J42" i="1" a="1"/>
  <c r="J43" i="1" a="1"/>
  <c r="J44" i="1" a="1"/>
  <c r="J45" i="1" a="1"/>
  <c r="J46" i="1" a="1"/>
  <c r="J47" i="1" a="1"/>
  <c r="J48" i="1" a="1"/>
  <c r="J49" i="1" a="1"/>
  <c r="J50" i="1" a="1"/>
  <c r="J51" i="1" a="1"/>
  <c r="J52" i="1" a="1"/>
  <c r="J53" i="1" a="1"/>
  <c r="J54" i="1" a="1"/>
  <c r="J55" i="1" a="1"/>
  <c r="J56" i="1" a="1"/>
  <c r="J57" i="1" a="1"/>
  <c r="J58" i="1" a="1"/>
  <c r="J59" i="1" a="1"/>
  <c r="J60" i="1" a="1"/>
  <c r="J61" i="1" a="1"/>
  <c r="J62" i="1" a="1"/>
  <c r="J63" i="1" a="1"/>
  <c r="J64" i="1" a="1"/>
  <c r="J65" i="1" a="1"/>
  <c r="J66" i="1" a="1"/>
  <c r="J67" i="1" a="1"/>
  <c r="J68" i="1" a="1"/>
  <c r="J69" i="1" a="1"/>
  <c r="J70" i="1" a="1"/>
  <c r="J71" i="1" a="1"/>
  <c r="J72" i="1" a="1"/>
  <c r="J73" i="1" a="1"/>
  <c r="J74" i="1" a="1"/>
  <c r="J75" i="1" a="1"/>
  <c r="J76" i="1" a="1"/>
  <c r="J77" i="1" a="1"/>
  <c r="J78" i="1" a="1"/>
  <c r="J79" i="1" a="1"/>
  <c r="J80" i="1" a="1"/>
  <c r="J81" i="1" a="1"/>
  <c r="J82" i="1" a="1"/>
  <c r="J83" i="1" a="1"/>
  <c r="J84" i="1" a="1"/>
  <c r="J85" i="1" a="1"/>
  <c r="J86" i="1" a="1"/>
  <c r="J87" i="1" a="1"/>
  <c r="J88" i="1" a="1"/>
  <c r="J89" i="1" a="1"/>
  <c r="J90" i="1" a="1"/>
  <c r="J91" i="1" a="1"/>
  <c r="J92" i="1" a="1"/>
  <c r="J93" i="1" a="1"/>
  <c r="J94" i="1" a="1"/>
  <c r="J95" i="1" a="1"/>
  <c r="J96" i="1" a="1"/>
  <c r="J97" i="1" a="1"/>
  <c r="J98" i="1" a="1"/>
  <c r="J99" i="1" a="1"/>
  <c r="J100" i="1" a="1"/>
  <c r="J101" i="1" a="1"/>
  <c r="J102" i="1" a="1"/>
  <c r="J103" i="1" a="1"/>
  <c r="J104" i="1" a="1"/>
  <c r="J105" i="1" a="1"/>
  <c r="J106" i="1" a="1"/>
  <c r="J107" i="1" a="1"/>
  <c r="J108" i="1" a="1"/>
  <c r="J109" i="1" a="1"/>
  <c r="J110" i="1" a="1"/>
  <c r="J111" i="1" a="1"/>
  <c r="J112" i="1" a="1"/>
  <c r="J113" i="1" a="1"/>
  <c r="J114" i="1" a="1"/>
  <c r="J115" i="1" a="1"/>
  <c r="J116" i="1" a="1"/>
  <c r="J117" i="1" a="1"/>
  <c r="J118" i="1" a="1"/>
  <c r="J119" i="1" a="1"/>
  <c r="J120" i="1" a="1"/>
  <c r="J121" i="1" a="1"/>
  <c r="J122" i="1" a="1"/>
  <c r="J123" i="1" a="1"/>
  <c r="J124" i="1" a="1"/>
  <c r="J125" i="1" a="1"/>
  <c r="J126" i="1" a="1"/>
  <c r="J127" i="1" a="1"/>
  <c r="J128" i="1" a="1"/>
  <c r="J129" i="1" a="1"/>
  <c r="J130" i="1" a="1"/>
  <c r="J131" i="1" a="1"/>
  <c r="J132" i="1" a="1"/>
  <c r="J133" i="1" a="1"/>
  <c r="J134" i="1" a="1"/>
  <c r="J135" i="1" a="1"/>
  <c r="J136" i="1" a="1"/>
  <c r="J137" i="1" a="1"/>
  <c r="J138" i="1" a="1"/>
  <c r="J139" i="1" a="1"/>
  <c r="J140" i="1" a="1"/>
  <c r="J141" i="1" a="1"/>
  <c r="J142" i="1" a="1"/>
  <c r="J143" i="1" a="1"/>
  <c r="J144" i="1" a="1"/>
  <c r="J145" i="1" a="1"/>
  <c r="J146" i="1" a="1"/>
  <c r="J147" i="1" a="1"/>
  <c r="J148" i="1" a="1"/>
  <c r="J149" i="1" a="1"/>
  <c r="J150" i="1" a="1"/>
  <c r="J151" i="1" a="1"/>
  <c r="J152" i="1" a="1"/>
  <c r="J153" i="1" a="1"/>
  <c r="J154" i="1" a="1"/>
  <c r="J155" i="1" a="1"/>
  <c r="J156" i="1" a="1"/>
  <c r="J157" i="1" a="1"/>
  <c r="J158" i="1" a="1"/>
  <c r="J159" i="1" a="1"/>
  <c r="J160" i="1" a="1"/>
  <c r="J161" i="1" a="1"/>
  <c r="J162" i="1" a="1"/>
  <c r="J163" i="1" a="1"/>
  <c r="J164" i="1" a="1"/>
  <c r="J165" i="1" a="1"/>
  <c r="J166" i="1" a="1"/>
  <c r="J167" i="1" a="1"/>
  <c r="J168" i="1" a="1"/>
  <c r="J169" i="1" a="1"/>
  <c r="J170" i="1" a="1"/>
  <c r="J171" i="1" a="1"/>
  <c r="J172" i="1" a="1"/>
  <c r="J173" i="1" a="1"/>
  <c r="J174" i="1" a="1"/>
  <c r="J175" i="1" a="1"/>
  <c r="J176" i="1" a="1"/>
  <c r="J177" i="1" a="1"/>
  <c r="J178" i="1" a="1"/>
  <c r="J179" i="1" a="1"/>
  <c r="J180" i="1" a="1"/>
  <c r="J181" i="1" a="1"/>
  <c r="J182" i="1" a="1"/>
  <c r="J183" i="1" a="1"/>
  <c r="J184" i="1" a="1"/>
  <c r="J185" i="1" a="1"/>
  <c r="J186" i="1" a="1"/>
  <c r="J187" i="1" a="1"/>
  <c r="J188" i="1" a="1"/>
  <c r="J189" i="1" a="1"/>
  <c r="J190" i="1" a="1"/>
  <c r="J191" i="1" a="1"/>
  <c r="J192" i="1" a="1"/>
  <c r="J193" i="1" a="1"/>
  <c r="J194" i="1" a="1"/>
  <c r="J195" i="1" a="1"/>
  <c r="J196" i="1" a="1"/>
  <c r="J197" i="1" a="1"/>
  <c r="J198" i="1" a="1"/>
  <c r="J199" i="1" a="1"/>
  <c r="J200" i="1" a="1"/>
  <c r="J201" i="1" a="1"/>
  <c r="J202" i="1" a="1"/>
  <c r="J203" i="1" a="1"/>
  <c r="J204" i="1" a="1"/>
  <c r="J205" i="1" a="1"/>
  <c r="J206" i="1" a="1"/>
  <c r="J207" i="1" a="1"/>
  <c r="J208" i="1" a="1"/>
  <c r="J209" i="1" a="1"/>
  <c r="J210" i="1" a="1"/>
  <c r="J211" i="1" a="1"/>
  <c r="J212" i="1" a="1"/>
  <c r="J213" i="1" a="1"/>
  <c r="J214" i="1" a="1"/>
  <c r="J215" i="1" a="1"/>
  <c r="J216" i="1" a="1"/>
  <c r="J217" i="1" a="1"/>
  <c r="J218" i="1" a="1"/>
  <c r="J219" i="1" a="1"/>
  <c r="J220" i="1" a="1"/>
  <c r="J221" i="1" a="1"/>
  <c r="J222" i="1" a="1"/>
  <c r="J223" i="1" a="1"/>
  <c r="J224" i="1" a="1"/>
  <c r="J225" i="1" a="1"/>
  <c r="J226" i="1" a="1"/>
  <c r="J227" i="1" a="1"/>
  <c r="J228" i="1" a="1"/>
  <c r="J229" i="1" a="1"/>
  <c r="J230" i="1" a="1"/>
  <c r="J231" i="1" a="1"/>
  <c r="J232" i="1" a="1"/>
  <c r="J233" i="1" a="1"/>
  <c r="J234" i="1" a="1"/>
  <c r="J235" i="1" a="1"/>
  <c r="J236" i="1" a="1"/>
  <c r="J237" i="1" a="1"/>
  <c r="J238" i="1" a="1"/>
  <c r="J239" i="1" a="1"/>
  <c r="J240" i="1" a="1"/>
  <c r="J241" i="1" a="1"/>
  <c r="J242" i="1" a="1"/>
  <c r="J243" i="1" a="1"/>
  <c r="J244" i="1" a="1"/>
  <c r="J245" i="1" a="1"/>
  <c r="J246" i="1" a="1"/>
  <c r="J247" i="1" a="1"/>
  <c r="J248" i="1" a="1"/>
  <c r="J249" i="1" a="1"/>
  <c r="J250" i="1" a="1"/>
  <c r="J251" i="1" a="1"/>
  <c r="J252" i="1" a="1"/>
  <c r="J253" i="1" a="1"/>
  <c r="J254" i="1" a="1"/>
  <c r="J255" i="1" a="1"/>
  <c r="J256" i="1" a="1"/>
  <c r="J257" i="1" a="1"/>
  <c r="J258" i="1" a="1"/>
  <c r="J259" i="1" a="1"/>
  <c r="J260" i="1" a="1"/>
  <c r="J261" i="1" a="1"/>
  <c r="J262" i="1" a="1"/>
  <c r="J263" i="1" a="1"/>
  <c r="J264" i="1" a="1"/>
  <c r="J265" i="1" a="1"/>
  <c r="J266" i="1" a="1"/>
  <c r="J267" i="1" a="1"/>
  <c r="J268" i="1" a="1"/>
  <c r="J269" i="1" a="1"/>
  <c r="J270" i="1" a="1"/>
  <c r="J271" i="1" a="1"/>
  <c r="J272" i="1" a="1"/>
  <c r="J273" i="1" a="1"/>
  <c r="J274" i="1" a="1"/>
  <c r="J275" i="1" a="1"/>
  <c r="J276" i="1" a="1"/>
  <c r="J277" i="1" a="1"/>
  <c r="J278" i="1" a="1"/>
  <c r="J279" i="1" a="1"/>
  <c r="J280" i="1" a="1"/>
  <c r="J281" i="1" a="1"/>
  <c r="J282" i="1" a="1"/>
  <c r="J283" i="1" a="1"/>
  <c r="J284" i="1" a="1"/>
  <c r="J285" i="1" a="1"/>
  <c r="J286" i="1" a="1"/>
  <c r="J287" i="1" a="1"/>
  <c r="J288" i="1" a="1"/>
  <c r="J289" i="1" a="1"/>
  <c r="J290" i="1" a="1"/>
  <c r="J291" i="1" a="1"/>
  <c r="J292" i="1" a="1"/>
  <c r="J293" i="1" a="1"/>
  <c r="J294" i="1" a="1"/>
  <c r="J295" i="1" a="1"/>
  <c r="J296" i="1" a="1"/>
  <c r="J297" i="1" a="1"/>
  <c r="J298" i="1" a="1"/>
  <c r="J299" i="1" a="1"/>
  <c r="J300" i="1" a="1"/>
  <c r="J301" i="1" a="1"/>
  <c r="J302" i="1" a="1"/>
  <c r="J303" i="1" a="1"/>
  <c r="J304" i="1" a="1"/>
  <c r="J305" i="1" a="1"/>
  <c r="J306" i="1" a="1"/>
  <c r="J307" i="1" a="1"/>
  <c r="J308" i="1" a="1"/>
  <c r="J309" i="1" a="1"/>
  <c r="J310" i="1" a="1"/>
  <c r="J311" i="1" a="1"/>
  <c r="J312" i="1" a="1"/>
  <c r="J313" i="1" a="1"/>
  <c r="J314" i="1" a="1"/>
  <c r="J315" i="1" a="1"/>
  <c r="J316" i="1" a="1"/>
  <c r="J317" i="1" a="1"/>
  <c r="J318" i="1" a="1"/>
  <c r="J319" i="1" a="1"/>
  <c r="J320" i="1" a="1"/>
  <c r="J321" i="1" a="1"/>
  <c r="J322" i="1" a="1"/>
  <c r="J323" i="1" a="1"/>
  <c r="J324" i="1" a="1"/>
  <c r="J325" i="1" a="1"/>
  <c r="J326" i="1" a="1"/>
  <c r="J327" i="1" a="1"/>
  <c r="J328" i="1" a="1"/>
  <c r="J329" i="1" a="1"/>
  <c r="J330" i="1" a="1"/>
  <c r="J331" i="1" a="1"/>
  <c r="J332" i="1" a="1"/>
  <c r="J333" i="1" a="1"/>
  <c r="J334" i="1" a="1"/>
  <c r="J335" i="1" a="1"/>
  <c r="J336" i="1" a="1"/>
  <c r="J337" i="1" a="1"/>
  <c r="J338" i="1" a="1"/>
  <c r="J339" i="1" a="1"/>
  <c r="J340" i="1" a="1"/>
  <c r="J341" i="1" a="1"/>
  <c r="J342" i="1" a="1"/>
  <c r="J343" i="1" a="1"/>
  <c r="J344" i="1" a="1"/>
  <c r="J345" i="1" a="1"/>
  <c r="J346" i="1" a="1"/>
  <c r="J347" i="1" a="1"/>
  <c r="J348" i="1" a="1"/>
  <c r="J349" i="1" a="1"/>
  <c r="J350" i="1" a="1"/>
  <c r="J351" i="1" a="1"/>
  <c r="J352" i="1" a="1"/>
  <c r="J353" i="1" a="1"/>
  <c r="J354" i="1" a="1"/>
  <c r="J355" i="1" a="1"/>
  <c r="J356" i="1" a="1"/>
  <c r="J357" i="1" a="1"/>
  <c r="J358" i="1" a="1"/>
  <c r="J359" i="1" a="1"/>
  <c r="J360" i="1" a="1"/>
  <c r="J361" i="1" a="1"/>
  <c r="J362" i="1" a="1"/>
  <c r="J363" i="1" a="1"/>
  <c r="J364" i="1" a="1"/>
  <c r="J365" i="1" a="1"/>
  <c r="J366" i="1" a="1"/>
  <c r="J367" i="1" a="1"/>
  <c r="J368" i="1" a="1"/>
  <c r="J369" i="1" a="1"/>
  <c r="J370" i="1" a="1"/>
  <c r="J371" i="1" a="1"/>
  <c r="J372" i="1" a="1"/>
  <c r="J373" i="1" a="1"/>
  <c r="J374" i="1" a="1"/>
  <c r="J375" i="1" a="1"/>
  <c r="J376" i="1" a="1"/>
  <c r="J377" i="1" a="1"/>
  <c r="J378" i="1" a="1"/>
  <c r="J379" i="1" a="1"/>
  <c r="J380" i="1" a="1"/>
  <c r="J381" i="1" a="1"/>
  <c r="J382" i="1" a="1"/>
  <c r="J383" i="1" a="1"/>
  <c r="J384" i="1" a="1"/>
  <c r="J385" i="1" a="1"/>
  <c r="J386" i="1" a="1"/>
  <c r="J387" i="1" a="1"/>
  <c r="J388" i="1" a="1"/>
  <c r="J389" i="1" a="1"/>
  <c r="J390" i="1" a="1"/>
  <c r="J391" i="1" a="1"/>
  <c r="J392" i="1" a="1"/>
  <c r="J393" i="1" a="1"/>
  <c r="J394" i="1" a="1"/>
  <c r="J395" i="1" a="1"/>
  <c r="J396" i="1" a="1"/>
  <c r="J397" i="1" a="1"/>
  <c r="J398" i="1" a="1"/>
  <c r="J399" i="1" a="1"/>
  <c r="J400" i="1" a="1"/>
  <c r="J401" i="1" a="1"/>
  <c r="J402" i="1" a="1"/>
  <c r="J403" i="1" a="1"/>
  <c r="J404" i="1" a="1"/>
  <c r="J405" i="1" a="1"/>
  <c r="J406" i="1" a="1"/>
  <c r="J407" i="1" a="1"/>
  <c r="J408" i="1" a="1"/>
  <c r="J409" i="1" a="1"/>
  <c r="J410" i="1" a="1"/>
  <c r="J411" i="1" a="1"/>
  <c r="J412" i="1" a="1"/>
  <c r="J413" i="1" a="1"/>
  <c r="J414" i="1" a="1"/>
  <c r="J415" i="1" a="1"/>
  <c r="J416" i="1" a="1"/>
  <c r="J417" i="1" a="1"/>
  <c r="J418" i="1" a="1"/>
  <c r="J419" i="1" a="1"/>
  <c r="J420" i="1" a="1"/>
  <c r="J421" i="1" a="1"/>
  <c r="J422" i="1" a="1"/>
  <c r="J423" i="1" a="1"/>
  <c r="J424" i="1" a="1"/>
  <c r="J425" i="1" a="1"/>
  <c r="J426" i="1" a="1"/>
  <c r="J427" i="1" a="1"/>
  <c r="J428" i="1" a="1"/>
  <c r="J429" i="1" a="1"/>
  <c r="J430" i="1" a="1"/>
  <c r="J431" i="1" a="1"/>
  <c r="J432" i="1" a="1"/>
  <c r="J433" i="1" a="1"/>
  <c r="J434" i="1" a="1"/>
  <c r="J435" i="1" a="1"/>
  <c r="J436" i="1" a="1"/>
  <c r="J437" i="1" a="1"/>
  <c r="J438" i="1" a="1"/>
  <c r="J439" i="1" a="1"/>
  <c r="J440" i="1" a="1"/>
  <c r="J441" i="1" a="1"/>
  <c r="J442" i="1" a="1"/>
  <c r="J443" i="1" a="1"/>
  <c r="J444" i="1" a="1"/>
  <c r="J445" i="1" a="1"/>
  <c r="J446" i="1" a="1"/>
  <c r="J447" i="1" a="1"/>
  <c r="J448" i="1" a="1"/>
  <c r="J449" i="1" a="1"/>
  <c r="J450" i="1" a="1"/>
  <c r="J451" i="1" a="1"/>
  <c r="J452" i="1" a="1"/>
  <c r="J453" i="1" a="1"/>
  <c r="J454" i="1" a="1"/>
  <c r="J455" i="1" a="1"/>
  <c r="J456" i="1" a="1"/>
  <c r="J457" i="1" a="1"/>
  <c r="J458" i="1" a="1"/>
  <c r="J459" i="1" a="1"/>
  <c r="J460" i="1" a="1"/>
  <c r="J461" i="1" a="1"/>
  <c r="J462" i="1" a="1"/>
  <c r="J463" i="1" a="1"/>
  <c r="J464" i="1" a="1"/>
  <c r="J465" i="1" a="1"/>
  <c r="J466" i="1" a="1"/>
  <c r="J467" i="1" a="1"/>
  <c r="J468" i="1" a="1"/>
  <c r="J469" i="1" a="1"/>
  <c r="J470" i="1" a="1"/>
  <c r="J471" i="1" a="1"/>
  <c r="J472" i="1" a="1"/>
  <c r="J473" i="1" a="1"/>
  <c r="J474" i="1" a="1"/>
  <c r="J475" i="1" a="1"/>
  <c r="J476" i="1" a="1"/>
  <c r="J477" i="1" a="1"/>
  <c r="J478" i="1" a="1"/>
  <c r="J479" i="1" a="1"/>
  <c r="J480" i="1" a="1"/>
  <c r="J481" i="1" a="1"/>
  <c r="J482" i="1" a="1"/>
  <c r="J483" i="1" a="1"/>
  <c r="J484" i="1" a="1"/>
  <c r="J485" i="1" a="1"/>
  <c r="J486" i="1" a="1"/>
  <c r="J487" i="1" a="1"/>
  <c r="J488" i="1" a="1"/>
  <c r="J489" i="1" a="1"/>
  <c r="J490" i="1" a="1"/>
  <c r="J491" i="1" a="1"/>
  <c r="J492" i="1" a="1"/>
  <c r="J493" i="1" a="1"/>
  <c r="J494" i="1" a="1"/>
  <c r="J495" i="1" a="1"/>
  <c r="J496" i="1" a="1"/>
  <c r="J497" i="1" a="1"/>
  <c r="J498" i="1" a="1"/>
  <c r="J499" i="1" a="1"/>
  <c r="J500" i="1" a="1"/>
  <c r="J501" i="1" a="1"/>
  <c r="J502" i="1" a="1"/>
  <c r="J503" i="1" a="1"/>
  <c r="J504" i="1" a="1"/>
  <c r="J505" i="1" a="1"/>
  <c r="J506" i="1" a="1"/>
  <c r="J507" i="1" a="1"/>
  <c r="J508" i="1" a="1"/>
  <c r="J509" i="1" a="1"/>
  <c r="J510" i="1" a="1"/>
  <c r="J511" i="1" a="1"/>
  <c r="J512" i="1" a="1"/>
  <c r="J513" i="1" a="1"/>
  <c r="J514" i="1" a="1"/>
  <c r="J515" i="1" a="1"/>
  <c r="J516" i="1" a="1"/>
  <c r="J517" i="1" a="1"/>
  <c r="J518" i="1" a="1"/>
  <c r="J519" i="1" a="1"/>
  <c r="J520" i="1" a="1"/>
  <c r="J521" i="1" a="1"/>
  <c r="J522" i="1" a="1"/>
  <c r="J523" i="1" a="1"/>
  <c r="J524" i="1" a="1"/>
  <c r="J525" i="1" a="1"/>
  <c r="J526" i="1" a="1"/>
  <c r="J527" i="1" a="1"/>
  <c r="J528" i="1" a="1"/>
  <c r="J529" i="1" a="1"/>
  <c r="J530" i="1" a="1"/>
  <c r="J531" i="1" a="1"/>
  <c r="J532" i="1" a="1"/>
  <c r="J533" i="1" a="1"/>
  <c r="J534" i="1" a="1"/>
  <c r="J535" i="1" a="1"/>
  <c r="J536" i="1" a="1"/>
  <c r="J537" i="1" a="1"/>
  <c r="J538" i="1" a="1"/>
  <c r="J539" i="1" a="1"/>
  <c r="J540" i="1" a="1"/>
  <c r="J541" i="1" a="1"/>
  <c r="J542" i="1" a="1"/>
  <c r="J543" i="1" a="1"/>
  <c r="J544" i="1" a="1"/>
  <c r="J545" i="1" a="1"/>
  <c r="J546" i="1" a="1"/>
  <c r="J547" i="1" a="1"/>
  <c r="J548" i="1" a="1"/>
  <c r="J549" i="1" a="1"/>
  <c r="J550" i="1" a="1"/>
  <c r="J551" i="1" a="1"/>
  <c r="J552" i="1" a="1"/>
  <c r="J553" i="1" a="1"/>
  <c r="J554" i="1" a="1"/>
  <c r="J555" i="1" a="1"/>
  <c r="J556" i="1" a="1"/>
  <c r="J557" i="1" a="1"/>
  <c r="J558" i="1" a="1"/>
  <c r="J559" i="1" a="1"/>
  <c r="J560" i="1" a="1"/>
  <c r="J561" i="1" a="1"/>
  <c r="J562" i="1" a="1"/>
  <c r="J563" i="1" a="1"/>
  <c r="J564" i="1" a="1"/>
  <c r="J565" i="1" a="1"/>
  <c r="J566" i="1" a="1"/>
  <c r="J567" i="1" a="1"/>
  <c r="J568" i="1" a="1"/>
  <c r="J569" i="1" a="1"/>
  <c r="J570" i="1" a="1"/>
  <c r="J571" i="1" a="1"/>
  <c r="J572" i="1" a="1"/>
  <c r="J573" i="1" a="1"/>
  <c r="J574" i="1" a="1"/>
  <c r="J575" i="1" a="1"/>
  <c r="J576" i="1" a="1"/>
  <c r="J577" i="1" a="1"/>
  <c r="J578" i="1" a="1"/>
  <c r="J579" i="1" a="1"/>
  <c r="J580" i="1" a="1"/>
  <c r="J581" i="1" a="1"/>
  <c r="J582" i="1" a="1"/>
  <c r="J583" i="1" a="1"/>
  <c r="J584" i="1" a="1"/>
  <c r="J585" i="1" a="1"/>
  <c r="J586" i="1" a="1"/>
  <c r="J587" i="1" a="1"/>
  <c r="J588" i="1" a="1"/>
  <c r="J589" i="1" a="1"/>
  <c r="J590" i="1" a="1"/>
  <c r="J591" i="1" a="1"/>
  <c r="J592" i="1" a="1"/>
  <c r="J593" i="1" a="1"/>
  <c r="J594" i="1" a="1"/>
  <c r="J595" i="1" a="1"/>
  <c r="J596" i="1" a="1"/>
  <c r="J597" i="1" a="1"/>
  <c r="J598" i="1" a="1"/>
  <c r="J599" i="1" a="1"/>
  <c r="J600" i="1" a="1"/>
  <c r="J601" i="1" a="1"/>
  <c r="J602" i="1" a="1"/>
  <c r="J603" i="1" a="1"/>
  <c r="J604" i="1" a="1"/>
  <c r="J605" i="1" a="1"/>
  <c r="J606" i="1" a="1"/>
  <c r="J607" i="1" a="1"/>
  <c r="J608" i="1" a="1"/>
  <c r="J609" i="1" a="1"/>
  <c r="J610" i="1" a="1"/>
  <c r="J611" i="1" a="1"/>
  <c r="J612" i="1" a="1"/>
  <c r="J613" i="1" a="1"/>
  <c r="J614" i="1" a="1"/>
  <c r="J615" i="1" a="1"/>
  <c r="J616" i="1" a="1"/>
  <c r="J617" i="1" a="1"/>
  <c r="J618" i="1" a="1"/>
  <c r="J619" i="1" a="1"/>
  <c r="J620" i="1" a="1"/>
  <c r="J621" i="1" a="1"/>
  <c r="J622" i="1" a="1"/>
  <c r="J623" i="1" a="1"/>
  <c r="J624" i="1" a="1"/>
  <c r="J625" i="1" a="1"/>
  <c r="J626" i="1" a="1"/>
  <c r="J627" i="1" a="1"/>
  <c r="J628" i="1" a="1"/>
  <c r="J629" i="1" a="1"/>
  <c r="J630" i="1" a="1"/>
  <c r="J631" i="1" a="1"/>
  <c r="J632" i="1" a="1"/>
  <c r="J633" i="1" a="1"/>
  <c r="J634" i="1" a="1"/>
  <c r="J635" i="1" a="1"/>
  <c r="J636" i="1" a="1"/>
  <c r="J637" i="1" a="1"/>
  <c r="J638" i="1" a="1"/>
  <c r="J639" i="1" a="1"/>
  <c r="J640" i="1" a="1"/>
  <c r="J641" i="1" a="1"/>
  <c r="J642" i="1" a="1"/>
  <c r="J643" i="1" a="1"/>
  <c r="J644" i="1" a="1"/>
  <c r="J645" i="1" a="1"/>
  <c r="J646" i="1" a="1"/>
  <c r="J647" i="1" a="1"/>
  <c r="J648" i="1" a="1"/>
  <c r="J649" i="1" a="1"/>
  <c r="J650" i="1" a="1"/>
  <c r="J651" i="1" a="1"/>
  <c r="J652" i="1" a="1"/>
  <c r="J653" i="1" a="1"/>
  <c r="J654" i="1" a="1"/>
  <c r="J655" i="1" a="1"/>
  <c r="J656" i="1" a="1"/>
  <c r="J657" i="1" a="1"/>
  <c r="J658" i="1" a="1"/>
  <c r="J659" i="1" a="1"/>
  <c r="J660" i="1" a="1"/>
  <c r="J661" i="1" a="1"/>
  <c r="J662" i="1" a="1"/>
  <c r="J663" i="1" a="1"/>
  <c r="J664" i="1" a="1"/>
  <c r="J665" i="1" a="1"/>
  <c r="J666" i="1" a="1"/>
  <c r="J667" i="1" a="1"/>
  <c r="J668" i="1" a="1"/>
  <c r="J669" i="1" a="1"/>
  <c r="J670" i="1" a="1"/>
  <c r="J671" i="1" a="1"/>
  <c r="J672" i="1" a="1"/>
  <c r="J673" i="1" a="1"/>
  <c r="J674" i="1" a="1"/>
  <c r="J675" i="1" a="1"/>
  <c r="J676" i="1" a="1"/>
  <c r="J677" i="1" a="1"/>
  <c r="J678" i="1" a="1"/>
  <c r="J679" i="1" a="1"/>
  <c r="J680" i="1" a="1"/>
  <c r="J681" i="1" a="1"/>
  <c r="J682" i="1" a="1"/>
  <c r="J683" i="1" a="1"/>
  <c r="J684" i="1" a="1"/>
  <c r="J685" i="1" a="1"/>
  <c r="J686" i="1" a="1"/>
  <c r="J687" i="1" a="1"/>
  <c r="J688" i="1" a="1"/>
  <c r="J689" i="1" a="1"/>
  <c r="J690" i="1" a="1"/>
  <c r="J691" i="1" a="1"/>
  <c r="J692" i="1" a="1"/>
  <c r="J693" i="1" a="1"/>
  <c r="J694" i="1" a="1"/>
  <c r="J695" i="1" a="1"/>
  <c r="J696" i="1" a="1"/>
  <c r="J697" i="1" a="1"/>
  <c r="J698" i="1" a="1"/>
  <c r="J699" i="1" a="1"/>
  <c r="J700" i="1" a="1"/>
  <c r="J701" i="1" a="1"/>
  <c r="J702" i="1" a="1"/>
  <c r="J703" i="1" a="1"/>
  <c r="J704" i="1" a="1"/>
  <c r="J705" i="1" a="1"/>
  <c r="J706" i="1" a="1"/>
  <c r="J707" i="1" a="1"/>
  <c r="J708" i="1" a="1"/>
  <c r="J709" i="1" a="1"/>
  <c r="J710" i="1" a="1"/>
  <c r="J711" i="1" a="1"/>
  <c r="J712" i="1" a="1"/>
  <c r="J713" i="1" a="1"/>
  <c r="J714" i="1" a="1"/>
  <c r="J715" i="1" a="1"/>
  <c r="J716" i="1" a="1"/>
  <c r="J717" i="1" a="1"/>
  <c r="J718" i="1" a="1"/>
  <c r="J719" i="1" a="1"/>
  <c r="J720" i="1" a="1"/>
  <c r="J721" i="1" a="1"/>
  <c r="J722" i="1" a="1"/>
  <c r="J723" i="1" a="1"/>
  <c r="J724" i="1" a="1"/>
  <c r="J725" i="1" a="1"/>
  <c r="J726" i="1" a="1"/>
  <c r="J727" i="1" a="1"/>
  <c r="J728" i="1" a="1"/>
  <c r="J729" i="1" a="1"/>
  <c r="J730" i="1" a="1"/>
  <c r="J731" i="1" a="1"/>
  <c r="J732" i="1" a="1"/>
  <c r="J733" i="1" a="1"/>
  <c r="J734" i="1" a="1"/>
  <c r="J735" i="1" a="1"/>
  <c r="J736" i="1" a="1"/>
  <c r="J737" i="1" a="1"/>
  <c r="J738" i="1" a="1"/>
  <c r="J739" i="1" a="1"/>
  <c r="J740" i="1" a="1"/>
  <c r="J741" i="1" a="1"/>
  <c r="J742" i="1" a="1"/>
  <c r="J743" i="1" a="1"/>
  <c r="J744" i="1" a="1"/>
  <c r="J745" i="1" a="1"/>
  <c r="J746" i="1" a="1"/>
  <c r="J747" i="1" a="1"/>
  <c r="J748" i="1" a="1"/>
  <c r="J749" i="1" a="1"/>
  <c r="J750" i="1" a="1"/>
  <c r="J751" i="1" a="1"/>
  <c r="J752" i="1" a="1"/>
  <c r="J753" i="1" a="1"/>
  <c r="J754" i="1" a="1"/>
  <c r="J755" i="1" a="1"/>
  <c r="J756" i="1" a="1"/>
  <c r="J757" i="1" a="1"/>
  <c r="J758" i="1" a="1"/>
  <c r="J759" i="1" a="1"/>
  <c r="J760" i="1" a="1"/>
  <c r="J761" i="1" a="1"/>
  <c r="J762" i="1" a="1"/>
  <c r="J763" i="1" a="1"/>
  <c r="J764" i="1" a="1"/>
  <c r="J765" i="1" a="1"/>
  <c r="J766" i="1" a="1"/>
  <c r="J767" i="1" a="1"/>
  <c r="J768" i="1" a="1"/>
  <c r="J769" i="1" a="1"/>
  <c r="J770" i="1" a="1"/>
  <c r="J771" i="1" a="1"/>
  <c r="J772" i="1" a="1"/>
  <c r="J773" i="1" a="1"/>
  <c r="J774" i="1" a="1"/>
  <c r="J775" i="1" a="1"/>
  <c r="J776" i="1" a="1"/>
  <c r="J777" i="1" a="1"/>
  <c r="J778" i="1" a="1"/>
  <c r="J779" i="1" a="1"/>
  <c r="J780" i="1" a="1"/>
  <c r="J781" i="1" a="1"/>
  <c r="J782" i="1" a="1"/>
  <c r="J783" i="1" a="1"/>
  <c r="J784" i="1" a="1"/>
  <c r="J785" i="1" a="1"/>
  <c r="J786" i="1" a="1"/>
  <c r="J787" i="1" a="1"/>
  <c r="J788" i="1" a="1"/>
  <c r="J789" i="1" a="1"/>
  <c r="J790" i="1" a="1"/>
  <c r="J791" i="1" a="1"/>
  <c r="J792" i="1" a="1"/>
  <c r="J793" i="1" a="1"/>
  <c r="J794" i="1" a="1"/>
  <c r="J795" i="1" a="1"/>
  <c r="J796" i="1" a="1"/>
  <c r="J797" i="1" a="1"/>
  <c r="J798" i="1" a="1"/>
  <c r="J799" i="1" a="1"/>
  <c r="J800" i="1" a="1"/>
  <c r="J801" i="1" a="1"/>
  <c r="J802" i="1" a="1"/>
  <c r="J803" i="1" a="1"/>
  <c r="J804" i="1" a="1"/>
  <c r="J805" i="1" a="1"/>
  <c r="J806" i="1" a="1"/>
  <c r="J807" i="1" a="1"/>
  <c r="J808" i="1" a="1"/>
  <c r="J809" i="1" a="1"/>
  <c r="J810" i="1" a="1"/>
  <c r="J811" i="1" a="1"/>
  <c r="J812" i="1" a="1"/>
  <c r="J813" i="1" a="1"/>
  <c r="J814" i="1" a="1"/>
  <c r="J815" i="1" a="1"/>
  <c r="J816" i="1" a="1"/>
  <c r="J817" i="1" a="1"/>
  <c r="J818" i="1" a="1"/>
  <c r="J819" i="1" a="1"/>
  <c r="J820" i="1" a="1"/>
  <c r="J821" i="1" a="1"/>
  <c r="J822" i="1" a="1"/>
  <c r="J823" i="1" a="1"/>
  <c r="J824" i="1" a="1"/>
  <c r="J825" i="1" a="1"/>
  <c r="J826" i="1" a="1"/>
  <c r="J827" i="1" a="1"/>
  <c r="J828" i="1" a="1"/>
  <c r="J829" i="1" a="1"/>
  <c r="J830" i="1" a="1"/>
  <c r="J831" i="1" a="1"/>
  <c r="J832" i="1" a="1"/>
  <c r="J833" i="1" a="1"/>
  <c r="J834" i="1" a="1"/>
  <c r="J835" i="1" a="1"/>
  <c r="J836" i="1" a="1"/>
  <c r="J837" i="1" a="1"/>
  <c r="J838" i="1" a="1"/>
  <c r="J839" i="1" a="1"/>
  <c r="J840" i="1" a="1"/>
  <c r="J841" i="1" a="1"/>
  <c r="J842" i="1" a="1"/>
  <c r="J843" i="1" a="1"/>
  <c r="J844" i="1" a="1"/>
  <c r="J845" i="1" a="1"/>
  <c r="J846" i="1" a="1"/>
  <c r="J847" i="1" a="1"/>
  <c r="J848" i="1" a="1"/>
  <c r="J849" i="1" a="1"/>
  <c r="J850" i="1" a="1"/>
  <c r="J851" i="1" a="1"/>
  <c r="J852" i="1" a="1"/>
  <c r="J853" i="1" a="1"/>
  <c r="J854" i="1" a="1"/>
  <c r="J855" i="1" a="1"/>
  <c r="J856" i="1" a="1"/>
  <c r="J857" i="1" a="1"/>
  <c r="J858" i="1" a="1"/>
  <c r="J859" i="1" a="1"/>
  <c r="J860" i="1" a="1"/>
  <c r="J861" i="1" a="1"/>
  <c r="J862" i="1" a="1"/>
  <c r="J863" i="1" a="1"/>
  <c r="J864" i="1" a="1"/>
  <c r="J865" i="1" a="1"/>
  <c r="J866" i="1" a="1"/>
  <c r="J867" i="1" a="1"/>
  <c r="J868" i="1" a="1"/>
  <c r="J869" i="1" a="1"/>
  <c r="J870" i="1" a="1"/>
  <c r="J871" i="1" a="1"/>
  <c r="J872" i="1" a="1"/>
  <c r="J873" i="1" a="1"/>
  <c r="J874" i="1" a="1"/>
  <c r="J875" i="1" a="1"/>
  <c r="J876" i="1" a="1"/>
  <c r="J877" i="1" a="1"/>
  <c r="J878" i="1" a="1"/>
  <c r="J879" i="1" a="1"/>
  <c r="J880" i="1" a="1"/>
  <c r="J881" i="1" a="1"/>
  <c r="J882" i="1" a="1"/>
  <c r="J883" i="1" a="1"/>
  <c r="J884" i="1" a="1"/>
  <c r="J885" i="1" a="1"/>
  <c r="J886" i="1" a="1"/>
  <c r="J887" i="1" a="1"/>
  <c r="J888" i="1" a="1"/>
  <c r="J889" i="1" a="1"/>
  <c r="J890" i="1" a="1"/>
  <c r="J891" i="1" a="1"/>
  <c r="J892" i="1" a="1"/>
  <c r="J893" i="1" a="1"/>
  <c r="J894" i="1" a="1"/>
  <c r="J895" i="1" a="1"/>
  <c r="J896" i="1" a="1"/>
  <c r="J897" i="1" a="1"/>
  <c r="J898" i="1" a="1"/>
  <c r="J899" i="1" a="1"/>
  <c r="J900" i="1" a="1"/>
  <c r="J901" i="1" a="1"/>
  <c r="J902" i="1" a="1"/>
  <c r="J903" i="1" a="1"/>
  <c r="J904" i="1" a="1"/>
  <c r="J905" i="1" a="1"/>
  <c r="J906" i="1" a="1"/>
  <c r="J907" i="1" a="1"/>
  <c r="J908" i="1" a="1"/>
  <c r="J909" i="1" a="1"/>
  <c r="J910" i="1" a="1"/>
  <c r="J911" i="1" a="1"/>
  <c r="J912" i="1" a="1"/>
  <c r="J913" i="1" a="1"/>
  <c r="J914" i="1" a="1"/>
  <c r="J915" i="1" a="1"/>
  <c r="J916" i="1" a="1"/>
  <c r="J917" i="1" a="1"/>
  <c r="J918" i="1" a="1"/>
  <c r="J919" i="1" a="1"/>
  <c r="J920" i="1" a="1"/>
  <c r="J921" i="1" a="1"/>
  <c r="J922" i="1" a="1"/>
  <c r="J923" i="1" a="1"/>
  <c r="J924" i="1" a="1"/>
  <c r="J925" i="1" a="1"/>
  <c r="J926" i="1" a="1"/>
  <c r="J927" i="1" a="1"/>
  <c r="J928" i="1" a="1"/>
  <c r="J929" i="1" a="1"/>
  <c r="J930" i="1" a="1"/>
  <c r="J931" i="1" a="1"/>
  <c r="J932" i="1" a="1"/>
  <c r="J933" i="1" a="1"/>
  <c r="J934" i="1" a="1"/>
  <c r="J935" i="1" a="1"/>
  <c r="J936" i="1" a="1"/>
  <c r="J937" i="1" a="1"/>
  <c r="J938" i="1" a="1"/>
  <c r="J939" i="1" a="1"/>
  <c r="J940" i="1" a="1"/>
  <c r="J941" i="1" a="1"/>
  <c r="J942" i="1" a="1"/>
  <c r="J943" i="1" a="1"/>
  <c r="J944" i="1" a="1"/>
  <c r="J945" i="1" a="1"/>
  <c r="J946" i="1" a="1"/>
  <c r="J947" i="1" a="1"/>
  <c r="J948" i="1" a="1"/>
  <c r="J949" i="1" a="1"/>
  <c r="J950" i="1" a="1"/>
  <c r="J951" i="1" a="1"/>
  <c r="J952" i="1" a="1"/>
  <c r="J953" i="1" a="1"/>
  <c r="J954" i="1" a="1"/>
  <c r="J955" i="1" a="1"/>
  <c r="J956" i="1" a="1"/>
  <c r="J957" i="1" a="1"/>
  <c r="J958" i="1" a="1"/>
  <c r="J959" i="1" a="1"/>
  <c r="J960" i="1" a="1"/>
  <c r="J961" i="1" a="1"/>
  <c r="J962" i="1" a="1"/>
  <c r="J963" i="1" a="1"/>
  <c r="J964" i="1" a="1"/>
  <c r="J965" i="1" a="1"/>
  <c r="J966" i="1" a="1"/>
  <c r="J967" i="1" a="1"/>
  <c r="J968" i="1" a="1"/>
  <c r="J969" i="1" a="1"/>
  <c r="J970" i="1" a="1"/>
  <c r="J971" i="1" a="1"/>
  <c r="J972" i="1" a="1"/>
  <c r="J973" i="1" a="1"/>
  <c r="J974" i="1" a="1"/>
  <c r="J975" i="1" a="1"/>
  <c r="J976" i="1" a="1"/>
  <c r="J977" i="1" a="1"/>
  <c r="J978" i="1" a="1"/>
  <c r="J979" i="1" a="1"/>
  <c r="J980" i="1" a="1"/>
  <c r="J981" i="1" a="1"/>
  <c r="J982" i="1" a="1"/>
  <c r="J983" i="1" a="1"/>
  <c r="J984" i="1" a="1"/>
  <c r="J985" i="1" a="1"/>
  <c r="J986" i="1" a="1"/>
  <c r="J987" i="1" a="1"/>
  <c r="J988" i="1" a="1"/>
  <c r="J989" i="1" a="1"/>
  <c r="J990" i="1" a="1"/>
  <c r="J991" i="1" a="1"/>
  <c r="J992" i="1" a="1"/>
  <c r="J993" i="1" a="1"/>
  <c r="J994" i="1" a="1"/>
  <c r="J995" i="1" a="1"/>
  <c r="J996" i="1" a="1"/>
  <c r="J997" i="1" a="1"/>
  <c r="J998" i="1" a="1"/>
  <c r="J999" i="1" a="1"/>
  <c r="J1000" i="1" a="1"/>
  <c r="J1001" i="1" a="1"/>
  <c r="J1002" i="1" a="1"/>
  <c r="J1003" i="1" a="1"/>
  <c r="J1004" i="1" a="1"/>
  <c r="J1005" i="1" a="1"/>
  <c r="J1006" i="1" a="1"/>
  <c r="J1007" i="1" a="1"/>
  <c r="J1008" i="1" a="1"/>
  <c r="J1009" i="1" a="1"/>
  <c r="J1010" i="1" a="1"/>
  <c r="J1011" i="1" a="1"/>
  <c r="J1012" i="1" a="1"/>
  <c r="J1013" i="1" a="1"/>
  <c r="J1014" i="1" a="1"/>
  <c r="J1015" i="1" a="1"/>
  <c r="J1016" i="1" a="1"/>
  <c r="J1017" i="1" a="1"/>
  <c r="J1018" i="1" a="1"/>
  <c r="J1019" i="1" a="1"/>
  <c r="J1020" i="1" a="1"/>
  <c r="J1021" i="1" a="1"/>
  <c r="J1022" i="1" a="1"/>
  <c r="J1023" i="1" a="1"/>
  <c r="J1024" i="1" a="1"/>
  <c r="J1025" i="1" a="1"/>
  <c r="J1026" i="1" a="1"/>
  <c r="J1027" i="1" a="1"/>
  <c r="J1028" i="1" a="1"/>
  <c r="J1029" i="1" a="1"/>
  <c r="J1030" i="1" a="1"/>
  <c r="J1031" i="1" a="1"/>
  <c r="J1032" i="1" a="1"/>
  <c r="J1033" i="1" a="1"/>
  <c r="J1034" i="1" a="1"/>
  <c r="J1035" i="1" a="1"/>
  <c r="J1036" i="1" a="1"/>
  <c r="J1037" i="1" a="1"/>
  <c r="J1038" i="1" a="1"/>
  <c r="J1039" i="1" a="1"/>
  <c r="J1040" i="1" a="1"/>
  <c r="J1041" i="1" a="1"/>
  <c r="J1042" i="1" a="1"/>
  <c r="J1043" i="1" a="1"/>
  <c r="J1044" i="1" a="1"/>
  <c r="J1045" i="1" a="1"/>
  <c r="J1046" i="1" a="1"/>
  <c r="J1047" i="1" a="1"/>
  <c r="J1048" i="1" a="1"/>
  <c r="J1049" i="1" a="1"/>
  <c r="J1050" i="1" a="1"/>
  <c r="J1051" i="1" a="1"/>
  <c r="J1052" i="1" a="1"/>
  <c r="J1053" i="1" a="1"/>
  <c r="J1054" i="1" a="1"/>
  <c r="J1055" i="1" a="1"/>
  <c r="J1056" i="1" a="1"/>
  <c r="J1057" i="1" a="1"/>
  <c r="J1058" i="1" a="1"/>
  <c r="J1059" i="1" a="1"/>
  <c r="J1060" i="1" a="1"/>
  <c r="J1061" i="1" a="1"/>
  <c r="J1062" i="1" a="1"/>
  <c r="J1063" i="1" a="1"/>
  <c r="J1064" i="1" a="1"/>
  <c r="J1065" i="1" a="1"/>
  <c r="J1066" i="1" a="1"/>
  <c r="J1067" i="1" a="1"/>
  <c r="J1068" i="1" a="1"/>
  <c r="J1069" i="1" a="1"/>
  <c r="J1070" i="1" a="1"/>
  <c r="J1071" i="1" a="1"/>
  <c r="J1072" i="1" a="1"/>
  <c r="J1073" i="1" a="1"/>
  <c r="J1074" i="1" a="1"/>
  <c r="J1075" i="1" a="1"/>
  <c r="J1076" i="1" a="1"/>
  <c r="J1077" i="1" a="1"/>
  <c r="J1078" i="1" a="1"/>
  <c r="J1079" i="1" a="1"/>
  <c r="J1080" i="1" a="1"/>
  <c r="J1081" i="1" a="1"/>
  <c r="J1082" i="1" a="1"/>
  <c r="J1083" i="1" a="1"/>
  <c r="J1084" i="1" a="1"/>
  <c r="J1085" i="1" a="1"/>
  <c r="J1086" i="1" a="1"/>
  <c r="J1087" i="1" a="1"/>
  <c r="J1088" i="1" a="1"/>
  <c r="J1089" i="1" a="1"/>
  <c r="J1090" i="1" a="1"/>
  <c r="J1091" i="1" a="1"/>
  <c r="J1092" i="1" a="1"/>
  <c r="J1093" i="1" a="1"/>
  <c r="J1094" i="1" a="1"/>
  <c r="J1095" i="1" a="1"/>
  <c r="J1096" i="1" a="1"/>
  <c r="J1097" i="1" a="1"/>
  <c r="J1098" i="1" a="1"/>
  <c r="J1099" i="1" a="1"/>
  <c r="J1100" i="1" a="1"/>
  <c r="J1101" i="1" a="1"/>
  <c r="J1102" i="1" a="1"/>
  <c r="J1103" i="1" a="1"/>
  <c r="J1104" i="1" a="1"/>
  <c r="J1105" i="1" a="1"/>
  <c r="J1106" i="1" a="1"/>
  <c r="J1107" i="1" a="1"/>
  <c r="J1108" i="1" a="1"/>
  <c r="J1109" i="1" a="1"/>
  <c r="J1110" i="1" a="1"/>
  <c r="J1111" i="1" a="1"/>
  <c r="J1112" i="1" a="1"/>
  <c r="J1113" i="1" a="1"/>
  <c r="J1114" i="1" a="1"/>
  <c r="J1115" i="1" a="1"/>
  <c r="J1116" i="1" a="1"/>
  <c r="J1117" i="1" a="1"/>
  <c r="J1118" i="1" a="1"/>
  <c r="J1119" i="1" a="1"/>
  <c r="J1120" i="1" a="1"/>
  <c r="J1121" i="1" a="1"/>
  <c r="J1122" i="1" a="1"/>
  <c r="J1123" i="1" a="1"/>
  <c r="J1124" i="1" a="1"/>
  <c r="J1125" i="1" a="1"/>
  <c r="J1126" i="1" a="1"/>
  <c r="J1127" i="1" a="1"/>
  <c r="J1128" i="1" a="1"/>
  <c r="J1129" i="1" a="1"/>
  <c r="J1130" i="1" a="1"/>
  <c r="J1131" i="1" a="1"/>
  <c r="J1132" i="1" a="1"/>
  <c r="J1133" i="1" a="1"/>
  <c r="J1134" i="1" a="1"/>
  <c r="J1135" i="1" a="1"/>
  <c r="J1136" i="1" a="1"/>
  <c r="J1137" i="1" a="1"/>
  <c r="J1138" i="1" a="1"/>
  <c r="J1139" i="1" a="1"/>
  <c r="J1140" i="1" a="1"/>
  <c r="J1141" i="1" a="1"/>
  <c r="J1142" i="1" a="1"/>
  <c r="J1143" i="1" a="1"/>
  <c r="J1144" i="1" a="1"/>
  <c r="J1145" i="1" a="1"/>
  <c r="J1146" i="1" a="1"/>
  <c r="J1147" i="1" a="1"/>
  <c r="J1148" i="1" a="1"/>
  <c r="J1149" i="1" a="1"/>
  <c r="J1150" i="1" a="1"/>
  <c r="J1151" i="1" a="1"/>
  <c r="J1152" i="1" a="1"/>
  <c r="J1153" i="1" a="1"/>
  <c r="J1154" i="1" a="1"/>
  <c r="J1155" i="1" a="1"/>
  <c r="J1156" i="1" a="1"/>
  <c r="J1157" i="1" a="1"/>
  <c r="J1158" i="1" a="1"/>
  <c r="J1159" i="1" a="1"/>
  <c r="J1160" i="1" a="1"/>
  <c r="J1161" i="1" a="1"/>
  <c r="J1162" i="1" a="1"/>
  <c r="J1163" i="1" a="1"/>
  <c r="J1164" i="1" a="1"/>
  <c r="J1165" i="1" a="1"/>
  <c r="J1166" i="1" a="1"/>
  <c r="J1167" i="1" a="1"/>
  <c r="J1168" i="1" a="1"/>
  <c r="J1169" i="1" a="1"/>
  <c r="J1170" i="1" a="1"/>
  <c r="J1171" i="1" a="1"/>
  <c r="J1172" i="1" a="1"/>
  <c r="J1173" i="1" a="1"/>
  <c r="J1174" i="1" a="1"/>
  <c r="J1175" i="1" a="1"/>
  <c r="J1176" i="1" a="1"/>
  <c r="J1177" i="1" a="1"/>
  <c r="J1178" i="1" a="1"/>
  <c r="J1179" i="1" a="1"/>
  <c r="J1180" i="1" a="1"/>
  <c r="J1181" i="1" a="1"/>
  <c r="J1182" i="1" a="1"/>
  <c r="J1183" i="1" a="1"/>
  <c r="J1184" i="1" a="1"/>
  <c r="J1185" i="1" a="1"/>
  <c r="J1186" i="1" a="1"/>
  <c r="J1187" i="1" a="1"/>
  <c r="J1188" i="1" a="1"/>
  <c r="J1189" i="1" a="1"/>
  <c r="J1190" i="1" a="1"/>
  <c r="J1191" i="1" a="1"/>
  <c r="J1192" i="1" a="1"/>
  <c r="J1193" i="1" a="1"/>
  <c r="J1194" i="1" a="1"/>
  <c r="J1195" i="1" a="1"/>
  <c r="J1196" i="1" a="1"/>
  <c r="J1197" i="1" a="1"/>
  <c r="J1198" i="1" a="1"/>
  <c r="J1199" i="1" a="1"/>
  <c r="J1200" i="1" a="1"/>
  <c r="J1201" i="1" a="1"/>
  <c r="J2" i="1" a="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<sst xmlns="http://schemas.openxmlformats.org/spreadsheetml/2006/main" count="3680" uniqueCount="49">
  <si>
    <t>age</t>
  </si>
  <si>
    <t>gender</t>
  </si>
  <si>
    <t>daily_social_media_hours</t>
  </si>
  <si>
    <t>platform_usage</t>
  </si>
  <si>
    <t>sleep_hours</t>
  </si>
  <si>
    <t>screen_time_before_sleep</t>
  </si>
  <si>
    <t>academic_performance</t>
  </si>
  <si>
    <t>physical_activity</t>
  </si>
  <si>
    <t>social_interaction_level</t>
  </si>
  <si>
    <t>stress_level</t>
  </si>
  <si>
    <t>anxiety_level</t>
  </si>
  <si>
    <t>addiction_level</t>
  </si>
  <si>
    <t>depression_label</t>
  </si>
  <si>
    <t>male</t>
  </si>
  <si>
    <t>Instagram</t>
  </si>
  <si>
    <t>low</t>
  </si>
  <si>
    <t>female</t>
  </si>
  <si>
    <t>TikTok</t>
  </si>
  <si>
    <t>high</t>
  </si>
  <si>
    <t>medium</t>
  </si>
  <si>
    <t>Both</t>
  </si>
  <si>
    <t>Social_Media_Impact_on_Mental Health</t>
  </si>
  <si>
    <t>Sum of depression_label</t>
  </si>
  <si>
    <t>Row Labels</t>
  </si>
  <si>
    <t>Grand Total</t>
  </si>
  <si>
    <t>sleep duration</t>
  </si>
  <si>
    <t>teenage/adult</t>
  </si>
  <si>
    <t>Adult</t>
  </si>
  <si>
    <t>Teenage</t>
  </si>
  <si>
    <t>sleep deprivation</t>
  </si>
  <si>
    <t>Depression</t>
  </si>
  <si>
    <t>Higher Social Media Usage</t>
  </si>
  <si>
    <t>Sum of stress_level</t>
  </si>
  <si>
    <t>Sum of anxiety_level</t>
  </si>
  <si>
    <t>Increased Stress and Anxiety</t>
  </si>
  <si>
    <t>protective factor</t>
  </si>
  <si>
    <t>Count of physical_activity</t>
  </si>
  <si>
    <t>Physical Activity as a Protective Factor</t>
  </si>
  <si>
    <t>Sleep Deprivation and Depression</t>
  </si>
  <si>
    <t>Gender-Based Differences</t>
  </si>
  <si>
    <t>Sum of academic_performance</t>
  </si>
  <si>
    <t>Academic Performance Shows Weak Correlation</t>
  </si>
  <si>
    <t>Count of platform_usage</t>
  </si>
  <si>
    <t>Sum of daily_social_media_hours</t>
  </si>
  <si>
    <t>Count of teenage/adult</t>
  </si>
  <si>
    <t xml:space="preserve">Count of people </t>
  </si>
  <si>
    <t>Count of sleep_hours</t>
  </si>
  <si>
    <t>Academic_performance2</t>
  </si>
  <si>
    <t>Count of addiction_level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</si>
</sst>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Arial"/>
      <family val="2"/>
    </font>
    <font>
      <b/>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theme="8"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19" fillId="0" borderId="0" xfId="0" applyFont="1"/>
    <xf numFmtId="0" fontId="0" fillId="0" borderId="0" xfId="0" applyAlignment="1">
      <alignment horizontal="left" indent="1"/>
    </xf>
    <xf numFmtId="0" fontId="0" fillId="34" borderId="0" xfId="0" applyFill="1"/>
    <xf numFmtId="0" fontId="18" fillId="33" borderId="0" xfId="0" applyFont="1" applyFill="1" applyAlignment="1">
      <alignment horizontal="center" vertical="center"/>
    </xf>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0" formatCode="General"/>
    </dxf>
  </dxfs>
  <tableStyles count="0" defaultTableStyle="TableStyleMedium2" defaultPivotStyle="PivotStyleLight16"/>
  <colors>
    <mruColors>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 Dashboard.xlsx]Sheet1!PivotTable1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
        <c:idx val="11"/>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pivotFmt>
    </c:pivotFmts>
    <c:plotArea>
      <c:layout/>
      <c:pieChart>
        <c:varyColors val="1"/>
        <c:ser>
          <c:idx val="0"/>
          <c:order val="0"/>
          <c:tx>
            <c:strRef>
              <c:f>Sheet1!$B$3</c:f>
              <c:strCache>
                <c:ptCount val="1"/>
                <c:pt idx="0">
                  <c:v>Depression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C2-4C9B-B517-E82F2307E1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C2-4C9B-B517-E82F2307E1A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Sheet1!$A$4:$A$6</c:f>
              <c:strCache>
                <c:ptCount val="2"/>
                <c:pt idx="0">
                  <c:v>Adult</c:v>
                </c:pt>
                <c:pt idx="1">
                  <c:v>Teenage</c:v>
                </c:pt>
              </c:strCache>
            </c:strRef>
          </c:cat>
          <c:val>
            <c:numRef>
              <c:f>Sheet1!$B$4:$B$6</c:f>
              <c:numCache>
                <c:formatCode>General</c:formatCode>
                <c:ptCount val="2"/>
                <c:pt idx="0">
                  <c:v>162</c:v>
                </c:pt>
                <c:pt idx="1">
                  <c:v>1038</c:v>
                </c:pt>
              </c:numCache>
            </c:numRef>
          </c:val>
          <c:extLst>
            <c:ext xmlns:c16="http://schemas.microsoft.com/office/drawing/2014/chart" uri="{C3380CC4-5D6E-409C-BE32-E72D297353CC}">
              <c16:uniqueId val="{00000004-80C2-4C9B-B517-E82F2307E1A5}"/>
            </c:ext>
          </c:extLst>
        </c:ser>
        <c:ser>
          <c:idx val="1"/>
          <c:order val="1"/>
          <c:tx>
            <c:strRef>
              <c:f>Sheet1!$C$3</c:f>
              <c:strCache>
                <c:ptCount val="1"/>
                <c:pt idx="0">
                  <c:v>sleep deprivation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80C2-4C9B-B517-E82F2307E1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80C2-4C9B-B517-E82F2307E1A5}"/>
              </c:ext>
            </c:extLst>
          </c:dPt>
          <c:cat>
            <c:strRef>
              <c:f>Sheet1!$A$4:$A$6</c:f>
              <c:strCache>
                <c:ptCount val="2"/>
                <c:pt idx="0">
                  <c:v>Adult</c:v>
                </c:pt>
                <c:pt idx="1">
                  <c:v>Teenage</c:v>
                </c:pt>
              </c:strCache>
            </c:strRef>
          </c:cat>
          <c:val>
            <c:numRef>
              <c:f>Sheet1!$C$4:$C$6</c:f>
              <c:numCache>
                <c:formatCode>General</c:formatCode>
                <c:ptCount val="2"/>
                <c:pt idx="0">
                  <c:v>162</c:v>
                </c:pt>
                <c:pt idx="1">
                  <c:v>1038</c:v>
                </c:pt>
              </c:numCache>
            </c:numRef>
          </c:val>
          <c:extLst>
            <c:ext xmlns:c16="http://schemas.microsoft.com/office/drawing/2014/chart" uri="{C3380CC4-5D6E-409C-BE32-E72D297353CC}">
              <c16:uniqueId val="{00000009-80C2-4C9B-B517-E82F2307E1A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 Dashboard.xlsx]Sheet1!PivotTable2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Higher</a:t>
            </a:r>
            <a:r>
              <a:rPr lang="en-IN" baseline="0"/>
              <a:t> Social Media Usage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solidFill>
              <a:srgbClr val="0070C0"/>
            </a:solidFill>
          </a:ln>
          <a:effectLst/>
        </c:spPr>
      </c:pivotFmt>
      <c:pivotFmt>
        <c:idx val="2"/>
        <c:spPr>
          <a:solidFill>
            <a:srgbClr val="92D050"/>
          </a:solidFill>
          <a:ln>
            <a:solidFill>
              <a:srgbClr val="0070C0"/>
            </a:solidFill>
          </a:ln>
          <a:effectLst/>
        </c:spPr>
      </c:pivotFmt>
      <c:pivotFmt>
        <c:idx val="3"/>
        <c:spPr>
          <a:solidFill>
            <a:schemeClr val="accent1"/>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solidFill>
              <a:srgbClr val="0070C0"/>
            </a:solidFill>
          </a:ln>
          <a:effectLst/>
        </c:spPr>
      </c:pivotFmt>
      <c:pivotFmt>
        <c:idx val="5"/>
        <c:spPr>
          <a:solidFill>
            <a:srgbClr val="92D050"/>
          </a:solidFill>
          <a:ln>
            <a:solidFill>
              <a:srgbClr val="0070C0"/>
            </a:solidFill>
          </a:ln>
          <a:effectLst/>
        </c:spPr>
      </c:pivotFmt>
      <c:pivotFmt>
        <c:idx val="6"/>
        <c:spPr>
          <a:solidFill>
            <a:schemeClr val="accent1"/>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a:solidFill>
              <a:srgbClr val="0070C0"/>
            </a:solidFill>
          </a:ln>
          <a:effectLst/>
        </c:spPr>
      </c:pivotFmt>
      <c:pivotFmt>
        <c:idx val="8"/>
        <c:spPr>
          <a:solidFill>
            <a:srgbClr val="92D050"/>
          </a:solidFill>
          <a:ln>
            <a:solidFill>
              <a:srgbClr val="0070C0"/>
            </a:solid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c:f>
              <c:strCache>
                <c:ptCount val="1"/>
                <c:pt idx="0">
                  <c:v>Total</c:v>
                </c:pt>
              </c:strCache>
            </c:strRef>
          </c:tx>
          <c:spPr>
            <a:solidFill>
              <a:schemeClr val="accent1"/>
            </a:solidFill>
            <a:ln>
              <a:noFill/>
            </a:ln>
            <a:effectLst/>
          </c:spPr>
          <c:invertIfNegative val="0"/>
          <c:cat>
            <c:strRef>
              <c:f>Sheet1!$A$11:$A$14</c:f>
              <c:strCache>
                <c:ptCount val="3"/>
                <c:pt idx="0">
                  <c:v>Both</c:v>
                </c:pt>
                <c:pt idx="1">
                  <c:v>Instagram</c:v>
                </c:pt>
                <c:pt idx="2">
                  <c:v>TikTok</c:v>
                </c:pt>
              </c:strCache>
            </c:strRef>
          </c:cat>
          <c:val>
            <c:numRef>
              <c:f>Sheet1!$B$11:$B$14</c:f>
              <c:numCache>
                <c:formatCode>General</c:formatCode>
                <c:ptCount val="3"/>
                <c:pt idx="0">
                  <c:v>391</c:v>
                </c:pt>
                <c:pt idx="1">
                  <c:v>411</c:v>
                </c:pt>
                <c:pt idx="2">
                  <c:v>398</c:v>
                </c:pt>
              </c:numCache>
            </c:numRef>
          </c:val>
          <c:extLst>
            <c:ext xmlns:c16="http://schemas.microsoft.com/office/drawing/2014/chart" uri="{C3380CC4-5D6E-409C-BE32-E72D297353CC}">
              <c16:uniqueId val="{00000013-600A-4548-A3B2-0D65A0D816CA}"/>
            </c:ext>
          </c:extLst>
        </c:ser>
        <c:dLbls>
          <c:showLegendKey val="0"/>
          <c:showVal val="0"/>
          <c:showCatName val="0"/>
          <c:showSerName val="0"/>
          <c:showPercent val="0"/>
          <c:showBubbleSize val="0"/>
        </c:dLbls>
        <c:gapWidth val="219"/>
        <c:overlap val="-27"/>
        <c:axId val="2048894399"/>
        <c:axId val="2048894879"/>
      </c:barChart>
      <c:catAx>
        <c:axId val="2048894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Platform</a:t>
                </a:r>
                <a:r>
                  <a:rPr lang="en-IN" baseline="0"/>
                  <a:t> -Usage</a:t>
                </a:r>
              </a:p>
              <a:p>
                <a:pPr>
                  <a:defRPr/>
                </a:pPr>
                <a:endParaRPr lang="en-IN"/>
              </a:p>
            </c:rich>
          </c:tx>
          <c:layout>
            <c:manualLayout>
              <c:xMode val="edge"/>
              <c:yMode val="edge"/>
              <c:x val="0.41479484808717093"/>
              <c:y val="0.836553369111508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94879"/>
        <c:crosses val="autoZero"/>
        <c:auto val="1"/>
        <c:lblAlgn val="ctr"/>
        <c:lblOffset val="100"/>
        <c:noMultiLvlLbl val="0"/>
      </c:catAx>
      <c:valAx>
        <c:axId val="20488948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9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 Dashboard.xlsx]Sheet1!PivotTable3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Stress</a:t>
            </a:r>
            <a:r>
              <a:rPr lang="en-IN" baseline="0"/>
              <a:t> and Anxiety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85000"/>
                <a:lumOff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Sum of stress_level</c:v>
                </c:pt>
              </c:strCache>
            </c:strRef>
          </c:tx>
          <c:spPr>
            <a:solidFill>
              <a:schemeClr val="accent4">
                <a:lumMod val="60000"/>
                <a:lumOff val="40000"/>
              </a:schemeClr>
            </a:solidFill>
            <a:ln>
              <a:noFill/>
            </a:ln>
            <a:effectLst/>
          </c:spPr>
          <c:invertIfNegative val="0"/>
          <c:cat>
            <c:strRef>
              <c:f>Sheet1!$A$18:$A$20</c:f>
              <c:strCache>
                <c:ptCount val="2"/>
                <c:pt idx="0">
                  <c:v>Adult</c:v>
                </c:pt>
                <c:pt idx="1">
                  <c:v>Teenage</c:v>
                </c:pt>
              </c:strCache>
            </c:strRef>
          </c:cat>
          <c:val>
            <c:numRef>
              <c:f>Sheet1!$B$18:$B$20</c:f>
              <c:numCache>
                <c:formatCode>General</c:formatCode>
                <c:ptCount val="2"/>
                <c:pt idx="0">
                  <c:v>911</c:v>
                </c:pt>
                <c:pt idx="1">
                  <c:v>5624</c:v>
                </c:pt>
              </c:numCache>
            </c:numRef>
          </c:val>
          <c:extLst>
            <c:ext xmlns:c16="http://schemas.microsoft.com/office/drawing/2014/chart" uri="{C3380CC4-5D6E-409C-BE32-E72D297353CC}">
              <c16:uniqueId val="{00000000-0D9D-419D-B6EB-06B53418FD58}"/>
            </c:ext>
          </c:extLst>
        </c:ser>
        <c:dLbls>
          <c:showLegendKey val="0"/>
          <c:showVal val="0"/>
          <c:showCatName val="0"/>
          <c:showSerName val="0"/>
          <c:showPercent val="0"/>
          <c:showBubbleSize val="0"/>
        </c:dLbls>
        <c:gapWidth val="219"/>
        <c:overlap val="-27"/>
        <c:axId val="192948543"/>
        <c:axId val="192932223"/>
      </c:barChart>
      <c:lineChart>
        <c:grouping val="standard"/>
        <c:varyColors val="0"/>
        <c:ser>
          <c:idx val="1"/>
          <c:order val="1"/>
          <c:tx>
            <c:strRef>
              <c:f>Sheet1!$C$17</c:f>
              <c:strCache>
                <c:ptCount val="1"/>
                <c:pt idx="0">
                  <c:v>Sum of anxiety_level</c:v>
                </c:pt>
              </c:strCache>
            </c:strRef>
          </c:tx>
          <c:spPr>
            <a:ln w="28575" cap="rnd">
              <a:solidFill>
                <a:schemeClr val="tx1">
                  <a:lumMod val="85000"/>
                  <a:lumOff val="15000"/>
                </a:schemeClr>
              </a:solidFill>
              <a:round/>
            </a:ln>
            <a:effectLst/>
          </c:spPr>
          <c:marker>
            <c:symbol val="none"/>
          </c:marker>
          <c:cat>
            <c:strRef>
              <c:f>Sheet1!$A$18:$A$20</c:f>
              <c:strCache>
                <c:ptCount val="2"/>
                <c:pt idx="0">
                  <c:v>Adult</c:v>
                </c:pt>
                <c:pt idx="1">
                  <c:v>Teenage</c:v>
                </c:pt>
              </c:strCache>
            </c:strRef>
          </c:cat>
          <c:val>
            <c:numRef>
              <c:f>Sheet1!$C$18:$C$20</c:f>
              <c:numCache>
                <c:formatCode>General</c:formatCode>
                <c:ptCount val="2"/>
                <c:pt idx="0">
                  <c:v>972</c:v>
                </c:pt>
                <c:pt idx="1">
                  <c:v>5792</c:v>
                </c:pt>
              </c:numCache>
            </c:numRef>
          </c:val>
          <c:smooth val="0"/>
          <c:extLst>
            <c:ext xmlns:c16="http://schemas.microsoft.com/office/drawing/2014/chart" uri="{C3380CC4-5D6E-409C-BE32-E72D297353CC}">
              <c16:uniqueId val="{00000001-0D9D-419D-B6EB-06B53418FD58}"/>
            </c:ext>
          </c:extLst>
        </c:ser>
        <c:dLbls>
          <c:showLegendKey val="0"/>
          <c:showVal val="0"/>
          <c:showCatName val="0"/>
          <c:showSerName val="0"/>
          <c:showPercent val="0"/>
          <c:showBubbleSize val="0"/>
        </c:dLbls>
        <c:marker val="1"/>
        <c:smooth val="0"/>
        <c:axId val="192948543"/>
        <c:axId val="192932223"/>
      </c:lineChart>
      <c:catAx>
        <c:axId val="192948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32223"/>
        <c:crosses val="autoZero"/>
        <c:auto val="1"/>
        <c:lblAlgn val="ctr"/>
        <c:lblOffset val="100"/>
        <c:noMultiLvlLbl val="0"/>
      </c:catAx>
      <c:valAx>
        <c:axId val="1929322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48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44">
          <a:srgbClr val="D8E1F2"/>
        </a:gs>
        <a:gs pos="0">
          <a:schemeClr val="accent1">
            <a:lumMod val="5000"/>
            <a:lumOff val="95000"/>
          </a:schemeClr>
        </a:gs>
        <a:gs pos="5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 Dashboard.xlsx]Sheet1!PivotTable7</c:name>
    <c:fmtId val="5"/>
  </c:pivotSource>
  <c:chart>
    <c:title>
      <c:tx>
        <c:rich>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r>
              <a:rPr lang="en-US"/>
              <a:t>Number of Platform user</a:t>
            </a:r>
          </a:p>
        </c:rich>
      </c:tx>
      <c:overlay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trendline>
            <c:spPr>
              <a:ln w="19050" cap="rnd">
                <a:solidFill>
                  <a:schemeClr val="accent1"/>
                </a:solidFill>
                <a:prstDash val="sysDash"/>
              </a:ln>
              <a:effectLst/>
            </c:spPr>
            <c:trendlineType val="poly"/>
            <c:order val="5"/>
            <c:dispRSqr val="0"/>
            <c:dispEq val="0"/>
          </c:trendline>
          <c:cat>
            <c:multiLvlStrRef>
              <c:f>Sheet1!$A$24:$A$32</c:f>
              <c:multiLvlStrCache>
                <c:ptCount val="6"/>
                <c:lvl>
                  <c:pt idx="0">
                    <c:v>Both</c:v>
                  </c:pt>
                  <c:pt idx="1">
                    <c:v>Instagram</c:v>
                  </c:pt>
                  <c:pt idx="2">
                    <c:v>TikTok</c:v>
                  </c:pt>
                  <c:pt idx="3">
                    <c:v>Both</c:v>
                  </c:pt>
                  <c:pt idx="4">
                    <c:v>Instagram</c:v>
                  </c:pt>
                  <c:pt idx="5">
                    <c:v>TikTok</c:v>
                  </c:pt>
                </c:lvl>
                <c:lvl>
                  <c:pt idx="0">
                    <c:v>Adult</c:v>
                  </c:pt>
                  <c:pt idx="3">
                    <c:v>Teenage</c:v>
                  </c:pt>
                </c:lvl>
              </c:multiLvlStrCache>
            </c:multiLvlStrRef>
          </c:cat>
          <c:val>
            <c:numRef>
              <c:f>Sheet1!$B$24:$B$32</c:f>
              <c:numCache>
                <c:formatCode>General</c:formatCode>
                <c:ptCount val="6"/>
                <c:pt idx="0">
                  <c:v>48</c:v>
                </c:pt>
                <c:pt idx="1">
                  <c:v>51</c:v>
                </c:pt>
                <c:pt idx="2">
                  <c:v>63</c:v>
                </c:pt>
                <c:pt idx="3">
                  <c:v>343</c:v>
                </c:pt>
                <c:pt idx="4">
                  <c:v>360</c:v>
                </c:pt>
                <c:pt idx="5">
                  <c:v>335</c:v>
                </c:pt>
              </c:numCache>
            </c:numRef>
          </c:val>
          <c:extLst>
            <c:ext xmlns:c16="http://schemas.microsoft.com/office/drawing/2014/chart" uri="{C3380CC4-5D6E-409C-BE32-E72D297353CC}">
              <c16:uniqueId val="{00000001-07DA-46E5-B32D-934A5CC8A2AB}"/>
            </c:ext>
          </c:extLst>
        </c:ser>
        <c:dLbls>
          <c:showLegendKey val="0"/>
          <c:showVal val="0"/>
          <c:showCatName val="0"/>
          <c:showSerName val="0"/>
          <c:showPercent val="0"/>
          <c:showBubbleSize val="0"/>
        </c:dLbls>
        <c:gapWidth val="100"/>
        <c:overlap val="-24"/>
        <c:axId val="1342886496"/>
        <c:axId val="1342887456"/>
      </c:barChart>
      <c:catAx>
        <c:axId val="13428864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42887456"/>
        <c:crosses val="autoZero"/>
        <c:auto val="1"/>
        <c:lblAlgn val="ctr"/>
        <c:lblOffset val="100"/>
        <c:noMultiLvlLbl val="0"/>
      </c:catAx>
      <c:valAx>
        <c:axId val="1342887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4288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8756">
          <a:srgbClr val="BACCE9"/>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 Dashboard.xlsx]Sheet1!PivotTable8</c:name>
    <c:fmtId val="7"/>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Sleep hrs of Teen/Adult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4.7393364928909949E-2"/>
              <c:y val="-8.3782166367444649E-2"/>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9.4786729857819899E-2"/>
              <c:y val="4.1891083183722325E-2"/>
            </c:manualLayout>
          </c:layout>
          <c:numFmt formatCode="#,##0_);\(#,##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4.7393364928909949E-2"/>
              <c:y val="-8.3782166367444649E-2"/>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4786729857819899E-2"/>
              <c:y val="4.1891083183722325E-2"/>
            </c:manualLayout>
          </c:layout>
          <c:numFmt formatCode="#,##0_);\(#,##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4.7393364928909949E-2"/>
              <c:y val="-8.3782166367444649E-2"/>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9.4786729857819899E-2"/>
              <c:y val="4.1891083183722325E-2"/>
            </c:manualLayout>
          </c:layout>
          <c:numFmt formatCode="#,##0_);\(#,##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Sheet1!$E$24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B6-4754-97FC-265EAF02C1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B6-4754-97FC-265EAF02C1F6}"/>
              </c:ext>
            </c:extLst>
          </c:dPt>
          <c:dLbls>
            <c:dLbl>
              <c:idx val="0"/>
              <c:layout>
                <c:manualLayout>
                  <c:x val="4.7393364928909949E-2"/>
                  <c:y val="-8.37821663674446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B6-4754-97FC-265EAF02C1F6}"/>
                </c:ext>
              </c:extLst>
            </c:dLbl>
            <c:dLbl>
              <c:idx val="1"/>
              <c:layout>
                <c:manualLayout>
                  <c:x val="-9.4786729857819899E-2"/>
                  <c:y val="4.1891083183722325E-2"/>
                </c:manualLayout>
              </c:layout>
              <c:numFmt formatCode="#,##0_);\(#,##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8B6-4754-97FC-265EAF02C1F6}"/>
                </c:ext>
              </c:extLst>
            </c:dLbl>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Sheet1!$D$25:$D$27</c:f>
              <c:strCache>
                <c:ptCount val="2"/>
                <c:pt idx="0">
                  <c:v>Adult</c:v>
                </c:pt>
                <c:pt idx="1">
                  <c:v>Teenage</c:v>
                </c:pt>
              </c:strCache>
            </c:strRef>
          </c:cat>
          <c:val>
            <c:numRef>
              <c:f>Sheet1!$E$25:$E$27</c:f>
              <c:numCache>
                <c:formatCode>General</c:formatCode>
                <c:ptCount val="2"/>
                <c:pt idx="0">
                  <c:v>162</c:v>
                </c:pt>
                <c:pt idx="1">
                  <c:v>1038</c:v>
                </c:pt>
              </c:numCache>
            </c:numRef>
          </c:val>
          <c:extLst>
            <c:ext xmlns:c16="http://schemas.microsoft.com/office/drawing/2014/chart" uri="{C3380CC4-5D6E-409C-BE32-E72D297353CC}">
              <c16:uniqueId val="{00000004-78B6-4754-97FC-265EAF02C1F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8756">
          <a:srgbClr val="BACCE9"/>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 Dashboard.xlsx]Sheet1!PivotTable9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Social-interaction</a:t>
            </a:r>
            <a:r>
              <a:rPr lang="en-US" baseline="0"/>
              <a:t>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Sheet1!$E$30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0E-47B2-B03E-B8EB3E6BFD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0E-47B2-B03E-B8EB3E6BFD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0E-47B2-B03E-B8EB3E6BFDB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Sheet1!$D$31:$D$34</c:f>
              <c:strCache>
                <c:ptCount val="3"/>
                <c:pt idx="0">
                  <c:v>high</c:v>
                </c:pt>
                <c:pt idx="1">
                  <c:v>low</c:v>
                </c:pt>
                <c:pt idx="2">
                  <c:v>medium</c:v>
                </c:pt>
              </c:strCache>
            </c:strRef>
          </c:cat>
          <c:val>
            <c:numRef>
              <c:f>Sheet1!$E$31:$E$34</c:f>
              <c:numCache>
                <c:formatCode>General</c:formatCode>
                <c:ptCount val="3"/>
                <c:pt idx="0">
                  <c:v>369</c:v>
                </c:pt>
                <c:pt idx="1">
                  <c:v>415</c:v>
                </c:pt>
                <c:pt idx="2">
                  <c:v>416</c:v>
                </c:pt>
              </c:numCache>
            </c:numRef>
          </c:val>
          <c:extLst>
            <c:ext xmlns:c16="http://schemas.microsoft.com/office/drawing/2014/chart" uri="{C3380CC4-5D6E-409C-BE32-E72D297353CC}">
              <c16:uniqueId val="{00000006-9D0E-47B2-B03E-B8EB3E6BFDB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8756">
          <a:srgbClr val="BACCE9"/>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0</xdr:colOff>
      <xdr:row>10</xdr:row>
      <xdr:rowOff>45720</xdr:rowOff>
    </xdr:from>
    <xdr:to>
      <xdr:col>16</xdr:col>
      <xdr:colOff>137160</xdr:colOff>
      <xdr:row>15</xdr:row>
      <xdr:rowOff>152400</xdr:rowOff>
    </xdr:to>
    <xdr:sp macro="" textlink="">
      <xdr:nvSpPr>
        <xdr:cNvPr id="6" name="Rectangle: Rounded Corners 5">
          <a:extLst>
            <a:ext uri="{FF2B5EF4-FFF2-40B4-BE49-F238E27FC236}">
              <a16:creationId xmlns:a16="http://schemas.microsoft.com/office/drawing/2014/main" id="{8260B2E5-C56C-4E88-968D-3788471E6DB4}"/>
            </a:ext>
          </a:extLst>
        </xdr:cNvPr>
        <xdr:cNvSpPr/>
      </xdr:nvSpPr>
      <xdr:spPr>
        <a:xfrm>
          <a:off x="13136880" y="1905000"/>
          <a:ext cx="1965960" cy="1021080"/>
        </a:xfrm>
        <a:prstGeom prst="roundRect">
          <a:avLst/>
        </a:prstGeom>
        <a:solidFill>
          <a:srgbClr val="6666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i="0" u="none" strike="noStrike">
              <a:solidFill>
                <a:schemeClr val="lt1"/>
              </a:solidFill>
              <a:effectLst/>
              <a:latin typeface="+mn-lt"/>
              <a:ea typeface="+mn-ea"/>
              <a:cs typeface="+mn-cs"/>
            </a:rPr>
            <a:t>Total</a:t>
          </a:r>
          <a:r>
            <a:rPr lang="en-IN" sz="1100" b="1" i="0" u="none" strike="noStrike" baseline="0">
              <a:solidFill>
                <a:schemeClr val="lt1"/>
              </a:solidFill>
              <a:effectLst/>
              <a:latin typeface="+mn-lt"/>
              <a:ea typeface="+mn-ea"/>
              <a:cs typeface="+mn-cs"/>
            </a:rPr>
            <a:t> </a:t>
          </a:r>
          <a:r>
            <a:rPr lang="en-IN" sz="1100" b="1" i="0" u="none" strike="noStrike">
              <a:solidFill>
                <a:schemeClr val="lt1"/>
              </a:solidFill>
              <a:effectLst/>
              <a:latin typeface="+mn-lt"/>
              <a:ea typeface="+mn-ea"/>
              <a:cs typeface="+mn-cs"/>
            </a:rPr>
            <a:t>social_media_hours</a:t>
          </a:r>
          <a:br>
            <a:rPr lang="en-IN" sz="1100" b="1" i="0" u="none" strike="noStrike">
              <a:solidFill>
                <a:schemeClr val="lt1"/>
              </a:solidFill>
              <a:effectLst/>
              <a:latin typeface="+mn-lt"/>
              <a:ea typeface="+mn-ea"/>
              <a:cs typeface="+mn-cs"/>
            </a:rPr>
          </a:br>
          <a:r>
            <a:rPr lang="en-IN" sz="1100" b="1" i="0" u="none" strike="noStrike">
              <a:solidFill>
                <a:schemeClr val="lt1"/>
              </a:solidFill>
              <a:effectLst/>
              <a:latin typeface="+mn-lt"/>
              <a:ea typeface="+mn-ea"/>
              <a:cs typeface="+mn-cs"/>
            </a:rPr>
            <a:t>5,444</a:t>
          </a:r>
          <a:r>
            <a:rPr lang="en-IN" sz="1100" b="1" i="0" u="none" strike="noStrike" baseline="0">
              <a:solidFill>
                <a:schemeClr val="lt1"/>
              </a:solidFill>
              <a:effectLst/>
              <a:latin typeface="+mn-lt"/>
              <a:ea typeface="+mn-ea"/>
              <a:cs typeface="+mn-cs"/>
            </a:rPr>
            <a:t> hrs</a:t>
          </a:r>
          <a:r>
            <a:rPr lang="en-IN" sz="1200">
              <a:effectLst/>
            </a:rPr>
            <a:t> </a:t>
          </a:r>
          <a:endParaRPr lang="en-IN" sz="12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884</xdr:colOff>
      <xdr:row>15</xdr:row>
      <xdr:rowOff>137160</xdr:rowOff>
    </xdr:from>
    <xdr:to>
      <xdr:col>7</xdr:col>
      <xdr:colOff>365760</xdr:colOff>
      <xdr:row>28</xdr:row>
      <xdr:rowOff>106680</xdr:rowOff>
    </xdr:to>
    <xdr:graphicFrame macro="">
      <xdr:nvGraphicFramePr>
        <xdr:cNvPr id="2" name="Chart 1">
          <a:extLst>
            <a:ext uri="{FF2B5EF4-FFF2-40B4-BE49-F238E27FC236}">
              <a16:creationId xmlns:a16="http://schemas.microsoft.com/office/drawing/2014/main" id="{AD28A964-FAB8-4B2E-8312-8887FFB19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548640</xdr:colOff>
      <xdr:row>15</xdr:row>
      <xdr:rowOff>155051</xdr:rowOff>
    </xdr:from>
    <xdr:to>
      <xdr:col>14</xdr:col>
      <xdr:colOff>164768</xdr:colOff>
      <xdr:row>28</xdr:row>
      <xdr:rowOff>106680</xdr:rowOff>
    </xdr:to>
    <xdr:graphicFrame macro="">
      <xdr:nvGraphicFramePr>
        <xdr:cNvPr id="3" name="Chart 2">
          <a:extLst>
            <a:ext uri="{FF2B5EF4-FFF2-40B4-BE49-F238E27FC236}">
              <a16:creationId xmlns:a16="http://schemas.microsoft.com/office/drawing/2014/main" id="{A28AD7A7-1DB8-49CF-819A-BB16A1092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362447</xdr:colOff>
      <xdr:row>15</xdr:row>
      <xdr:rowOff>153504</xdr:rowOff>
    </xdr:from>
    <xdr:to>
      <xdr:col>21</xdr:col>
      <xdr:colOff>326225</xdr:colOff>
      <xdr:row>28</xdr:row>
      <xdr:rowOff>120373</xdr:rowOff>
    </xdr:to>
    <xdr:graphicFrame macro="">
      <xdr:nvGraphicFramePr>
        <xdr:cNvPr id="4" name="Chart 3">
          <a:extLst>
            <a:ext uri="{FF2B5EF4-FFF2-40B4-BE49-F238E27FC236}">
              <a16:creationId xmlns:a16="http://schemas.microsoft.com/office/drawing/2014/main" id="{C20902A2-8850-4FDF-B845-F07612FE1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33131</xdr:colOff>
      <xdr:row>29</xdr:row>
      <xdr:rowOff>153505</xdr:rowOff>
    </xdr:from>
    <xdr:to>
      <xdr:col>7</xdr:col>
      <xdr:colOff>578236</xdr:colOff>
      <xdr:row>44</xdr:row>
      <xdr:rowOff>95195</xdr:rowOff>
    </xdr:to>
    <xdr:graphicFrame macro="">
      <xdr:nvGraphicFramePr>
        <xdr:cNvPr id="5" name="Chart 4">
          <a:extLst>
            <a:ext uri="{FF2B5EF4-FFF2-40B4-BE49-F238E27FC236}">
              <a16:creationId xmlns:a16="http://schemas.microsoft.com/office/drawing/2014/main" id="{77E42DCC-AB64-4229-B886-63D38CEA8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176697</xdr:colOff>
      <xdr:row>29</xdr:row>
      <xdr:rowOff>132520</xdr:rowOff>
    </xdr:from>
    <xdr:to>
      <xdr:col>14</xdr:col>
      <xdr:colOff>154721</xdr:colOff>
      <xdr:row>44</xdr:row>
      <xdr:rowOff>128324</xdr:rowOff>
    </xdr:to>
    <xdr:graphicFrame macro="">
      <xdr:nvGraphicFramePr>
        <xdr:cNvPr id="6" name="Chart 5">
          <a:extLst>
            <a:ext uri="{FF2B5EF4-FFF2-40B4-BE49-F238E27FC236}">
              <a16:creationId xmlns:a16="http://schemas.microsoft.com/office/drawing/2014/main" id="{EB57677E-F52F-44EB-89AA-5F6A75EA9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518381</xdr:colOff>
      <xdr:row>29</xdr:row>
      <xdr:rowOff>118054</xdr:rowOff>
    </xdr:from>
    <xdr:to>
      <xdr:col>21</xdr:col>
      <xdr:colOff>588947</xdr:colOff>
      <xdr:row>44</xdr:row>
      <xdr:rowOff>139368</xdr:rowOff>
    </xdr:to>
    <xdr:graphicFrame macro="">
      <xdr:nvGraphicFramePr>
        <xdr:cNvPr id="7" name="Chart 6">
          <a:extLst>
            <a:ext uri="{FF2B5EF4-FFF2-40B4-BE49-F238E27FC236}">
              <a16:creationId xmlns:a16="http://schemas.microsoft.com/office/drawing/2014/main" id="{039AE18B-A108-42BA-9BA5-F6CF14A6D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506783</xdr:colOff>
      <xdr:row>7</xdr:row>
      <xdr:rowOff>132191</xdr:rowOff>
    </xdr:from>
    <xdr:to>
      <xdr:col>10</xdr:col>
      <xdr:colOff>506783</xdr:colOff>
      <xdr:row>14</xdr:row>
      <xdr:rowOff>76200</xdr:rowOff>
    </xdr:to>
    <mc:AlternateContent xmlns:mc="http://schemas.openxmlformats.org/markup-compatibility/2006">
      <mc:Choice xmlns:a14="http://schemas.microsoft.com/office/drawing/2010/main" Requires="a14">
        <xdr:graphicFrame macro="">
          <xdr:nvGraphicFramePr>
            <xdr:cNvPr id="8" name="teenage/adult">
              <a:extLst>
                <a:ext uri="{FF2B5EF4-FFF2-40B4-BE49-F238E27FC236}">
                  <a16:creationId xmlns:a16="http://schemas.microsoft.com/office/drawing/2014/main" id="{3391CBE6-E98F-A0B7-0DFB-C5A8D77C0100}"/>
                </a:ext>
              </a:extLst>
            </xdr:cNvPr>
            <xdr:cNvGraphicFramePr/>
          </xdr:nvGraphicFramePr>
          <xdr:xfrm>
            <a:off x="0" y="0"/>
            <a:ext cx="0" cy="0"/>
          </xdr:xfrm>
          <a:graphic>
            <a:graphicData uri="http://schemas.microsoft.com/office/drawing/2010/slicer">
              <sle:slicer xmlns:sle="http://schemas.microsoft.com/office/drawing/2010/slicer" name="teenage/adult"/>
            </a:graphicData>
          </a:graphic>
        </xdr:graphicFrame>
      </mc:Choice>
      <mc:Fallback>
        <xdr:sp macro="" textlink="">
          <xdr:nvSpPr>
            <xdr:cNvPr id="0" name=""/>
            <xdr:cNvSpPr>
              <a:spLocks noTextEdit="1"/>
            </xdr:cNvSpPr>
          </xdr:nvSpPr>
          <xdr:spPr>
            <a:xfrm>
              <a:off x="4787153" y="1421006"/>
              <a:ext cx="1834445" cy="1195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124901</xdr:colOff>
      <xdr:row>7</xdr:row>
      <xdr:rowOff>156597</xdr:rowOff>
    </xdr:from>
    <xdr:to>
      <xdr:col>4</xdr:col>
      <xdr:colOff>124901</xdr:colOff>
      <xdr:row>14</xdr:row>
      <xdr:rowOff>91439</xdr:rowOff>
    </xdr:to>
    <mc:AlternateContent xmlns:mc="http://schemas.openxmlformats.org/markup-compatibility/2006">
      <mc:Choice xmlns:a14="http://schemas.microsoft.com/office/drawing/2010/main" Requires="a14">
        <xdr:graphicFrame macro="">
          <xdr:nvGraphicFramePr>
            <xdr:cNvPr id="9" name="platform_usage">
              <a:extLst>
                <a:ext uri="{FF2B5EF4-FFF2-40B4-BE49-F238E27FC236}">
                  <a16:creationId xmlns:a16="http://schemas.microsoft.com/office/drawing/2014/main" id="{E75918F9-E3FC-855F-CFC4-5A51A545C52D}"/>
                </a:ext>
              </a:extLst>
            </xdr:cNvPr>
            <xdr:cNvGraphicFramePr/>
          </xdr:nvGraphicFramePr>
          <xdr:xfrm>
            <a:off x="0" y="0"/>
            <a:ext cx="0" cy="0"/>
          </xdr:xfrm>
          <a:graphic>
            <a:graphicData uri="http://schemas.microsoft.com/office/drawing/2010/slicer">
              <sle:slicer xmlns:sle="http://schemas.microsoft.com/office/drawing/2010/slicer" name="platform_usage"/>
            </a:graphicData>
          </a:graphic>
        </xdr:graphicFrame>
      </mc:Choice>
      <mc:Fallback>
        <xdr:sp macro="" textlink="">
          <xdr:nvSpPr>
            <xdr:cNvPr id="0" name=""/>
            <xdr:cNvSpPr>
              <a:spLocks noTextEdit="1"/>
            </xdr:cNvSpPr>
          </xdr:nvSpPr>
          <xdr:spPr>
            <a:xfrm>
              <a:off x="736382" y="1445412"/>
              <a:ext cx="1834445" cy="1186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231250</xdr:colOff>
      <xdr:row>7</xdr:row>
      <xdr:rowOff>125344</xdr:rowOff>
    </xdr:from>
    <xdr:to>
      <xdr:col>7</xdr:col>
      <xdr:colOff>337929</xdr:colOff>
      <xdr:row>14</xdr:row>
      <xdr:rowOff>106679</xdr:rowOff>
    </xdr:to>
    <mc:AlternateContent xmlns:mc="http://schemas.openxmlformats.org/markup-compatibility/2006">
      <mc:Choice xmlns:a14="http://schemas.microsoft.com/office/drawing/2010/main" Requires="a14">
        <xdr:graphicFrame macro="">
          <xdr:nvGraphicFramePr>
            <xdr:cNvPr id="10" name="social_interaction_level">
              <a:extLst>
                <a:ext uri="{FF2B5EF4-FFF2-40B4-BE49-F238E27FC236}">
                  <a16:creationId xmlns:a16="http://schemas.microsoft.com/office/drawing/2014/main" id="{5773E358-D4DE-661C-859A-16DE144449FA}"/>
                </a:ext>
              </a:extLst>
            </xdr:cNvPr>
            <xdr:cNvGraphicFramePr/>
          </xdr:nvGraphicFramePr>
          <xdr:xfrm>
            <a:off x="0" y="0"/>
            <a:ext cx="0" cy="0"/>
          </xdr:xfrm>
          <a:graphic>
            <a:graphicData uri="http://schemas.microsoft.com/office/drawing/2010/slicer">
              <sle:slicer xmlns:sle="http://schemas.microsoft.com/office/drawing/2010/slicer" name="social_interaction_level"/>
            </a:graphicData>
          </a:graphic>
        </xdr:graphicFrame>
      </mc:Choice>
      <mc:Fallback>
        <xdr:sp macro="" textlink="">
          <xdr:nvSpPr>
            <xdr:cNvPr id="0" name=""/>
            <xdr:cNvSpPr>
              <a:spLocks noTextEdit="1"/>
            </xdr:cNvSpPr>
          </xdr:nvSpPr>
          <xdr:spPr>
            <a:xfrm>
              <a:off x="2677176" y="1414159"/>
              <a:ext cx="1941123" cy="123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xdr:row>
      <xdr:rowOff>83820</xdr:rowOff>
    </xdr:from>
    <xdr:to>
      <xdr:col>3</xdr:col>
      <xdr:colOff>525780</xdr:colOff>
      <xdr:row>7</xdr:row>
      <xdr:rowOff>7620</xdr:rowOff>
    </xdr:to>
    <xdr:sp macro="" textlink="">
      <xdr:nvSpPr>
        <xdr:cNvPr id="11" name="Rectangle: Rounded Corners 10">
          <a:extLst>
            <a:ext uri="{FF2B5EF4-FFF2-40B4-BE49-F238E27FC236}">
              <a16:creationId xmlns:a16="http://schemas.microsoft.com/office/drawing/2014/main" id="{22403137-3198-4A95-9AAC-5CB88AC2D45A}"/>
            </a:ext>
          </a:extLst>
        </xdr:cNvPr>
        <xdr:cNvSpPr/>
      </xdr:nvSpPr>
      <xdr:spPr>
        <a:xfrm>
          <a:off x="609600" y="487680"/>
          <a:ext cx="1744980" cy="8382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bg1"/>
              </a:solidFill>
            </a:rPr>
            <a:t>Count</a:t>
          </a:r>
          <a:r>
            <a:rPr lang="en-IN" sz="1200" baseline="0">
              <a:solidFill>
                <a:schemeClr val="bg1"/>
              </a:solidFill>
            </a:rPr>
            <a:t> of T</a:t>
          </a:r>
          <a:r>
            <a:rPr lang="en-IN" sz="1200">
              <a:solidFill>
                <a:schemeClr val="bg1"/>
              </a:solidFill>
            </a:rPr>
            <a:t>eenage/adult</a:t>
          </a:r>
          <a:br>
            <a:rPr lang="en-IN" sz="1100" b="0" i="0" u="none" strike="noStrike">
              <a:solidFill>
                <a:schemeClr val="bg1"/>
              </a:solidFill>
              <a:effectLst/>
              <a:latin typeface="+mn-lt"/>
              <a:ea typeface="+mn-ea"/>
              <a:cs typeface="+mn-cs"/>
            </a:rPr>
          </a:br>
          <a:r>
            <a:rPr lang="en-IN" sz="1200" b="0" i="0" u="none" strike="noStrike">
              <a:solidFill>
                <a:schemeClr val="bg1"/>
              </a:solidFill>
              <a:effectLst/>
              <a:latin typeface="+mn-lt"/>
              <a:ea typeface="+mn-ea"/>
              <a:cs typeface="+mn-cs"/>
            </a:rPr>
            <a:t>1200</a:t>
          </a:r>
          <a:r>
            <a:rPr lang="en-IN" sz="1200">
              <a:solidFill>
                <a:schemeClr val="bg1"/>
              </a:solidFill>
              <a:effectLst/>
            </a:rPr>
            <a:t> </a:t>
          </a:r>
          <a:endParaRPr lang="en-IN" sz="1200">
            <a:solidFill>
              <a:schemeClr val="bg1"/>
            </a:solidFill>
          </a:endParaRPr>
        </a:p>
      </xdr:txBody>
    </xdr:sp>
    <xdr:clientData/>
  </xdr:twoCellAnchor>
  <xdr:twoCellAnchor>
    <xdr:from>
      <xdr:col>3</xdr:col>
      <xdr:colOff>579120</xdr:colOff>
      <xdr:row>2</xdr:row>
      <xdr:rowOff>99060</xdr:rowOff>
    </xdr:from>
    <xdr:to>
      <xdr:col>7</xdr:col>
      <xdr:colOff>38100</xdr:colOff>
      <xdr:row>7</xdr:row>
      <xdr:rowOff>15240</xdr:rowOff>
    </xdr:to>
    <xdr:sp macro="" textlink="">
      <xdr:nvSpPr>
        <xdr:cNvPr id="12" name="Rectangle: Rounded Corners 11">
          <a:extLst>
            <a:ext uri="{FF2B5EF4-FFF2-40B4-BE49-F238E27FC236}">
              <a16:creationId xmlns:a16="http://schemas.microsoft.com/office/drawing/2014/main" id="{EBB7A18E-E147-4BD7-A27F-850B4E945BB6}"/>
            </a:ext>
          </a:extLst>
        </xdr:cNvPr>
        <xdr:cNvSpPr/>
      </xdr:nvSpPr>
      <xdr:spPr>
        <a:xfrm>
          <a:off x="2407920" y="502920"/>
          <a:ext cx="1897380" cy="8305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0" i="0" u="none" strike="noStrike">
              <a:solidFill>
                <a:schemeClr val="lt1"/>
              </a:solidFill>
              <a:effectLst/>
              <a:latin typeface="+mn-lt"/>
              <a:ea typeface="+mn-ea"/>
              <a:cs typeface="+mn-cs"/>
            </a:rPr>
            <a:t>Total social_media_hours</a:t>
          </a:r>
          <a:br>
            <a:rPr lang="en-IN" sz="1100" b="0" i="0" u="none" strike="noStrike">
              <a:solidFill>
                <a:schemeClr val="lt1"/>
              </a:solidFill>
              <a:effectLst/>
              <a:latin typeface="+mn-lt"/>
              <a:ea typeface="+mn-ea"/>
              <a:cs typeface="+mn-cs"/>
            </a:rPr>
          </a:br>
          <a:r>
            <a:rPr lang="en-IN" sz="1100" b="0" i="0" u="none" strike="noStrike">
              <a:solidFill>
                <a:schemeClr val="lt1"/>
              </a:solidFill>
              <a:effectLst/>
              <a:latin typeface="+mn-lt"/>
              <a:ea typeface="+mn-ea"/>
              <a:cs typeface="+mn-cs"/>
            </a:rPr>
            <a:t>5,444 hrs </a:t>
          </a:r>
        </a:p>
      </xdr:txBody>
    </xdr:sp>
    <xdr:clientData/>
  </xdr:twoCellAnchor>
  <xdr:twoCellAnchor>
    <xdr:from>
      <xdr:col>10</xdr:col>
      <xdr:colOff>289560</xdr:colOff>
      <xdr:row>2</xdr:row>
      <xdr:rowOff>114300</xdr:rowOff>
    </xdr:from>
    <xdr:to>
      <xdr:col>13</xdr:col>
      <xdr:colOff>358140</xdr:colOff>
      <xdr:row>7</xdr:row>
      <xdr:rowOff>30480</xdr:rowOff>
    </xdr:to>
    <xdr:sp macro="" textlink="">
      <xdr:nvSpPr>
        <xdr:cNvPr id="13" name="Rectangle: Rounded Corners 12">
          <a:extLst>
            <a:ext uri="{FF2B5EF4-FFF2-40B4-BE49-F238E27FC236}">
              <a16:creationId xmlns:a16="http://schemas.microsoft.com/office/drawing/2014/main" id="{19B8F286-9D87-48C8-B2C6-5304E0D8FB65}"/>
            </a:ext>
          </a:extLst>
        </xdr:cNvPr>
        <xdr:cNvSpPr/>
      </xdr:nvSpPr>
      <xdr:spPr>
        <a:xfrm>
          <a:off x="6385560" y="518160"/>
          <a:ext cx="1897380" cy="8305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0" i="0" u="none" strike="noStrike">
              <a:solidFill>
                <a:schemeClr val="lt1"/>
              </a:solidFill>
              <a:effectLst/>
              <a:latin typeface="+mn-lt"/>
              <a:ea typeface="+mn-ea"/>
              <a:cs typeface="+mn-cs"/>
            </a:rPr>
            <a:t>Total</a:t>
          </a:r>
          <a:r>
            <a:rPr lang="en-IN" sz="1100" b="0" i="0" u="none" strike="noStrike" baseline="0">
              <a:solidFill>
                <a:schemeClr val="lt1"/>
              </a:solidFill>
              <a:effectLst/>
              <a:latin typeface="+mn-lt"/>
              <a:ea typeface="+mn-ea"/>
              <a:cs typeface="+mn-cs"/>
            </a:rPr>
            <a:t> </a:t>
          </a:r>
          <a:r>
            <a:rPr lang="en-IN" sz="1100" b="0" i="0" u="none" strike="noStrike">
              <a:solidFill>
                <a:schemeClr val="lt1"/>
              </a:solidFill>
              <a:effectLst/>
              <a:latin typeface="+mn-lt"/>
              <a:ea typeface="+mn-ea"/>
              <a:cs typeface="+mn-cs"/>
            </a:rPr>
            <a:t>addiction</a:t>
          </a:r>
          <a:br>
            <a:rPr lang="en-IN" sz="1100" b="0" i="0" u="none" strike="noStrike">
              <a:solidFill>
                <a:schemeClr val="lt1"/>
              </a:solidFill>
              <a:effectLst/>
              <a:latin typeface="+mn-lt"/>
              <a:ea typeface="+mn-ea"/>
              <a:cs typeface="+mn-cs"/>
            </a:rPr>
          </a:br>
          <a:r>
            <a:rPr lang="en-IN" sz="1100" b="0" i="0" u="none" strike="noStrike">
              <a:solidFill>
                <a:schemeClr val="lt1"/>
              </a:solidFill>
              <a:effectLst/>
              <a:latin typeface="+mn-lt"/>
              <a:ea typeface="+mn-ea"/>
              <a:cs typeface="+mn-cs"/>
            </a:rPr>
            <a:t>6,678</a:t>
          </a:r>
          <a:r>
            <a:rPr lang="en-IN" b="0">
              <a:effectLst/>
            </a:rPr>
            <a:t> </a:t>
          </a:r>
          <a:endParaRPr lang="en-IN" sz="1100" b="0" i="0" u="none" strike="noStrike">
            <a:solidFill>
              <a:schemeClr val="lt1"/>
            </a:solidFill>
            <a:effectLst/>
            <a:latin typeface="+mn-lt"/>
            <a:ea typeface="+mn-ea"/>
            <a:cs typeface="+mn-cs"/>
          </a:endParaRPr>
        </a:p>
      </xdr:txBody>
    </xdr:sp>
    <xdr:clientData/>
  </xdr:twoCellAnchor>
  <xdr:twoCellAnchor>
    <xdr:from>
      <xdr:col>7</xdr:col>
      <xdr:colOff>106680</xdr:colOff>
      <xdr:row>2</xdr:row>
      <xdr:rowOff>91440</xdr:rowOff>
    </xdr:from>
    <xdr:to>
      <xdr:col>10</xdr:col>
      <xdr:colOff>175260</xdr:colOff>
      <xdr:row>7</xdr:row>
      <xdr:rowOff>7620</xdr:rowOff>
    </xdr:to>
    <xdr:sp macro="" textlink="">
      <xdr:nvSpPr>
        <xdr:cNvPr id="14" name="Rectangle: Rounded Corners 13">
          <a:extLst>
            <a:ext uri="{FF2B5EF4-FFF2-40B4-BE49-F238E27FC236}">
              <a16:creationId xmlns:a16="http://schemas.microsoft.com/office/drawing/2014/main" id="{5AB2406B-5264-4E2B-8325-36A9E0061E10}"/>
            </a:ext>
          </a:extLst>
        </xdr:cNvPr>
        <xdr:cNvSpPr/>
      </xdr:nvSpPr>
      <xdr:spPr>
        <a:xfrm>
          <a:off x="4373880" y="495300"/>
          <a:ext cx="1897380" cy="8305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0" i="0" u="none" strike="noStrike">
              <a:solidFill>
                <a:schemeClr val="lt1"/>
              </a:solidFill>
              <a:effectLst/>
              <a:latin typeface="+mn-lt"/>
              <a:ea typeface="+mn-ea"/>
              <a:cs typeface="+mn-cs"/>
            </a:rPr>
            <a:t>Average of physical_activity</a:t>
          </a:r>
          <a:r>
            <a:rPr lang="en-IN" b="0">
              <a:effectLst/>
            </a:rPr>
            <a:t> </a:t>
          </a:r>
          <a:br>
            <a:rPr lang="en-IN" sz="1100" b="0" i="0" u="none" strike="noStrike">
              <a:solidFill>
                <a:schemeClr val="lt1"/>
              </a:solidFill>
              <a:effectLst/>
              <a:latin typeface="+mn-lt"/>
              <a:ea typeface="+mn-ea"/>
              <a:cs typeface="+mn-cs"/>
            </a:rPr>
          </a:br>
          <a:r>
            <a:rPr lang="en-IN" sz="1100" b="0" i="0" u="none" strike="noStrike">
              <a:solidFill>
                <a:schemeClr val="lt1"/>
              </a:solidFill>
              <a:effectLst/>
              <a:latin typeface="+mn-lt"/>
              <a:ea typeface="+mn-ea"/>
              <a:cs typeface="+mn-cs"/>
            </a:rPr>
            <a:t>1.0145</a:t>
          </a:r>
          <a:r>
            <a:rPr lang="en-IN" b="0">
              <a:effectLst/>
            </a:rPr>
            <a:t> </a:t>
          </a:r>
          <a:endParaRPr lang="en-IN" sz="1100" b="0" i="0" u="none" strike="noStrike">
            <a:solidFill>
              <a:schemeClr val="lt1"/>
            </a:solidFill>
            <a:effectLst/>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LIM 3i" refreshedDate="46197.714339004633" createdVersion="8" refreshedVersion="8" minRefreshableVersion="3" recordCount="1200" xr:uid="{83F41298-BC0F-4D21-832C-4CB087CE3209}">
  <cacheSource type="worksheet">
    <worksheetSource name="Table1"/>
  </cacheSource>
  <cacheFields count="18">
    <cacheField name="age" numFmtId="0">
      <sharedItems containsSemiMixedTypes="0" containsString="0" containsNumber="1" containsInteger="1" minValue="13" maxValue="19" count="7">
        <n v="14"/>
        <n v="19"/>
        <n v="17"/>
        <n v="15"/>
        <n v="18"/>
        <n v="16"/>
        <n v="13"/>
      </sharedItems>
    </cacheField>
    <cacheField name="gender" numFmtId="0">
      <sharedItems count="2">
        <s v="male"/>
        <s v="female"/>
      </sharedItems>
    </cacheField>
    <cacheField name="teenage/adult" numFmtId="0">
      <sharedItems count="2">
        <s v="Teenage"/>
        <s v="Adult"/>
      </sharedItems>
    </cacheField>
    <cacheField name="daily_social_media_hours" numFmtId="0">
      <sharedItems containsSemiMixedTypes="0" containsString="0" containsNumber="1" minValue="1" maxValue="8"/>
    </cacheField>
    <cacheField name="platform_usage" numFmtId="0">
      <sharedItems count="3">
        <s v="Instagram"/>
        <s v="TikTok"/>
        <s v="Both"/>
      </sharedItems>
    </cacheField>
    <cacheField name="sleep_hours" numFmtId="0">
      <sharedItems containsSemiMixedTypes="0" containsString="0" containsNumber="1" minValue="4" maxValue="9"/>
    </cacheField>
    <cacheField name="sleep duration" numFmtId="0">
      <sharedItems containsSemiMixedTypes="0" containsString="0" containsNumber="1" minValue="-3.8000000000000007" maxValue="7.9"/>
    </cacheField>
    <cacheField name="screen_time_before_sleep" numFmtId="0">
      <sharedItems containsSemiMixedTypes="0" containsString="0" containsNumber="1" minValue="0.5" maxValue="3"/>
    </cacheField>
    <cacheField name="academic_performance" numFmtId="0">
      <sharedItems containsSemiMixedTypes="0" containsString="0" containsNumber="1" minValue="2" maxValue="4" count="201">
        <n v="3.01"/>
        <n v="3.22"/>
        <n v="3.92"/>
        <n v="3.48"/>
        <n v="2.37"/>
        <n v="2.63"/>
        <n v="2.4"/>
        <n v="2.04"/>
        <n v="3.77"/>
        <n v="3.16"/>
        <n v="2.02"/>
        <n v="3.29"/>
        <n v="3.5"/>
        <n v="2.99"/>
        <n v="2.59"/>
        <n v="2.11"/>
        <n v="3.08"/>
        <n v="3.85"/>
        <n v="2.2400000000000002"/>
        <n v="2.38"/>
        <n v="3.69"/>
        <n v="2.96"/>
        <n v="2.5299999999999998"/>
        <n v="2.15"/>
        <n v="2.64"/>
        <n v="3.26"/>
        <n v="3.83"/>
        <n v="2.67"/>
        <n v="3.05"/>
        <n v="2.31"/>
        <n v="3.27"/>
        <n v="2.0099999999999998"/>
        <n v="3.96"/>
        <n v="2.84"/>
        <n v="2.4300000000000002"/>
        <n v="2.06"/>
        <n v="3.81"/>
        <n v="3.42"/>
        <n v="3.59"/>
        <n v="3.07"/>
        <n v="2.2200000000000002"/>
        <n v="2.36"/>
        <n v="2.27"/>
        <n v="3.24"/>
        <n v="3.65"/>
        <n v="3.43"/>
        <n v="3.3"/>
        <n v="2.97"/>
        <n v="2.2999999999999998"/>
        <n v="2.65"/>
        <n v="2.0299999999999998"/>
        <n v="2.16"/>
        <n v="3.57"/>
        <n v="3.82"/>
        <n v="3.15"/>
        <n v="2.56"/>
        <n v="2.8"/>
        <n v="3.53"/>
        <n v="2.4500000000000002"/>
        <n v="2.83"/>
        <n v="2.73"/>
        <n v="3"/>
        <n v="3.9"/>
        <n v="2.5499999999999998"/>
        <n v="3.41"/>
        <n v="3.71"/>
        <n v="3.13"/>
        <n v="2.39"/>
        <n v="2.61"/>
        <n v="2.19"/>
        <n v="2.95"/>
        <n v="3.64"/>
        <n v="3.4"/>
        <n v="3.47"/>
        <n v="2.77"/>
        <n v="3.94"/>
        <n v="3.7"/>
        <n v="3.6"/>
        <n v="3.66"/>
        <n v="2.57"/>
        <n v="3.51"/>
        <n v="3.32"/>
        <n v="3.72"/>
        <n v="2.75"/>
        <n v="3.91"/>
        <n v="3.56"/>
        <n v="3.36"/>
        <n v="3.99"/>
        <n v="2.98"/>
        <n v="2.29"/>
        <n v="3.89"/>
        <n v="3.75"/>
        <n v="2.21"/>
        <n v="2.79"/>
        <n v="4"/>
        <n v="3.12"/>
        <n v="2.17"/>
        <n v="3.97"/>
        <n v="3.1"/>
        <n v="3.03"/>
        <n v="3.18"/>
        <n v="2.69"/>
        <n v="3.19"/>
        <n v="2.41"/>
        <n v="2.62"/>
        <n v="3.84"/>
        <n v="2.94"/>
        <n v="3.87"/>
        <n v="2.4700000000000002"/>
        <n v="2.7"/>
        <n v="2.5099999999999998"/>
        <n v="2.14"/>
        <n v="3.25"/>
        <n v="3.55"/>
        <n v="2.5"/>
        <n v="2.91"/>
        <n v="2.3199999999999998"/>
        <n v="3.61"/>
        <n v="3.06"/>
        <n v="3.68"/>
        <n v="2.52"/>
        <n v="3.2"/>
        <n v="3.33"/>
        <n v="3.21"/>
        <n v="3.35"/>
        <n v="2.2599999999999998"/>
        <n v="3.58"/>
        <n v="2.71"/>
        <n v="2.1"/>
        <n v="3.67"/>
        <n v="2.66"/>
        <n v="3.31"/>
        <n v="2.46"/>
        <n v="3.45"/>
        <n v="2.6"/>
        <n v="3.11"/>
        <n v="3.52"/>
        <n v="2.58"/>
        <n v="3.88"/>
        <n v="2.2799999999999998"/>
        <n v="2.76"/>
        <n v="2.09"/>
        <n v="2.48"/>
        <n v="2.23"/>
        <n v="2.54"/>
        <n v="2.13"/>
        <n v="3.54"/>
        <n v="3.79"/>
        <n v="2.93"/>
        <n v="3.28"/>
        <n v="2.2000000000000002"/>
        <n v="2.44"/>
        <n v="3.04"/>
        <n v="2.78"/>
        <n v="2.85"/>
        <n v="3.34"/>
        <n v="2.42"/>
        <n v="2.72"/>
        <n v="3.17"/>
        <n v="3.49"/>
        <n v="2.74"/>
        <n v="3.62"/>
        <n v="2.92"/>
        <n v="2.4900000000000002"/>
        <n v="3.8"/>
        <n v="3.93"/>
        <n v="2.0699999999999998"/>
        <n v="2.0499999999999998"/>
        <n v="2.12"/>
        <n v="2.82"/>
        <n v="2.68"/>
        <n v="2.81"/>
        <n v="2.34"/>
        <n v="3.39"/>
        <n v="3.86"/>
        <n v="3.37"/>
        <n v="3.46"/>
        <n v="2.1800000000000002"/>
        <n v="3.73"/>
        <n v="2.33"/>
        <n v="3.95"/>
        <n v="3.09"/>
        <n v="2.88"/>
        <n v="2.89"/>
        <n v="2.86"/>
        <n v="3.98"/>
        <n v="2.08"/>
        <n v="2.87"/>
        <n v="2.35"/>
        <n v="3.44"/>
        <n v="2.25"/>
        <n v="3.76"/>
        <n v="3.63"/>
        <n v="3.38"/>
        <n v="2.9"/>
        <n v="3.02"/>
        <n v="3.74"/>
        <n v="3.78"/>
        <n v="3.14"/>
        <n v="2"/>
        <n v="3.23"/>
      </sharedItems>
    </cacheField>
    <cacheField name="physical_activity" numFmtId="0">
      <sharedItems containsSemiMixedTypes="0" containsString="0" containsNumber="1" minValue="0" maxValue="2" count="21">
        <n v="1.5"/>
        <n v="0.8"/>
        <n v="0"/>
        <n v="1.4"/>
        <n v="0.6"/>
        <n v="0.7"/>
        <n v="1.3"/>
        <n v="0.9"/>
        <n v="1.1000000000000001"/>
        <n v="1.2"/>
        <n v="1.7"/>
        <n v="0.3"/>
        <n v="0.5"/>
        <n v="1.9"/>
        <n v="0.4"/>
        <n v="0.1"/>
        <n v="1.6"/>
        <n v="1.8"/>
        <n v="0.2"/>
        <n v="1"/>
        <n v="2"/>
      </sharedItems>
    </cacheField>
    <cacheField name="protective factor" numFmtId="0">
      <sharedItems count="2">
        <s v="lower rate of depression"/>
        <s v="better overall "/>
      </sharedItems>
    </cacheField>
    <cacheField name="social_interaction_level" numFmtId="0">
      <sharedItems count="3">
        <s v="low"/>
        <s v="high"/>
        <s v="medium"/>
      </sharedItems>
    </cacheField>
    <cacheField name="stress_level" numFmtId="0">
      <sharedItems containsSemiMixedTypes="0" containsString="0" containsNumber="1" containsInteger="1" minValue="1" maxValue="10"/>
    </cacheField>
    <cacheField name="anxiety_level" numFmtId="0">
      <sharedItems containsSemiMixedTypes="0" containsString="0" containsNumber="1" containsInteger="1" minValue="1" maxValue="10"/>
    </cacheField>
    <cacheField name="addiction_level" numFmtId="0">
      <sharedItems containsSemiMixedTypes="0" containsString="0" containsNumber="1" containsInteger="1" minValue="1" maxValue="10"/>
    </cacheField>
    <cacheField name="depression_label" numFmtId="0">
      <sharedItems containsSemiMixedTypes="0" containsString="0" containsNumber="1" containsInteger="1" minValue="0" maxValue="1" count="2">
        <n v="0"/>
        <n v="1"/>
      </sharedItems>
    </cacheField>
    <cacheField name="Field1" numFmtId="0" formula="daily_social_media_hours-sleep_hours" databaseField="0"/>
    <cacheField name="Field2" numFmtId="0" formula="daily_social_media_hours-social_interaction_level" databaseField="0"/>
  </cacheFields>
  <extLst>
    <ext xmlns:x14="http://schemas.microsoft.com/office/spreadsheetml/2009/9/main" uri="{725AE2AE-9491-48be-B2B4-4EB974FC3084}">
      <x14:pivotCacheDefinition pivotCacheId="57904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n v="7.9"/>
    <x v="0"/>
    <n v="7.4"/>
    <n v="-0.5"/>
    <n v="2.9"/>
    <x v="0"/>
    <x v="0"/>
    <x v="0"/>
    <x v="0"/>
    <n v="2"/>
    <n v="2"/>
    <n v="1"/>
    <x v="0"/>
  </r>
  <r>
    <x v="1"/>
    <x v="1"/>
    <x v="1"/>
    <n v="1.9"/>
    <x v="1"/>
    <n v="8"/>
    <n v="6.1"/>
    <n v="2.9"/>
    <x v="1"/>
    <x v="1"/>
    <x v="0"/>
    <x v="1"/>
    <n v="8"/>
    <n v="1"/>
    <n v="10"/>
    <x v="0"/>
  </r>
  <r>
    <x v="2"/>
    <x v="1"/>
    <x v="0"/>
    <n v="1.3"/>
    <x v="0"/>
    <n v="7.6"/>
    <n v="6.3"/>
    <n v="0.5"/>
    <x v="2"/>
    <x v="2"/>
    <x v="0"/>
    <x v="1"/>
    <n v="2"/>
    <n v="4"/>
    <n v="2"/>
    <x v="0"/>
  </r>
  <r>
    <x v="3"/>
    <x v="0"/>
    <x v="0"/>
    <n v="7.4"/>
    <x v="1"/>
    <n v="6.9"/>
    <n v="-0.5"/>
    <n v="1.6"/>
    <x v="3"/>
    <x v="1"/>
    <x v="0"/>
    <x v="2"/>
    <n v="1"/>
    <n v="7"/>
    <n v="9"/>
    <x v="0"/>
  </r>
  <r>
    <x v="3"/>
    <x v="1"/>
    <x v="0"/>
    <n v="4.7"/>
    <x v="2"/>
    <n v="4.9000000000000004"/>
    <n v="0.20000000000000018"/>
    <n v="3"/>
    <x v="4"/>
    <x v="3"/>
    <x v="0"/>
    <x v="2"/>
    <n v="3"/>
    <n v="5"/>
    <n v="2"/>
    <x v="0"/>
  </r>
  <r>
    <x v="1"/>
    <x v="1"/>
    <x v="1"/>
    <n v="7.4"/>
    <x v="2"/>
    <n v="4.4000000000000004"/>
    <n v="-3"/>
    <n v="2.4"/>
    <x v="5"/>
    <x v="4"/>
    <x v="0"/>
    <x v="1"/>
    <n v="3"/>
    <n v="5"/>
    <n v="7"/>
    <x v="0"/>
  </r>
  <r>
    <x v="4"/>
    <x v="1"/>
    <x v="0"/>
    <n v="2.5"/>
    <x v="0"/>
    <n v="6.4"/>
    <n v="3.9000000000000004"/>
    <n v="2.4"/>
    <x v="5"/>
    <x v="5"/>
    <x v="0"/>
    <x v="0"/>
    <n v="2"/>
    <n v="2"/>
    <n v="5"/>
    <x v="0"/>
  </r>
  <r>
    <x v="5"/>
    <x v="0"/>
    <x v="0"/>
    <n v="4"/>
    <x v="2"/>
    <n v="4.2"/>
    <n v="0.20000000000000018"/>
    <n v="0.5"/>
    <x v="6"/>
    <x v="6"/>
    <x v="0"/>
    <x v="0"/>
    <n v="6"/>
    <n v="10"/>
    <n v="5"/>
    <x v="0"/>
  </r>
  <r>
    <x v="1"/>
    <x v="1"/>
    <x v="1"/>
    <n v="3.3"/>
    <x v="1"/>
    <n v="5"/>
    <n v="1.7000000000000002"/>
    <n v="2.1"/>
    <x v="7"/>
    <x v="7"/>
    <x v="0"/>
    <x v="1"/>
    <n v="1"/>
    <n v="10"/>
    <n v="9"/>
    <x v="0"/>
  </r>
  <r>
    <x v="3"/>
    <x v="0"/>
    <x v="0"/>
    <n v="1.9"/>
    <x v="1"/>
    <n v="4.9000000000000004"/>
    <n v="3.0000000000000004"/>
    <n v="1.5"/>
    <x v="8"/>
    <x v="8"/>
    <x v="0"/>
    <x v="1"/>
    <n v="1"/>
    <n v="1"/>
    <n v="4"/>
    <x v="0"/>
  </r>
  <r>
    <x v="5"/>
    <x v="0"/>
    <x v="0"/>
    <n v="7.2"/>
    <x v="2"/>
    <n v="5.8"/>
    <n v="-1.4000000000000004"/>
    <n v="2.9"/>
    <x v="9"/>
    <x v="9"/>
    <x v="0"/>
    <x v="2"/>
    <n v="5"/>
    <n v="8"/>
    <n v="9"/>
    <x v="0"/>
  </r>
  <r>
    <x v="6"/>
    <x v="0"/>
    <x v="0"/>
    <n v="4.9000000000000004"/>
    <x v="0"/>
    <n v="4.7"/>
    <n v="-0.20000000000000018"/>
    <n v="2.5"/>
    <x v="2"/>
    <x v="9"/>
    <x v="0"/>
    <x v="0"/>
    <n v="1"/>
    <n v="10"/>
    <n v="8"/>
    <x v="0"/>
  </r>
  <r>
    <x v="5"/>
    <x v="0"/>
    <x v="0"/>
    <n v="6.2"/>
    <x v="2"/>
    <n v="7.2"/>
    <n v="1"/>
    <n v="2.6"/>
    <x v="10"/>
    <x v="10"/>
    <x v="0"/>
    <x v="2"/>
    <n v="5"/>
    <n v="7"/>
    <n v="6"/>
    <x v="0"/>
  </r>
  <r>
    <x v="2"/>
    <x v="1"/>
    <x v="0"/>
    <n v="6.8"/>
    <x v="1"/>
    <n v="5.7"/>
    <n v="-1.0999999999999996"/>
    <n v="1.1000000000000001"/>
    <x v="11"/>
    <x v="6"/>
    <x v="0"/>
    <x v="2"/>
    <n v="1"/>
    <n v="10"/>
    <n v="10"/>
    <x v="0"/>
  </r>
  <r>
    <x v="3"/>
    <x v="0"/>
    <x v="0"/>
    <n v="5.7"/>
    <x v="1"/>
    <n v="5.9"/>
    <n v="0.20000000000000018"/>
    <n v="0.8"/>
    <x v="12"/>
    <x v="5"/>
    <x v="0"/>
    <x v="0"/>
    <n v="1"/>
    <n v="9"/>
    <n v="1"/>
    <x v="0"/>
  </r>
  <r>
    <x v="0"/>
    <x v="1"/>
    <x v="0"/>
    <n v="3.6"/>
    <x v="2"/>
    <n v="5.3"/>
    <n v="1.6999999999999997"/>
    <n v="0.6"/>
    <x v="13"/>
    <x v="11"/>
    <x v="0"/>
    <x v="1"/>
    <n v="4"/>
    <n v="10"/>
    <n v="2"/>
    <x v="0"/>
  </r>
  <r>
    <x v="6"/>
    <x v="0"/>
    <x v="0"/>
    <n v="1.5"/>
    <x v="2"/>
    <n v="4.2"/>
    <n v="2.7"/>
    <n v="1.4"/>
    <x v="14"/>
    <x v="12"/>
    <x v="0"/>
    <x v="1"/>
    <n v="4"/>
    <n v="5"/>
    <n v="8"/>
    <x v="0"/>
  </r>
  <r>
    <x v="5"/>
    <x v="0"/>
    <x v="0"/>
    <n v="3.1"/>
    <x v="2"/>
    <n v="6.1"/>
    <n v="2.9999999999999996"/>
    <n v="0.8"/>
    <x v="15"/>
    <x v="13"/>
    <x v="0"/>
    <x v="1"/>
    <n v="10"/>
    <n v="7"/>
    <n v="10"/>
    <x v="0"/>
  </r>
  <r>
    <x v="5"/>
    <x v="1"/>
    <x v="0"/>
    <n v="6.7"/>
    <x v="2"/>
    <n v="6.8"/>
    <n v="9.9999999999999645E-2"/>
    <n v="1.9"/>
    <x v="16"/>
    <x v="3"/>
    <x v="0"/>
    <x v="1"/>
    <n v="10"/>
    <n v="9"/>
    <n v="1"/>
    <x v="0"/>
  </r>
  <r>
    <x v="0"/>
    <x v="1"/>
    <x v="0"/>
    <n v="1.2"/>
    <x v="0"/>
    <n v="7.6"/>
    <n v="6.3999999999999995"/>
    <n v="1"/>
    <x v="17"/>
    <x v="1"/>
    <x v="0"/>
    <x v="1"/>
    <n v="8"/>
    <n v="4"/>
    <n v="6"/>
    <x v="0"/>
  </r>
  <r>
    <x v="5"/>
    <x v="0"/>
    <x v="0"/>
    <n v="3.4"/>
    <x v="1"/>
    <n v="4.5999999999999996"/>
    <n v="1.1999999999999997"/>
    <n v="2.1"/>
    <x v="18"/>
    <x v="14"/>
    <x v="0"/>
    <x v="1"/>
    <n v="4"/>
    <n v="1"/>
    <n v="3"/>
    <x v="0"/>
  </r>
  <r>
    <x v="4"/>
    <x v="0"/>
    <x v="0"/>
    <n v="4.0999999999999996"/>
    <x v="2"/>
    <n v="7.4"/>
    <n v="3.3000000000000007"/>
    <n v="2.4"/>
    <x v="19"/>
    <x v="0"/>
    <x v="0"/>
    <x v="2"/>
    <n v="8"/>
    <n v="4"/>
    <n v="9"/>
    <x v="0"/>
  </r>
  <r>
    <x v="4"/>
    <x v="0"/>
    <x v="0"/>
    <n v="5.3"/>
    <x v="0"/>
    <n v="4.9000000000000004"/>
    <n v="-0.39999999999999947"/>
    <n v="1.2"/>
    <x v="20"/>
    <x v="9"/>
    <x v="0"/>
    <x v="0"/>
    <n v="5"/>
    <n v="4"/>
    <n v="5"/>
    <x v="0"/>
  </r>
  <r>
    <x v="4"/>
    <x v="1"/>
    <x v="0"/>
    <n v="2.2999999999999998"/>
    <x v="1"/>
    <n v="7.6"/>
    <n v="5.3"/>
    <n v="0.5"/>
    <x v="21"/>
    <x v="10"/>
    <x v="0"/>
    <x v="2"/>
    <n v="9"/>
    <n v="8"/>
    <n v="7"/>
    <x v="0"/>
  </r>
  <r>
    <x v="4"/>
    <x v="1"/>
    <x v="0"/>
    <n v="2.4"/>
    <x v="2"/>
    <n v="6.7"/>
    <n v="4.3000000000000007"/>
    <n v="1.9"/>
    <x v="22"/>
    <x v="14"/>
    <x v="0"/>
    <x v="1"/>
    <n v="8"/>
    <n v="8"/>
    <n v="2"/>
    <x v="0"/>
  </r>
  <r>
    <x v="6"/>
    <x v="1"/>
    <x v="0"/>
    <n v="1.5"/>
    <x v="2"/>
    <n v="7.2"/>
    <n v="5.7"/>
    <n v="2.5"/>
    <x v="23"/>
    <x v="6"/>
    <x v="0"/>
    <x v="2"/>
    <n v="4"/>
    <n v="6"/>
    <n v="2"/>
    <x v="0"/>
  </r>
  <r>
    <x v="0"/>
    <x v="1"/>
    <x v="0"/>
    <n v="5.7"/>
    <x v="2"/>
    <n v="8.6999999999999993"/>
    <n v="2.9999999999999991"/>
    <n v="0.6"/>
    <x v="24"/>
    <x v="15"/>
    <x v="0"/>
    <x v="0"/>
    <n v="8"/>
    <n v="9"/>
    <n v="4"/>
    <x v="0"/>
  </r>
  <r>
    <x v="1"/>
    <x v="0"/>
    <x v="1"/>
    <n v="2"/>
    <x v="1"/>
    <n v="7.1"/>
    <n v="5.0999999999999996"/>
    <n v="0.9"/>
    <x v="25"/>
    <x v="16"/>
    <x v="0"/>
    <x v="1"/>
    <n v="7"/>
    <n v="5"/>
    <n v="9"/>
    <x v="0"/>
  </r>
  <r>
    <x v="0"/>
    <x v="0"/>
    <x v="0"/>
    <n v="2.5"/>
    <x v="1"/>
    <n v="5.6"/>
    <n v="3.0999999999999996"/>
    <n v="2.9"/>
    <x v="18"/>
    <x v="12"/>
    <x v="0"/>
    <x v="0"/>
    <n v="3"/>
    <n v="9"/>
    <n v="5"/>
    <x v="0"/>
  </r>
  <r>
    <x v="5"/>
    <x v="1"/>
    <x v="0"/>
    <n v="3.4"/>
    <x v="1"/>
    <n v="7.8"/>
    <n v="4.4000000000000004"/>
    <n v="2.8"/>
    <x v="26"/>
    <x v="17"/>
    <x v="0"/>
    <x v="2"/>
    <n v="6"/>
    <n v="6"/>
    <n v="4"/>
    <x v="0"/>
  </r>
  <r>
    <x v="6"/>
    <x v="0"/>
    <x v="0"/>
    <n v="6.6"/>
    <x v="1"/>
    <n v="5.7"/>
    <n v="-0.89999999999999947"/>
    <n v="2.5"/>
    <x v="27"/>
    <x v="8"/>
    <x v="0"/>
    <x v="0"/>
    <n v="2"/>
    <n v="1"/>
    <n v="10"/>
    <x v="0"/>
  </r>
  <r>
    <x v="6"/>
    <x v="1"/>
    <x v="0"/>
    <n v="1.6"/>
    <x v="0"/>
    <n v="8.6999999999999993"/>
    <n v="7.1"/>
    <n v="2.5"/>
    <x v="20"/>
    <x v="14"/>
    <x v="0"/>
    <x v="1"/>
    <n v="8"/>
    <n v="2"/>
    <n v="9"/>
    <x v="0"/>
  </r>
  <r>
    <x v="5"/>
    <x v="0"/>
    <x v="0"/>
    <n v="2.7"/>
    <x v="0"/>
    <n v="4.2"/>
    <n v="1.5"/>
    <n v="2.4"/>
    <x v="28"/>
    <x v="18"/>
    <x v="0"/>
    <x v="1"/>
    <n v="1"/>
    <n v="8"/>
    <n v="4"/>
    <x v="0"/>
  </r>
  <r>
    <x v="0"/>
    <x v="0"/>
    <x v="0"/>
    <n v="4.0999999999999996"/>
    <x v="1"/>
    <n v="8"/>
    <n v="3.9000000000000004"/>
    <n v="3"/>
    <x v="29"/>
    <x v="1"/>
    <x v="0"/>
    <x v="0"/>
    <n v="8"/>
    <n v="4"/>
    <n v="1"/>
    <x v="0"/>
  </r>
  <r>
    <x v="6"/>
    <x v="1"/>
    <x v="0"/>
    <n v="6.6"/>
    <x v="1"/>
    <n v="7.3"/>
    <n v="0.70000000000000018"/>
    <n v="1.6"/>
    <x v="30"/>
    <x v="15"/>
    <x v="0"/>
    <x v="2"/>
    <n v="10"/>
    <n v="2"/>
    <n v="1"/>
    <x v="0"/>
  </r>
  <r>
    <x v="2"/>
    <x v="1"/>
    <x v="0"/>
    <n v="5"/>
    <x v="2"/>
    <n v="4.9000000000000004"/>
    <n v="-9.9999999999999645E-2"/>
    <n v="2.1"/>
    <x v="31"/>
    <x v="19"/>
    <x v="0"/>
    <x v="0"/>
    <n v="9"/>
    <n v="4"/>
    <n v="9"/>
    <x v="0"/>
  </r>
  <r>
    <x v="1"/>
    <x v="1"/>
    <x v="1"/>
    <n v="4.5999999999999996"/>
    <x v="0"/>
    <n v="5.5"/>
    <n v="0.90000000000000036"/>
    <n v="2.5"/>
    <x v="32"/>
    <x v="1"/>
    <x v="0"/>
    <x v="1"/>
    <n v="3"/>
    <n v="10"/>
    <n v="7"/>
    <x v="0"/>
  </r>
  <r>
    <x v="2"/>
    <x v="1"/>
    <x v="0"/>
    <n v="4.8"/>
    <x v="0"/>
    <n v="4.4000000000000004"/>
    <n v="-0.39999999999999947"/>
    <n v="1.3"/>
    <x v="10"/>
    <x v="12"/>
    <x v="0"/>
    <x v="0"/>
    <n v="5"/>
    <n v="10"/>
    <n v="6"/>
    <x v="0"/>
  </r>
  <r>
    <x v="2"/>
    <x v="1"/>
    <x v="0"/>
    <n v="1.3"/>
    <x v="1"/>
    <n v="8"/>
    <n v="6.7"/>
    <n v="2"/>
    <x v="33"/>
    <x v="17"/>
    <x v="0"/>
    <x v="1"/>
    <n v="1"/>
    <n v="7"/>
    <n v="8"/>
    <x v="0"/>
  </r>
  <r>
    <x v="2"/>
    <x v="1"/>
    <x v="0"/>
    <n v="6.3"/>
    <x v="0"/>
    <n v="4"/>
    <n v="-2.2999999999999998"/>
    <n v="1"/>
    <x v="34"/>
    <x v="9"/>
    <x v="0"/>
    <x v="1"/>
    <n v="1"/>
    <n v="10"/>
    <n v="9"/>
    <x v="0"/>
  </r>
  <r>
    <x v="0"/>
    <x v="0"/>
    <x v="0"/>
    <n v="6.4"/>
    <x v="0"/>
    <n v="5.7"/>
    <n v="-0.70000000000000018"/>
    <n v="0.9"/>
    <x v="35"/>
    <x v="17"/>
    <x v="0"/>
    <x v="1"/>
    <n v="10"/>
    <n v="4"/>
    <n v="2"/>
    <x v="0"/>
  </r>
  <r>
    <x v="1"/>
    <x v="0"/>
    <x v="1"/>
    <n v="1.6"/>
    <x v="0"/>
    <n v="8.6"/>
    <n v="7"/>
    <n v="2.4"/>
    <x v="36"/>
    <x v="14"/>
    <x v="0"/>
    <x v="0"/>
    <n v="10"/>
    <n v="4"/>
    <n v="1"/>
    <x v="0"/>
  </r>
  <r>
    <x v="0"/>
    <x v="1"/>
    <x v="0"/>
    <n v="7.3"/>
    <x v="0"/>
    <n v="7.7"/>
    <n v="0.40000000000000036"/>
    <n v="1.4"/>
    <x v="37"/>
    <x v="11"/>
    <x v="0"/>
    <x v="2"/>
    <n v="6"/>
    <n v="1"/>
    <n v="8"/>
    <x v="0"/>
  </r>
  <r>
    <x v="3"/>
    <x v="0"/>
    <x v="0"/>
    <n v="4"/>
    <x v="2"/>
    <n v="8.8000000000000007"/>
    <n v="4.8000000000000007"/>
    <n v="1.3"/>
    <x v="38"/>
    <x v="13"/>
    <x v="0"/>
    <x v="2"/>
    <n v="10"/>
    <n v="6"/>
    <n v="10"/>
    <x v="0"/>
  </r>
  <r>
    <x v="0"/>
    <x v="0"/>
    <x v="0"/>
    <n v="5.2"/>
    <x v="2"/>
    <n v="4.0999999999999996"/>
    <n v="-1.1000000000000005"/>
    <n v="2.1"/>
    <x v="39"/>
    <x v="18"/>
    <x v="0"/>
    <x v="2"/>
    <n v="9"/>
    <n v="3"/>
    <n v="8"/>
    <x v="0"/>
  </r>
  <r>
    <x v="0"/>
    <x v="1"/>
    <x v="0"/>
    <n v="4.5"/>
    <x v="1"/>
    <n v="4.8"/>
    <n v="0.29999999999999982"/>
    <n v="0.9"/>
    <x v="40"/>
    <x v="1"/>
    <x v="0"/>
    <x v="0"/>
    <n v="1"/>
    <n v="4"/>
    <n v="10"/>
    <x v="0"/>
  </r>
  <r>
    <x v="4"/>
    <x v="0"/>
    <x v="0"/>
    <n v="6.8"/>
    <x v="1"/>
    <n v="8.6"/>
    <n v="1.7999999999999998"/>
    <n v="1.1000000000000001"/>
    <x v="41"/>
    <x v="16"/>
    <x v="0"/>
    <x v="1"/>
    <n v="1"/>
    <n v="10"/>
    <n v="10"/>
    <x v="0"/>
  </r>
  <r>
    <x v="6"/>
    <x v="1"/>
    <x v="0"/>
    <n v="3.5"/>
    <x v="0"/>
    <n v="5.0999999999999996"/>
    <n v="1.5999999999999996"/>
    <n v="1.1000000000000001"/>
    <x v="42"/>
    <x v="17"/>
    <x v="0"/>
    <x v="2"/>
    <n v="2"/>
    <n v="5"/>
    <n v="6"/>
    <x v="0"/>
  </r>
  <r>
    <x v="5"/>
    <x v="0"/>
    <x v="0"/>
    <n v="2.2999999999999998"/>
    <x v="1"/>
    <n v="6.3"/>
    <n v="4"/>
    <n v="3"/>
    <x v="43"/>
    <x v="13"/>
    <x v="0"/>
    <x v="2"/>
    <n v="4"/>
    <n v="4"/>
    <n v="9"/>
    <x v="0"/>
  </r>
  <r>
    <x v="0"/>
    <x v="0"/>
    <x v="0"/>
    <n v="1.2"/>
    <x v="0"/>
    <n v="8.5"/>
    <n v="7.3"/>
    <n v="1.8"/>
    <x v="44"/>
    <x v="17"/>
    <x v="0"/>
    <x v="1"/>
    <n v="5"/>
    <n v="10"/>
    <n v="10"/>
    <x v="0"/>
  </r>
  <r>
    <x v="6"/>
    <x v="0"/>
    <x v="0"/>
    <n v="6.2"/>
    <x v="2"/>
    <n v="7.1"/>
    <n v="0.89999999999999947"/>
    <n v="2.2000000000000002"/>
    <x v="45"/>
    <x v="18"/>
    <x v="0"/>
    <x v="2"/>
    <n v="5"/>
    <n v="2"/>
    <n v="2"/>
    <x v="0"/>
  </r>
  <r>
    <x v="4"/>
    <x v="0"/>
    <x v="0"/>
    <n v="4.5"/>
    <x v="1"/>
    <n v="4.0999999999999996"/>
    <n v="-0.40000000000000036"/>
    <n v="1.9"/>
    <x v="37"/>
    <x v="15"/>
    <x v="0"/>
    <x v="2"/>
    <n v="6"/>
    <n v="7"/>
    <n v="8"/>
    <x v="0"/>
  </r>
  <r>
    <x v="4"/>
    <x v="0"/>
    <x v="0"/>
    <n v="2.9"/>
    <x v="0"/>
    <n v="4.5"/>
    <n v="1.6"/>
    <n v="2.5"/>
    <x v="9"/>
    <x v="6"/>
    <x v="0"/>
    <x v="0"/>
    <n v="3"/>
    <n v="7"/>
    <n v="8"/>
    <x v="0"/>
  </r>
  <r>
    <x v="6"/>
    <x v="1"/>
    <x v="0"/>
    <n v="5.8"/>
    <x v="1"/>
    <n v="8.5"/>
    <n v="2.7"/>
    <n v="2.2999999999999998"/>
    <x v="46"/>
    <x v="13"/>
    <x v="0"/>
    <x v="1"/>
    <n v="1"/>
    <n v="1"/>
    <n v="5"/>
    <x v="0"/>
  </r>
  <r>
    <x v="4"/>
    <x v="0"/>
    <x v="0"/>
    <n v="6.8"/>
    <x v="0"/>
    <n v="6.5"/>
    <n v="-0.29999999999999982"/>
    <n v="2.7"/>
    <x v="47"/>
    <x v="13"/>
    <x v="0"/>
    <x v="0"/>
    <n v="4"/>
    <n v="4"/>
    <n v="5"/>
    <x v="0"/>
  </r>
  <r>
    <x v="3"/>
    <x v="1"/>
    <x v="0"/>
    <n v="7.4"/>
    <x v="0"/>
    <n v="8.6"/>
    <n v="1.1999999999999993"/>
    <n v="0.9"/>
    <x v="48"/>
    <x v="2"/>
    <x v="0"/>
    <x v="0"/>
    <n v="1"/>
    <n v="5"/>
    <n v="3"/>
    <x v="0"/>
  </r>
  <r>
    <x v="4"/>
    <x v="0"/>
    <x v="0"/>
    <n v="4.5"/>
    <x v="1"/>
    <n v="5"/>
    <n v="0.5"/>
    <n v="2.5"/>
    <x v="49"/>
    <x v="5"/>
    <x v="0"/>
    <x v="2"/>
    <n v="8"/>
    <n v="9"/>
    <n v="1"/>
    <x v="0"/>
  </r>
  <r>
    <x v="5"/>
    <x v="0"/>
    <x v="0"/>
    <n v="6.4"/>
    <x v="1"/>
    <n v="5.3"/>
    <n v="-1.1000000000000005"/>
    <n v="2.4"/>
    <x v="50"/>
    <x v="10"/>
    <x v="0"/>
    <x v="2"/>
    <n v="7"/>
    <n v="5"/>
    <n v="10"/>
    <x v="0"/>
  </r>
  <r>
    <x v="6"/>
    <x v="0"/>
    <x v="0"/>
    <n v="7.3"/>
    <x v="2"/>
    <n v="4.2"/>
    <n v="-3.0999999999999996"/>
    <n v="1.3"/>
    <x v="51"/>
    <x v="19"/>
    <x v="0"/>
    <x v="1"/>
    <n v="4"/>
    <n v="5"/>
    <n v="2"/>
    <x v="0"/>
  </r>
  <r>
    <x v="2"/>
    <x v="1"/>
    <x v="0"/>
    <n v="7.1"/>
    <x v="0"/>
    <n v="5.6"/>
    <n v="-1.5"/>
    <n v="0.6"/>
    <x v="39"/>
    <x v="19"/>
    <x v="0"/>
    <x v="2"/>
    <n v="1"/>
    <n v="3"/>
    <n v="7"/>
    <x v="0"/>
  </r>
  <r>
    <x v="4"/>
    <x v="0"/>
    <x v="0"/>
    <n v="1.6"/>
    <x v="1"/>
    <n v="5.0999999999999996"/>
    <n v="3.4999999999999996"/>
    <n v="2.7"/>
    <x v="52"/>
    <x v="1"/>
    <x v="0"/>
    <x v="1"/>
    <n v="3"/>
    <n v="9"/>
    <n v="7"/>
    <x v="0"/>
  </r>
  <r>
    <x v="3"/>
    <x v="1"/>
    <x v="0"/>
    <n v="1.5"/>
    <x v="0"/>
    <n v="4.7"/>
    <n v="3.2"/>
    <n v="1"/>
    <x v="53"/>
    <x v="4"/>
    <x v="0"/>
    <x v="2"/>
    <n v="6"/>
    <n v="1"/>
    <n v="4"/>
    <x v="0"/>
  </r>
  <r>
    <x v="6"/>
    <x v="0"/>
    <x v="0"/>
    <n v="4.3"/>
    <x v="2"/>
    <n v="5.8"/>
    <n v="1.5"/>
    <n v="0.7"/>
    <x v="54"/>
    <x v="15"/>
    <x v="0"/>
    <x v="2"/>
    <n v="7"/>
    <n v="2"/>
    <n v="1"/>
    <x v="0"/>
  </r>
  <r>
    <x v="2"/>
    <x v="0"/>
    <x v="0"/>
    <n v="2.5"/>
    <x v="2"/>
    <n v="6.7"/>
    <n v="4.2"/>
    <n v="2"/>
    <x v="55"/>
    <x v="10"/>
    <x v="0"/>
    <x v="1"/>
    <n v="5"/>
    <n v="7"/>
    <n v="5"/>
    <x v="0"/>
  </r>
  <r>
    <x v="1"/>
    <x v="1"/>
    <x v="1"/>
    <n v="7.9"/>
    <x v="1"/>
    <n v="5.0999999999999996"/>
    <n v="-2.8000000000000007"/>
    <n v="1.7"/>
    <x v="56"/>
    <x v="1"/>
    <x v="0"/>
    <x v="0"/>
    <n v="6"/>
    <n v="1"/>
    <n v="8"/>
    <x v="0"/>
  </r>
  <r>
    <x v="2"/>
    <x v="0"/>
    <x v="0"/>
    <n v="2.7"/>
    <x v="0"/>
    <n v="8"/>
    <n v="5.3"/>
    <n v="2.6"/>
    <x v="57"/>
    <x v="13"/>
    <x v="0"/>
    <x v="1"/>
    <n v="1"/>
    <n v="8"/>
    <n v="7"/>
    <x v="0"/>
  </r>
  <r>
    <x v="6"/>
    <x v="0"/>
    <x v="0"/>
    <n v="3.1"/>
    <x v="1"/>
    <n v="8.1999999999999993"/>
    <n v="5.0999999999999996"/>
    <n v="1.5"/>
    <x v="58"/>
    <x v="11"/>
    <x v="0"/>
    <x v="0"/>
    <n v="5"/>
    <n v="8"/>
    <n v="6"/>
    <x v="0"/>
  </r>
  <r>
    <x v="2"/>
    <x v="0"/>
    <x v="0"/>
    <n v="5.8"/>
    <x v="2"/>
    <n v="7.6"/>
    <n v="1.7999999999999998"/>
    <n v="0.7"/>
    <x v="59"/>
    <x v="19"/>
    <x v="0"/>
    <x v="2"/>
    <n v="7"/>
    <n v="6"/>
    <n v="8"/>
    <x v="0"/>
  </r>
  <r>
    <x v="0"/>
    <x v="1"/>
    <x v="0"/>
    <n v="3.9"/>
    <x v="2"/>
    <n v="7"/>
    <n v="3.1"/>
    <n v="2.8"/>
    <x v="56"/>
    <x v="15"/>
    <x v="0"/>
    <x v="0"/>
    <n v="8"/>
    <n v="2"/>
    <n v="8"/>
    <x v="0"/>
  </r>
  <r>
    <x v="3"/>
    <x v="0"/>
    <x v="0"/>
    <n v="7.5"/>
    <x v="2"/>
    <n v="7"/>
    <n v="-0.5"/>
    <n v="0.9"/>
    <x v="3"/>
    <x v="8"/>
    <x v="0"/>
    <x v="1"/>
    <n v="2"/>
    <n v="2"/>
    <n v="6"/>
    <x v="0"/>
  </r>
  <r>
    <x v="0"/>
    <x v="0"/>
    <x v="0"/>
    <n v="5.2"/>
    <x v="2"/>
    <n v="6.7"/>
    <n v="1.5"/>
    <n v="2"/>
    <x v="3"/>
    <x v="19"/>
    <x v="0"/>
    <x v="2"/>
    <n v="2"/>
    <n v="1"/>
    <n v="5"/>
    <x v="0"/>
  </r>
  <r>
    <x v="5"/>
    <x v="1"/>
    <x v="0"/>
    <n v="3.1"/>
    <x v="1"/>
    <n v="5"/>
    <n v="1.9"/>
    <n v="1.1000000000000001"/>
    <x v="60"/>
    <x v="16"/>
    <x v="0"/>
    <x v="0"/>
    <n v="2"/>
    <n v="8"/>
    <n v="1"/>
    <x v="0"/>
  </r>
  <r>
    <x v="5"/>
    <x v="1"/>
    <x v="0"/>
    <n v="2"/>
    <x v="0"/>
    <n v="8.6999999999999993"/>
    <n v="6.6999999999999993"/>
    <n v="1.2"/>
    <x v="61"/>
    <x v="2"/>
    <x v="0"/>
    <x v="0"/>
    <n v="8"/>
    <n v="8"/>
    <n v="4"/>
    <x v="0"/>
  </r>
  <r>
    <x v="0"/>
    <x v="0"/>
    <x v="0"/>
    <n v="2.7"/>
    <x v="0"/>
    <n v="8.4"/>
    <n v="5.7"/>
    <n v="1.3"/>
    <x v="31"/>
    <x v="4"/>
    <x v="0"/>
    <x v="0"/>
    <n v="6"/>
    <n v="3"/>
    <n v="8"/>
    <x v="0"/>
  </r>
  <r>
    <x v="0"/>
    <x v="0"/>
    <x v="0"/>
    <n v="1.5"/>
    <x v="2"/>
    <n v="4.3"/>
    <n v="2.8"/>
    <n v="2.1"/>
    <x v="62"/>
    <x v="0"/>
    <x v="0"/>
    <x v="0"/>
    <n v="10"/>
    <n v="2"/>
    <n v="4"/>
    <x v="0"/>
  </r>
  <r>
    <x v="2"/>
    <x v="1"/>
    <x v="0"/>
    <n v="6.9"/>
    <x v="0"/>
    <n v="8.1999999999999993"/>
    <n v="1.2999999999999989"/>
    <n v="0.8"/>
    <x v="41"/>
    <x v="2"/>
    <x v="0"/>
    <x v="2"/>
    <n v="10"/>
    <n v="10"/>
    <n v="7"/>
    <x v="0"/>
  </r>
  <r>
    <x v="6"/>
    <x v="0"/>
    <x v="0"/>
    <n v="1.1000000000000001"/>
    <x v="1"/>
    <n v="7.1"/>
    <n v="6"/>
    <n v="1.8"/>
    <x v="63"/>
    <x v="1"/>
    <x v="0"/>
    <x v="1"/>
    <n v="5"/>
    <n v="5"/>
    <n v="10"/>
    <x v="0"/>
  </r>
  <r>
    <x v="6"/>
    <x v="0"/>
    <x v="0"/>
    <n v="3.4"/>
    <x v="1"/>
    <n v="4.4000000000000004"/>
    <n v="1.0000000000000004"/>
    <n v="0.6"/>
    <x v="64"/>
    <x v="18"/>
    <x v="0"/>
    <x v="0"/>
    <n v="8"/>
    <n v="6"/>
    <n v="3"/>
    <x v="0"/>
  </r>
  <r>
    <x v="3"/>
    <x v="0"/>
    <x v="0"/>
    <n v="6.7"/>
    <x v="2"/>
    <n v="4.5"/>
    <n v="-2.2000000000000002"/>
    <n v="2.1"/>
    <x v="65"/>
    <x v="6"/>
    <x v="0"/>
    <x v="1"/>
    <n v="3"/>
    <n v="3"/>
    <n v="3"/>
    <x v="0"/>
  </r>
  <r>
    <x v="4"/>
    <x v="0"/>
    <x v="0"/>
    <n v="1.1000000000000001"/>
    <x v="2"/>
    <n v="7.2"/>
    <n v="6.1"/>
    <n v="1"/>
    <x v="66"/>
    <x v="4"/>
    <x v="0"/>
    <x v="2"/>
    <n v="2"/>
    <n v="1"/>
    <n v="4"/>
    <x v="0"/>
  </r>
  <r>
    <x v="4"/>
    <x v="1"/>
    <x v="0"/>
    <n v="7.4"/>
    <x v="0"/>
    <n v="7.5"/>
    <n v="9.9999999999999645E-2"/>
    <n v="2.2999999999999998"/>
    <x v="67"/>
    <x v="7"/>
    <x v="0"/>
    <x v="1"/>
    <n v="4"/>
    <n v="1"/>
    <n v="4"/>
    <x v="0"/>
  </r>
  <r>
    <x v="1"/>
    <x v="1"/>
    <x v="1"/>
    <n v="4.8"/>
    <x v="1"/>
    <n v="6"/>
    <n v="1.2000000000000002"/>
    <n v="1.5"/>
    <x v="68"/>
    <x v="9"/>
    <x v="0"/>
    <x v="1"/>
    <n v="2"/>
    <n v="2"/>
    <n v="6"/>
    <x v="0"/>
  </r>
  <r>
    <x v="0"/>
    <x v="0"/>
    <x v="0"/>
    <n v="1.2"/>
    <x v="2"/>
    <n v="5.2"/>
    <n v="4"/>
    <n v="2.2000000000000002"/>
    <x v="69"/>
    <x v="13"/>
    <x v="0"/>
    <x v="2"/>
    <n v="9"/>
    <n v="9"/>
    <n v="4"/>
    <x v="0"/>
  </r>
  <r>
    <x v="6"/>
    <x v="0"/>
    <x v="0"/>
    <n v="7.4"/>
    <x v="0"/>
    <n v="5.6"/>
    <n v="-1.8000000000000007"/>
    <n v="1.4"/>
    <x v="70"/>
    <x v="10"/>
    <x v="0"/>
    <x v="1"/>
    <n v="8"/>
    <n v="5"/>
    <n v="5"/>
    <x v="0"/>
  </r>
  <r>
    <x v="5"/>
    <x v="1"/>
    <x v="0"/>
    <n v="2.6"/>
    <x v="2"/>
    <n v="8.6"/>
    <n v="6"/>
    <n v="1.3"/>
    <x v="71"/>
    <x v="16"/>
    <x v="0"/>
    <x v="1"/>
    <n v="5"/>
    <n v="3"/>
    <n v="1"/>
    <x v="0"/>
  </r>
  <r>
    <x v="2"/>
    <x v="1"/>
    <x v="0"/>
    <n v="5"/>
    <x v="2"/>
    <n v="9"/>
    <n v="4"/>
    <n v="2.5"/>
    <x v="72"/>
    <x v="7"/>
    <x v="0"/>
    <x v="1"/>
    <n v="8"/>
    <n v="10"/>
    <n v="5"/>
    <x v="0"/>
  </r>
  <r>
    <x v="4"/>
    <x v="0"/>
    <x v="0"/>
    <n v="7.5"/>
    <x v="0"/>
    <n v="7.4"/>
    <n v="-9.9999999999999645E-2"/>
    <n v="1.8"/>
    <x v="73"/>
    <x v="2"/>
    <x v="0"/>
    <x v="0"/>
    <n v="9"/>
    <n v="4"/>
    <n v="2"/>
    <x v="0"/>
  </r>
  <r>
    <x v="2"/>
    <x v="1"/>
    <x v="0"/>
    <n v="5.4"/>
    <x v="2"/>
    <n v="5.7"/>
    <n v="0.29999999999999982"/>
    <n v="2.5"/>
    <x v="66"/>
    <x v="13"/>
    <x v="0"/>
    <x v="2"/>
    <n v="5"/>
    <n v="10"/>
    <n v="3"/>
    <x v="0"/>
  </r>
  <r>
    <x v="2"/>
    <x v="1"/>
    <x v="0"/>
    <n v="5.6"/>
    <x v="0"/>
    <n v="5.3"/>
    <n v="-0.29999999999999982"/>
    <n v="1.7"/>
    <x v="74"/>
    <x v="7"/>
    <x v="0"/>
    <x v="2"/>
    <n v="8"/>
    <n v="4"/>
    <n v="8"/>
    <x v="0"/>
  </r>
  <r>
    <x v="4"/>
    <x v="0"/>
    <x v="0"/>
    <n v="6.2"/>
    <x v="0"/>
    <n v="4.0999999999999996"/>
    <n v="-2.1000000000000005"/>
    <n v="2.8"/>
    <x v="64"/>
    <x v="8"/>
    <x v="0"/>
    <x v="2"/>
    <n v="7"/>
    <n v="8"/>
    <n v="1"/>
    <x v="1"/>
  </r>
  <r>
    <x v="2"/>
    <x v="1"/>
    <x v="0"/>
    <n v="4.7"/>
    <x v="0"/>
    <n v="4.7"/>
    <n v="0"/>
    <n v="2.4"/>
    <x v="75"/>
    <x v="2"/>
    <x v="0"/>
    <x v="2"/>
    <n v="10"/>
    <n v="5"/>
    <n v="8"/>
    <x v="0"/>
  </r>
  <r>
    <x v="4"/>
    <x v="1"/>
    <x v="0"/>
    <n v="4"/>
    <x v="0"/>
    <n v="4.5999999999999996"/>
    <n v="0.59999999999999964"/>
    <n v="2.2000000000000002"/>
    <x v="76"/>
    <x v="4"/>
    <x v="0"/>
    <x v="2"/>
    <n v="4"/>
    <n v="1"/>
    <n v="4"/>
    <x v="0"/>
  </r>
  <r>
    <x v="4"/>
    <x v="0"/>
    <x v="0"/>
    <n v="6.2"/>
    <x v="1"/>
    <n v="8.6"/>
    <n v="2.3999999999999995"/>
    <n v="1.5"/>
    <x v="1"/>
    <x v="16"/>
    <x v="0"/>
    <x v="0"/>
    <n v="4"/>
    <n v="5"/>
    <n v="7"/>
    <x v="0"/>
  </r>
  <r>
    <x v="2"/>
    <x v="1"/>
    <x v="0"/>
    <n v="5.6"/>
    <x v="1"/>
    <n v="6.8"/>
    <n v="1.2000000000000002"/>
    <n v="2"/>
    <x v="40"/>
    <x v="19"/>
    <x v="0"/>
    <x v="2"/>
    <n v="6"/>
    <n v="9"/>
    <n v="8"/>
    <x v="0"/>
  </r>
  <r>
    <x v="6"/>
    <x v="1"/>
    <x v="0"/>
    <n v="4"/>
    <x v="0"/>
    <n v="4.4000000000000004"/>
    <n v="0.40000000000000036"/>
    <n v="2.5"/>
    <x v="77"/>
    <x v="3"/>
    <x v="0"/>
    <x v="2"/>
    <n v="7"/>
    <n v="2"/>
    <n v="10"/>
    <x v="0"/>
  </r>
  <r>
    <x v="3"/>
    <x v="1"/>
    <x v="0"/>
    <n v="1.8"/>
    <x v="0"/>
    <n v="6.4"/>
    <n v="4.6000000000000005"/>
    <n v="2.4"/>
    <x v="51"/>
    <x v="13"/>
    <x v="0"/>
    <x v="2"/>
    <n v="3"/>
    <n v="6"/>
    <n v="9"/>
    <x v="0"/>
  </r>
  <r>
    <x v="6"/>
    <x v="0"/>
    <x v="0"/>
    <n v="3.1"/>
    <x v="1"/>
    <n v="5.4"/>
    <n v="2.3000000000000003"/>
    <n v="1.9"/>
    <x v="78"/>
    <x v="14"/>
    <x v="0"/>
    <x v="0"/>
    <n v="7"/>
    <n v="4"/>
    <n v="2"/>
    <x v="0"/>
  </r>
  <r>
    <x v="6"/>
    <x v="1"/>
    <x v="0"/>
    <n v="3.5"/>
    <x v="1"/>
    <n v="5.2"/>
    <n v="1.7000000000000002"/>
    <n v="2.5"/>
    <x v="79"/>
    <x v="8"/>
    <x v="0"/>
    <x v="1"/>
    <n v="1"/>
    <n v="6"/>
    <n v="3"/>
    <x v="0"/>
  </r>
  <r>
    <x v="4"/>
    <x v="0"/>
    <x v="0"/>
    <n v="7.4"/>
    <x v="1"/>
    <n v="6.4"/>
    <n v="-1"/>
    <n v="2.2000000000000002"/>
    <x v="80"/>
    <x v="19"/>
    <x v="0"/>
    <x v="1"/>
    <n v="4"/>
    <n v="5"/>
    <n v="4"/>
    <x v="0"/>
  </r>
  <r>
    <x v="5"/>
    <x v="0"/>
    <x v="0"/>
    <n v="8"/>
    <x v="0"/>
    <n v="5.5"/>
    <n v="-2.5"/>
    <n v="1.4"/>
    <x v="70"/>
    <x v="11"/>
    <x v="0"/>
    <x v="2"/>
    <n v="2"/>
    <n v="5"/>
    <n v="2"/>
    <x v="0"/>
  </r>
  <r>
    <x v="6"/>
    <x v="0"/>
    <x v="0"/>
    <n v="5.0999999999999996"/>
    <x v="2"/>
    <n v="4.0999999999999996"/>
    <n v="-1"/>
    <n v="1.6"/>
    <x v="81"/>
    <x v="1"/>
    <x v="0"/>
    <x v="2"/>
    <n v="1"/>
    <n v="3"/>
    <n v="8"/>
    <x v="0"/>
  </r>
  <r>
    <x v="4"/>
    <x v="1"/>
    <x v="0"/>
    <n v="2.4"/>
    <x v="0"/>
    <n v="6.3"/>
    <n v="3.9"/>
    <n v="1.3"/>
    <x v="28"/>
    <x v="10"/>
    <x v="0"/>
    <x v="0"/>
    <n v="2"/>
    <n v="9"/>
    <n v="5"/>
    <x v="0"/>
  </r>
  <r>
    <x v="6"/>
    <x v="0"/>
    <x v="0"/>
    <n v="1.6"/>
    <x v="0"/>
    <n v="4.2"/>
    <n v="2.6"/>
    <n v="1.5"/>
    <x v="82"/>
    <x v="10"/>
    <x v="0"/>
    <x v="2"/>
    <n v="10"/>
    <n v="1"/>
    <n v="10"/>
    <x v="0"/>
  </r>
  <r>
    <x v="4"/>
    <x v="0"/>
    <x v="0"/>
    <n v="5.8"/>
    <x v="0"/>
    <n v="6.7"/>
    <n v="0.90000000000000036"/>
    <n v="1.9"/>
    <x v="61"/>
    <x v="13"/>
    <x v="0"/>
    <x v="0"/>
    <n v="5"/>
    <n v="8"/>
    <n v="2"/>
    <x v="0"/>
  </r>
  <r>
    <x v="3"/>
    <x v="0"/>
    <x v="0"/>
    <n v="2.7"/>
    <x v="1"/>
    <n v="6.6"/>
    <n v="3.8999999999999995"/>
    <n v="1.9"/>
    <x v="83"/>
    <x v="13"/>
    <x v="0"/>
    <x v="2"/>
    <n v="3"/>
    <n v="6"/>
    <n v="6"/>
    <x v="0"/>
  </r>
  <r>
    <x v="6"/>
    <x v="1"/>
    <x v="0"/>
    <n v="4"/>
    <x v="2"/>
    <n v="4.5"/>
    <n v="0.5"/>
    <n v="1"/>
    <x v="44"/>
    <x v="17"/>
    <x v="0"/>
    <x v="0"/>
    <n v="5"/>
    <n v="6"/>
    <n v="5"/>
    <x v="0"/>
  </r>
  <r>
    <x v="4"/>
    <x v="0"/>
    <x v="0"/>
    <n v="3.2"/>
    <x v="2"/>
    <n v="8.8000000000000007"/>
    <n v="5.6000000000000005"/>
    <n v="1.2"/>
    <x v="65"/>
    <x v="8"/>
    <x v="0"/>
    <x v="2"/>
    <n v="7"/>
    <n v="6"/>
    <n v="10"/>
    <x v="0"/>
  </r>
  <r>
    <x v="6"/>
    <x v="0"/>
    <x v="0"/>
    <n v="1.6"/>
    <x v="1"/>
    <n v="4.3"/>
    <n v="2.6999999999999997"/>
    <n v="0.6"/>
    <x v="84"/>
    <x v="20"/>
    <x v="1"/>
    <x v="2"/>
    <n v="5"/>
    <n v="10"/>
    <n v="7"/>
    <x v="0"/>
  </r>
  <r>
    <x v="0"/>
    <x v="0"/>
    <x v="0"/>
    <n v="2.2999999999999998"/>
    <x v="1"/>
    <n v="8"/>
    <n v="5.7"/>
    <n v="2.5"/>
    <x v="16"/>
    <x v="10"/>
    <x v="0"/>
    <x v="2"/>
    <n v="5"/>
    <n v="6"/>
    <n v="7"/>
    <x v="0"/>
  </r>
  <r>
    <x v="2"/>
    <x v="0"/>
    <x v="0"/>
    <n v="7.7"/>
    <x v="1"/>
    <n v="8.5"/>
    <n v="0.79999999999999982"/>
    <n v="1.2"/>
    <x v="85"/>
    <x v="2"/>
    <x v="0"/>
    <x v="2"/>
    <n v="7"/>
    <n v="10"/>
    <n v="7"/>
    <x v="0"/>
  </r>
  <r>
    <x v="5"/>
    <x v="0"/>
    <x v="0"/>
    <n v="4.8"/>
    <x v="2"/>
    <n v="7.1"/>
    <n v="2.2999999999999998"/>
    <n v="0.6"/>
    <x v="86"/>
    <x v="5"/>
    <x v="0"/>
    <x v="1"/>
    <n v="7"/>
    <n v="6"/>
    <n v="9"/>
    <x v="0"/>
  </r>
  <r>
    <x v="2"/>
    <x v="1"/>
    <x v="0"/>
    <n v="5.2"/>
    <x v="2"/>
    <n v="6"/>
    <n v="0.79999999999999982"/>
    <n v="0.6"/>
    <x v="39"/>
    <x v="4"/>
    <x v="0"/>
    <x v="2"/>
    <n v="6"/>
    <n v="2"/>
    <n v="9"/>
    <x v="0"/>
  </r>
  <r>
    <x v="6"/>
    <x v="0"/>
    <x v="0"/>
    <n v="5.7"/>
    <x v="2"/>
    <n v="6.6"/>
    <n v="0.89999999999999947"/>
    <n v="2.4"/>
    <x v="87"/>
    <x v="10"/>
    <x v="0"/>
    <x v="1"/>
    <n v="1"/>
    <n v="3"/>
    <n v="1"/>
    <x v="0"/>
  </r>
  <r>
    <x v="3"/>
    <x v="0"/>
    <x v="0"/>
    <n v="4.5999999999999996"/>
    <x v="1"/>
    <n v="5.2"/>
    <n v="0.60000000000000053"/>
    <n v="1.4"/>
    <x v="88"/>
    <x v="13"/>
    <x v="0"/>
    <x v="0"/>
    <n v="1"/>
    <n v="4"/>
    <n v="5"/>
    <x v="0"/>
  </r>
  <r>
    <x v="6"/>
    <x v="0"/>
    <x v="0"/>
    <n v="4.3"/>
    <x v="1"/>
    <n v="7.5"/>
    <n v="3.2"/>
    <n v="2.7"/>
    <x v="89"/>
    <x v="1"/>
    <x v="0"/>
    <x v="1"/>
    <n v="1"/>
    <n v="10"/>
    <n v="1"/>
    <x v="0"/>
  </r>
  <r>
    <x v="2"/>
    <x v="1"/>
    <x v="0"/>
    <n v="4.0999999999999996"/>
    <x v="0"/>
    <n v="8.6"/>
    <n v="4.5"/>
    <n v="3"/>
    <x v="74"/>
    <x v="15"/>
    <x v="0"/>
    <x v="2"/>
    <n v="3"/>
    <n v="6"/>
    <n v="1"/>
    <x v="0"/>
  </r>
  <r>
    <x v="3"/>
    <x v="0"/>
    <x v="0"/>
    <n v="6.5"/>
    <x v="2"/>
    <n v="8.1"/>
    <n v="1.5999999999999996"/>
    <n v="2"/>
    <x v="90"/>
    <x v="6"/>
    <x v="0"/>
    <x v="1"/>
    <n v="8"/>
    <n v="2"/>
    <n v="2"/>
    <x v="0"/>
  </r>
  <r>
    <x v="1"/>
    <x v="1"/>
    <x v="1"/>
    <n v="7.8"/>
    <x v="2"/>
    <n v="8.8000000000000007"/>
    <n v="1.0000000000000009"/>
    <n v="2.1"/>
    <x v="91"/>
    <x v="6"/>
    <x v="0"/>
    <x v="1"/>
    <n v="10"/>
    <n v="9"/>
    <n v="6"/>
    <x v="0"/>
  </r>
  <r>
    <x v="2"/>
    <x v="0"/>
    <x v="0"/>
    <n v="6.5"/>
    <x v="0"/>
    <n v="4.0999999999999996"/>
    <n v="-2.4000000000000004"/>
    <n v="2.7"/>
    <x v="78"/>
    <x v="8"/>
    <x v="0"/>
    <x v="2"/>
    <n v="6"/>
    <n v="10"/>
    <n v="10"/>
    <x v="0"/>
  </r>
  <r>
    <x v="2"/>
    <x v="1"/>
    <x v="0"/>
    <n v="3.2"/>
    <x v="1"/>
    <n v="4.2"/>
    <n v="1"/>
    <n v="0.6"/>
    <x v="92"/>
    <x v="3"/>
    <x v="0"/>
    <x v="2"/>
    <n v="6"/>
    <n v="6"/>
    <n v="3"/>
    <x v="0"/>
  </r>
  <r>
    <x v="6"/>
    <x v="0"/>
    <x v="0"/>
    <n v="2.4"/>
    <x v="1"/>
    <n v="4.0999999999999996"/>
    <n v="1.6999999999999997"/>
    <n v="0.8"/>
    <x v="93"/>
    <x v="8"/>
    <x v="0"/>
    <x v="2"/>
    <n v="8"/>
    <n v="6"/>
    <n v="3"/>
    <x v="0"/>
  </r>
  <r>
    <x v="3"/>
    <x v="1"/>
    <x v="0"/>
    <n v="4"/>
    <x v="0"/>
    <n v="8.1"/>
    <n v="4.0999999999999996"/>
    <n v="2.1"/>
    <x v="31"/>
    <x v="14"/>
    <x v="0"/>
    <x v="2"/>
    <n v="4"/>
    <n v="8"/>
    <n v="8"/>
    <x v="0"/>
  </r>
  <r>
    <x v="2"/>
    <x v="1"/>
    <x v="0"/>
    <n v="6"/>
    <x v="2"/>
    <n v="8.8000000000000007"/>
    <n v="2.8000000000000007"/>
    <n v="1.3"/>
    <x v="94"/>
    <x v="7"/>
    <x v="0"/>
    <x v="2"/>
    <n v="8"/>
    <n v="10"/>
    <n v="7"/>
    <x v="0"/>
  </r>
  <r>
    <x v="4"/>
    <x v="0"/>
    <x v="0"/>
    <n v="1.2"/>
    <x v="1"/>
    <n v="8"/>
    <n v="6.8"/>
    <n v="1.7"/>
    <x v="95"/>
    <x v="15"/>
    <x v="0"/>
    <x v="0"/>
    <n v="6"/>
    <n v="4"/>
    <n v="2"/>
    <x v="0"/>
  </r>
  <r>
    <x v="5"/>
    <x v="0"/>
    <x v="0"/>
    <n v="5.7"/>
    <x v="2"/>
    <n v="5.8"/>
    <n v="9.9999999999999645E-2"/>
    <n v="2.8"/>
    <x v="96"/>
    <x v="12"/>
    <x v="0"/>
    <x v="2"/>
    <n v="3"/>
    <n v="9"/>
    <n v="2"/>
    <x v="0"/>
  </r>
  <r>
    <x v="1"/>
    <x v="0"/>
    <x v="1"/>
    <n v="6.5"/>
    <x v="2"/>
    <n v="8.1"/>
    <n v="1.5999999999999996"/>
    <n v="2.2999999999999998"/>
    <x v="92"/>
    <x v="14"/>
    <x v="0"/>
    <x v="1"/>
    <n v="8"/>
    <n v="8"/>
    <n v="6"/>
    <x v="0"/>
  </r>
  <r>
    <x v="5"/>
    <x v="0"/>
    <x v="0"/>
    <n v="6.6"/>
    <x v="0"/>
    <n v="5.6"/>
    <n v="-1"/>
    <n v="0.8"/>
    <x v="3"/>
    <x v="10"/>
    <x v="0"/>
    <x v="2"/>
    <n v="4"/>
    <n v="3"/>
    <n v="4"/>
    <x v="0"/>
  </r>
  <r>
    <x v="6"/>
    <x v="0"/>
    <x v="0"/>
    <n v="6"/>
    <x v="1"/>
    <n v="7.2"/>
    <n v="1.2000000000000002"/>
    <n v="1.5"/>
    <x v="41"/>
    <x v="18"/>
    <x v="0"/>
    <x v="0"/>
    <n v="1"/>
    <n v="3"/>
    <n v="4"/>
    <x v="0"/>
  </r>
  <r>
    <x v="4"/>
    <x v="1"/>
    <x v="0"/>
    <n v="1.1000000000000001"/>
    <x v="2"/>
    <n v="8"/>
    <n v="6.9"/>
    <n v="2.7"/>
    <x v="7"/>
    <x v="15"/>
    <x v="0"/>
    <x v="0"/>
    <n v="7"/>
    <n v="10"/>
    <n v="2"/>
    <x v="0"/>
  </r>
  <r>
    <x v="6"/>
    <x v="1"/>
    <x v="0"/>
    <n v="3.8"/>
    <x v="0"/>
    <n v="7.9"/>
    <n v="4.1000000000000005"/>
    <n v="1.3"/>
    <x v="97"/>
    <x v="18"/>
    <x v="0"/>
    <x v="2"/>
    <n v="7"/>
    <n v="10"/>
    <n v="9"/>
    <x v="0"/>
  </r>
  <r>
    <x v="6"/>
    <x v="1"/>
    <x v="0"/>
    <n v="4.7"/>
    <x v="2"/>
    <n v="6.8"/>
    <n v="2.0999999999999996"/>
    <n v="1.7"/>
    <x v="30"/>
    <x v="3"/>
    <x v="0"/>
    <x v="0"/>
    <n v="4"/>
    <n v="2"/>
    <n v="4"/>
    <x v="0"/>
  </r>
  <r>
    <x v="3"/>
    <x v="0"/>
    <x v="0"/>
    <n v="7.4"/>
    <x v="1"/>
    <n v="6.3"/>
    <n v="-1.1000000000000005"/>
    <n v="1.3"/>
    <x v="73"/>
    <x v="9"/>
    <x v="0"/>
    <x v="2"/>
    <n v="1"/>
    <n v="3"/>
    <n v="9"/>
    <x v="0"/>
  </r>
  <r>
    <x v="2"/>
    <x v="0"/>
    <x v="0"/>
    <n v="3.9"/>
    <x v="0"/>
    <n v="7.1"/>
    <n v="3.1999999999999997"/>
    <n v="2.4"/>
    <x v="53"/>
    <x v="1"/>
    <x v="0"/>
    <x v="1"/>
    <n v="3"/>
    <n v="6"/>
    <n v="10"/>
    <x v="0"/>
  </r>
  <r>
    <x v="4"/>
    <x v="0"/>
    <x v="0"/>
    <n v="3.1"/>
    <x v="0"/>
    <n v="5.7"/>
    <n v="2.6"/>
    <n v="2.9"/>
    <x v="98"/>
    <x v="4"/>
    <x v="0"/>
    <x v="2"/>
    <n v="9"/>
    <n v="4"/>
    <n v="2"/>
    <x v="0"/>
  </r>
  <r>
    <x v="5"/>
    <x v="1"/>
    <x v="0"/>
    <n v="2.6"/>
    <x v="1"/>
    <n v="8.8000000000000007"/>
    <n v="6.2000000000000011"/>
    <n v="1.7"/>
    <x v="67"/>
    <x v="19"/>
    <x v="0"/>
    <x v="2"/>
    <n v="5"/>
    <n v="2"/>
    <n v="6"/>
    <x v="0"/>
  </r>
  <r>
    <x v="6"/>
    <x v="0"/>
    <x v="0"/>
    <n v="5"/>
    <x v="1"/>
    <n v="6.9"/>
    <n v="1.9000000000000004"/>
    <n v="0.6"/>
    <x v="99"/>
    <x v="1"/>
    <x v="0"/>
    <x v="0"/>
    <n v="9"/>
    <n v="3"/>
    <n v="8"/>
    <x v="0"/>
  </r>
  <r>
    <x v="4"/>
    <x v="0"/>
    <x v="0"/>
    <n v="4.5"/>
    <x v="0"/>
    <n v="8.1"/>
    <n v="3.5999999999999996"/>
    <n v="1.6"/>
    <x v="82"/>
    <x v="9"/>
    <x v="0"/>
    <x v="0"/>
    <n v="1"/>
    <n v="2"/>
    <n v="1"/>
    <x v="0"/>
  </r>
  <r>
    <x v="2"/>
    <x v="0"/>
    <x v="0"/>
    <n v="2.1"/>
    <x v="1"/>
    <n v="4.7"/>
    <n v="2.6"/>
    <n v="2"/>
    <x v="13"/>
    <x v="13"/>
    <x v="0"/>
    <x v="0"/>
    <n v="5"/>
    <n v="1"/>
    <n v="8"/>
    <x v="0"/>
  </r>
  <r>
    <x v="0"/>
    <x v="1"/>
    <x v="0"/>
    <n v="6.4"/>
    <x v="0"/>
    <n v="6"/>
    <n v="-0.40000000000000036"/>
    <n v="1.1000000000000001"/>
    <x v="36"/>
    <x v="7"/>
    <x v="0"/>
    <x v="2"/>
    <n v="8"/>
    <n v="2"/>
    <n v="3"/>
    <x v="0"/>
  </r>
  <r>
    <x v="3"/>
    <x v="1"/>
    <x v="0"/>
    <n v="2.2999999999999998"/>
    <x v="1"/>
    <n v="6.5"/>
    <n v="4.2"/>
    <n v="2.6"/>
    <x v="100"/>
    <x v="15"/>
    <x v="0"/>
    <x v="0"/>
    <n v="1"/>
    <n v="8"/>
    <n v="4"/>
    <x v="0"/>
  </r>
  <r>
    <x v="6"/>
    <x v="1"/>
    <x v="0"/>
    <n v="4.4000000000000004"/>
    <x v="1"/>
    <n v="8.8000000000000007"/>
    <n v="4.4000000000000004"/>
    <n v="1.3"/>
    <x v="101"/>
    <x v="14"/>
    <x v="0"/>
    <x v="0"/>
    <n v="3"/>
    <n v="1"/>
    <n v="7"/>
    <x v="0"/>
  </r>
  <r>
    <x v="1"/>
    <x v="0"/>
    <x v="1"/>
    <n v="2.2999999999999998"/>
    <x v="0"/>
    <n v="6.9"/>
    <n v="4.6000000000000005"/>
    <n v="2.2999999999999998"/>
    <x v="96"/>
    <x v="16"/>
    <x v="0"/>
    <x v="2"/>
    <n v="3"/>
    <n v="6"/>
    <n v="10"/>
    <x v="0"/>
  </r>
  <r>
    <x v="6"/>
    <x v="0"/>
    <x v="0"/>
    <n v="4.3"/>
    <x v="0"/>
    <n v="4.4000000000000004"/>
    <n v="0.10000000000000053"/>
    <n v="0.7"/>
    <x v="102"/>
    <x v="11"/>
    <x v="0"/>
    <x v="0"/>
    <n v="6"/>
    <n v="2"/>
    <n v="6"/>
    <x v="0"/>
  </r>
  <r>
    <x v="4"/>
    <x v="1"/>
    <x v="0"/>
    <n v="3.9"/>
    <x v="1"/>
    <n v="5.2"/>
    <n v="1.3000000000000003"/>
    <n v="1.8"/>
    <x v="103"/>
    <x v="4"/>
    <x v="0"/>
    <x v="1"/>
    <n v="9"/>
    <n v="5"/>
    <n v="5"/>
    <x v="0"/>
  </r>
  <r>
    <x v="4"/>
    <x v="0"/>
    <x v="0"/>
    <n v="2.9"/>
    <x v="1"/>
    <n v="7.5"/>
    <n v="4.5999999999999996"/>
    <n v="0.9"/>
    <x v="104"/>
    <x v="20"/>
    <x v="1"/>
    <x v="1"/>
    <n v="3"/>
    <n v="1"/>
    <n v="9"/>
    <x v="0"/>
  </r>
  <r>
    <x v="0"/>
    <x v="0"/>
    <x v="0"/>
    <n v="2.1"/>
    <x v="0"/>
    <n v="8.5"/>
    <n v="6.4"/>
    <n v="1.1000000000000001"/>
    <x v="99"/>
    <x v="16"/>
    <x v="0"/>
    <x v="2"/>
    <n v="5"/>
    <n v="6"/>
    <n v="7"/>
    <x v="0"/>
  </r>
  <r>
    <x v="0"/>
    <x v="0"/>
    <x v="0"/>
    <n v="2.1"/>
    <x v="1"/>
    <n v="5"/>
    <n v="2.9"/>
    <n v="1.4"/>
    <x v="21"/>
    <x v="8"/>
    <x v="0"/>
    <x v="0"/>
    <n v="7"/>
    <n v="1"/>
    <n v="9"/>
    <x v="0"/>
  </r>
  <r>
    <x v="5"/>
    <x v="0"/>
    <x v="0"/>
    <n v="3.8"/>
    <x v="1"/>
    <n v="5.7"/>
    <n v="1.9000000000000004"/>
    <n v="1.3"/>
    <x v="105"/>
    <x v="16"/>
    <x v="0"/>
    <x v="2"/>
    <n v="3"/>
    <n v="4"/>
    <n v="10"/>
    <x v="0"/>
  </r>
  <r>
    <x v="3"/>
    <x v="1"/>
    <x v="0"/>
    <n v="1.1000000000000001"/>
    <x v="1"/>
    <n v="8.1999999999999993"/>
    <n v="7.1"/>
    <n v="0.7"/>
    <x v="106"/>
    <x v="5"/>
    <x v="0"/>
    <x v="1"/>
    <n v="10"/>
    <n v="7"/>
    <n v="9"/>
    <x v="0"/>
  </r>
  <r>
    <x v="0"/>
    <x v="0"/>
    <x v="0"/>
    <n v="2.5"/>
    <x v="2"/>
    <n v="5.3"/>
    <n v="2.8"/>
    <n v="2.4"/>
    <x v="107"/>
    <x v="6"/>
    <x v="0"/>
    <x v="1"/>
    <n v="10"/>
    <n v="9"/>
    <n v="6"/>
    <x v="0"/>
  </r>
  <r>
    <x v="1"/>
    <x v="1"/>
    <x v="1"/>
    <n v="4.0999999999999996"/>
    <x v="0"/>
    <n v="6.4"/>
    <n v="2.3000000000000007"/>
    <n v="0.9"/>
    <x v="108"/>
    <x v="9"/>
    <x v="0"/>
    <x v="1"/>
    <n v="7"/>
    <n v="3"/>
    <n v="4"/>
    <x v="0"/>
  </r>
  <r>
    <x v="5"/>
    <x v="0"/>
    <x v="0"/>
    <n v="3"/>
    <x v="0"/>
    <n v="8.6"/>
    <n v="5.6"/>
    <n v="1.5"/>
    <x v="33"/>
    <x v="11"/>
    <x v="0"/>
    <x v="1"/>
    <n v="6"/>
    <n v="4"/>
    <n v="3"/>
    <x v="0"/>
  </r>
  <r>
    <x v="6"/>
    <x v="1"/>
    <x v="0"/>
    <n v="3.9"/>
    <x v="0"/>
    <n v="5"/>
    <n v="1.1000000000000001"/>
    <n v="0.7"/>
    <x v="88"/>
    <x v="11"/>
    <x v="0"/>
    <x v="2"/>
    <n v="10"/>
    <n v="8"/>
    <n v="3"/>
    <x v="0"/>
  </r>
  <r>
    <x v="6"/>
    <x v="0"/>
    <x v="0"/>
    <n v="7"/>
    <x v="1"/>
    <n v="8.9"/>
    <n v="1.9000000000000004"/>
    <n v="0.6"/>
    <x v="109"/>
    <x v="17"/>
    <x v="0"/>
    <x v="2"/>
    <n v="5"/>
    <n v="4"/>
    <n v="1"/>
    <x v="0"/>
  </r>
  <r>
    <x v="5"/>
    <x v="0"/>
    <x v="0"/>
    <n v="3.6"/>
    <x v="2"/>
    <n v="8.9"/>
    <n v="5.3000000000000007"/>
    <n v="1.9"/>
    <x v="15"/>
    <x v="10"/>
    <x v="0"/>
    <x v="0"/>
    <n v="9"/>
    <n v="5"/>
    <n v="2"/>
    <x v="0"/>
  </r>
  <r>
    <x v="3"/>
    <x v="0"/>
    <x v="0"/>
    <n v="7.6"/>
    <x v="0"/>
    <n v="7.6"/>
    <n v="0"/>
    <n v="2.7"/>
    <x v="41"/>
    <x v="9"/>
    <x v="0"/>
    <x v="2"/>
    <n v="5"/>
    <n v="10"/>
    <n v="3"/>
    <x v="0"/>
  </r>
  <r>
    <x v="1"/>
    <x v="0"/>
    <x v="1"/>
    <n v="1.3"/>
    <x v="0"/>
    <n v="4.5"/>
    <n v="3.2"/>
    <n v="0.7"/>
    <x v="110"/>
    <x v="1"/>
    <x v="0"/>
    <x v="0"/>
    <n v="10"/>
    <n v="9"/>
    <n v="7"/>
    <x v="0"/>
  </r>
  <r>
    <x v="2"/>
    <x v="1"/>
    <x v="0"/>
    <n v="2.1"/>
    <x v="2"/>
    <n v="7.8"/>
    <n v="5.6999999999999993"/>
    <n v="2.1"/>
    <x v="11"/>
    <x v="0"/>
    <x v="0"/>
    <x v="0"/>
    <n v="8"/>
    <n v="1"/>
    <n v="7"/>
    <x v="0"/>
  </r>
  <r>
    <x v="3"/>
    <x v="1"/>
    <x v="0"/>
    <n v="2.7"/>
    <x v="2"/>
    <n v="8.8000000000000007"/>
    <n v="6.1000000000000005"/>
    <n v="1.9"/>
    <x v="111"/>
    <x v="14"/>
    <x v="0"/>
    <x v="1"/>
    <n v="8"/>
    <n v="10"/>
    <n v="3"/>
    <x v="0"/>
  </r>
  <r>
    <x v="6"/>
    <x v="0"/>
    <x v="0"/>
    <n v="7.5"/>
    <x v="2"/>
    <n v="8"/>
    <n v="0.5"/>
    <n v="2"/>
    <x v="112"/>
    <x v="5"/>
    <x v="0"/>
    <x v="2"/>
    <n v="9"/>
    <n v="10"/>
    <n v="2"/>
    <x v="0"/>
  </r>
  <r>
    <x v="5"/>
    <x v="1"/>
    <x v="0"/>
    <n v="6.1"/>
    <x v="2"/>
    <n v="8.8000000000000007"/>
    <n v="2.7000000000000011"/>
    <n v="1.7"/>
    <x v="113"/>
    <x v="6"/>
    <x v="0"/>
    <x v="2"/>
    <n v="6"/>
    <n v="10"/>
    <n v="9"/>
    <x v="0"/>
  </r>
  <r>
    <x v="1"/>
    <x v="0"/>
    <x v="1"/>
    <n v="2.4"/>
    <x v="2"/>
    <n v="7.4"/>
    <n v="5"/>
    <n v="1.2"/>
    <x v="114"/>
    <x v="17"/>
    <x v="0"/>
    <x v="1"/>
    <n v="2"/>
    <n v="5"/>
    <n v="2"/>
    <x v="0"/>
  </r>
  <r>
    <x v="1"/>
    <x v="0"/>
    <x v="1"/>
    <n v="2"/>
    <x v="1"/>
    <n v="5.3"/>
    <n v="3.3"/>
    <n v="1.7"/>
    <x v="115"/>
    <x v="1"/>
    <x v="0"/>
    <x v="0"/>
    <n v="9"/>
    <n v="5"/>
    <n v="9"/>
    <x v="0"/>
  </r>
  <r>
    <x v="3"/>
    <x v="1"/>
    <x v="0"/>
    <n v="7.8"/>
    <x v="1"/>
    <n v="5.3"/>
    <n v="-2.5"/>
    <n v="0.5"/>
    <x v="116"/>
    <x v="1"/>
    <x v="0"/>
    <x v="0"/>
    <n v="8"/>
    <n v="9"/>
    <n v="3"/>
    <x v="1"/>
  </r>
  <r>
    <x v="5"/>
    <x v="1"/>
    <x v="0"/>
    <n v="6.8"/>
    <x v="1"/>
    <n v="7.2"/>
    <n v="0.40000000000000036"/>
    <n v="2.5"/>
    <x v="117"/>
    <x v="12"/>
    <x v="0"/>
    <x v="2"/>
    <n v="10"/>
    <n v="1"/>
    <n v="9"/>
    <x v="0"/>
  </r>
  <r>
    <x v="2"/>
    <x v="0"/>
    <x v="0"/>
    <n v="8"/>
    <x v="0"/>
    <n v="4.5999999999999996"/>
    <n v="-3.4000000000000004"/>
    <n v="2.6"/>
    <x v="118"/>
    <x v="15"/>
    <x v="0"/>
    <x v="1"/>
    <n v="9"/>
    <n v="2"/>
    <n v="6"/>
    <x v="0"/>
  </r>
  <r>
    <x v="6"/>
    <x v="1"/>
    <x v="0"/>
    <n v="7.3"/>
    <x v="2"/>
    <n v="8.9"/>
    <n v="1.6000000000000005"/>
    <n v="2.7"/>
    <x v="119"/>
    <x v="13"/>
    <x v="0"/>
    <x v="0"/>
    <n v="6"/>
    <n v="6"/>
    <n v="10"/>
    <x v="0"/>
  </r>
  <r>
    <x v="3"/>
    <x v="1"/>
    <x v="0"/>
    <n v="1.5"/>
    <x v="2"/>
    <n v="8.6999999999999993"/>
    <n v="7.1999999999999993"/>
    <n v="1.2"/>
    <x v="120"/>
    <x v="15"/>
    <x v="0"/>
    <x v="0"/>
    <n v="9"/>
    <n v="7"/>
    <n v="2"/>
    <x v="0"/>
  </r>
  <r>
    <x v="3"/>
    <x v="1"/>
    <x v="0"/>
    <n v="3.4"/>
    <x v="0"/>
    <n v="5"/>
    <n v="1.6"/>
    <n v="1.8"/>
    <x v="121"/>
    <x v="0"/>
    <x v="0"/>
    <x v="2"/>
    <n v="4"/>
    <n v="5"/>
    <n v="1"/>
    <x v="0"/>
  </r>
  <r>
    <x v="3"/>
    <x v="0"/>
    <x v="0"/>
    <n v="7.3"/>
    <x v="2"/>
    <n v="4.8"/>
    <n v="-2.5"/>
    <n v="2.6"/>
    <x v="36"/>
    <x v="0"/>
    <x v="0"/>
    <x v="0"/>
    <n v="4"/>
    <n v="7"/>
    <n v="4"/>
    <x v="0"/>
  </r>
  <r>
    <x v="6"/>
    <x v="1"/>
    <x v="0"/>
    <n v="1.9"/>
    <x v="1"/>
    <n v="8.5"/>
    <n v="6.6"/>
    <n v="0.8"/>
    <x v="122"/>
    <x v="6"/>
    <x v="0"/>
    <x v="2"/>
    <n v="5"/>
    <n v="1"/>
    <n v="3"/>
    <x v="0"/>
  </r>
  <r>
    <x v="2"/>
    <x v="1"/>
    <x v="0"/>
    <n v="3.9"/>
    <x v="0"/>
    <n v="8.1999999999999993"/>
    <n v="4.2999999999999989"/>
    <n v="1.3"/>
    <x v="123"/>
    <x v="17"/>
    <x v="0"/>
    <x v="2"/>
    <n v="3"/>
    <n v="7"/>
    <n v="7"/>
    <x v="0"/>
  </r>
  <r>
    <x v="4"/>
    <x v="0"/>
    <x v="0"/>
    <n v="1.3"/>
    <x v="0"/>
    <n v="5.8"/>
    <n v="4.5"/>
    <n v="1.3"/>
    <x v="124"/>
    <x v="13"/>
    <x v="0"/>
    <x v="2"/>
    <n v="9"/>
    <n v="4"/>
    <n v="9"/>
    <x v="0"/>
  </r>
  <r>
    <x v="1"/>
    <x v="0"/>
    <x v="1"/>
    <n v="4.7"/>
    <x v="1"/>
    <n v="8.1999999999999993"/>
    <n v="3.4999999999999991"/>
    <n v="1.8"/>
    <x v="125"/>
    <x v="19"/>
    <x v="0"/>
    <x v="0"/>
    <n v="7"/>
    <n v="4"/>
    <n v="7"/>
    <x v="0"/>
  </r>
  <r>
    <x v="3"/>
    <x v="0"/>
    <x v="0"/>
    <n v="1.9"/>
    <x v="1"/>
    <n v="5.8"/>
    <n v="3.9"/>
    <n v="2.2999999999999998"/>
    <x v="108"/>
    <x v="11"/>
    <x v="0"/>
    <x v="1"/>
    <n v="10"/>
    <n v="9"/>
    <n v="4"/>
    <x v="0"/>
  </r>
  <r>
    <x v="4"/>
    <x v="1"/>
    <x v="0"/>
    <n v="7"/>
    <x v="2"/>
    <n v="6.3"/>
    <n v="-0.70000000000000018"/>
    <n v="1.6"/>
    <x v="63"/>
    <x v="12"/>
    <x v="0"/>
    <x v="2"/>
    <n v="10"/>
    <n v="1"/>
    <n v="8"/>
    <x v="0"/>
  </r>
  <r>
    <x v="3"/>
    <x v="0"/>
    <x v="0"/>
    <n v="6.2"/>
    <x v="1"/>
    <n v="6.3"/>
    <n v="9.9999999999999645E-2"/>
    <n v="1.7"/>
    <x v="125"/>
    <x v="8"/>
    <x v="0"/>
    <x v="1"/>
    <n v="9"/>
    <n v="6"/>
    <n v="2"/>
    <x v="0"/>
  </r>
  <r>
    <x v="0"/>
    <x v="0"/>
    <x v="0"/>
    <n v="3.2"/>
    <x v="1"/>
    <n v="8"/>
    <n v="4.8"/>
    <n v="1.3"/>
    <x v="114"/>
    <x v="8"/>
    <x v="0"/>
    <x v="1"/>
    <n v="2"/>
    <n v="7"/>
    <n v="5"/>
    <x v="0"/>
  </r>
  <r>
    <x v="4"/>
    <x v="1"/>
    <x v="0"/>
    <n v="4.5"/>
    <x v="2"/>
    <n v="7.9"/>
    <n v="3.4000000000000004"/>
    <n v="1.4"/>
    <x v="19"/>
    <x v="15"/>
    <x v="0"/>
    <x v="1"/>
    <n v="7"/>
    <n v="9"/>
    <n v="1"/>
    <x v="0"/>
  </r>
  <r>
    <x v="0"/>
    <x v="1"/>
    <x v="0"/>
    <n v="1.1000000000000001"/>
    <x v="2"/>
    <n v="6.1"/>
    <n v="5"/>
    <n v="2.5"/>
    <x v="56"/>
    <x v="17"/>
    <x v="0"/>
    <x v="1"/>
    <n v="4"/>
    <n v="10"/>
    <n v="3"/>
    <x v="0"/>
  </r>
  <r>
    <x v="6"/>
    <x v="0"/>
    <x v="0"/>
    <n v="5.9"/>
    <x v="0"/>
    <n v="8"/>
    <n v="2.0999999999999996"/>
    <n v="2.8"/>
    <x v="123"/>
    <x v="16"/>
    <x v="0"/>
    <x v="2"/>
    <n v="2"/>
    <n v="8"/>
    <n v="8"/>
    <x v="0"/>
  </r>
  <r>
    <x v="2"/>
    <x v="0"/>
    <x v="0"/>
    <n v="5.0999999999999996"/>
    <x v="2"/>
    <n v="5"/>
    <n v="-9.9999999999999645E-2"/>
    <n v="2.2000000000000002"/>
    <x v="126"/>
    <x v="9"/>
    <x v="0"/>
    <x v="1"/>
    <n v="6"/>
    <n v="3"/>
    <n v="9"/>
    <x v="0"/>
  </r>
  <r>
    <x v="3"/>
    <x v="0"/>
    <x v="0"/>
    <n v="1.6"/>
    <x v="0"/>
    <n v="6.9"/>
    <n v="5.3000000000000007"/>
    <n v="2.2999999999999998"/>
    <x v="9"/>
    <x v="7"/>
    <x v="0"/>
    <x v="2"/>
    <n v="3"/>
    <n v="1"/>
    <n v="5"/>
    <x v="0"/>
  </r>
  <r>
    <x v="3"/>
    <x v="1"/>
    <x v="0"/>
    <n v="7.2"/>
    <x v="1"/>
    <n v="8"/>
    <n v="0.79999999999999982"/>
    <n v="1.4"/>
    <x v="71"/>
    <x v="14"/>
    <x v="0"/>
    <x v="2"/>
    <n v="10"/>
    <n v="5"/>
    <n v="7"/>
    <x v="0"/>
  </r>
  <r>
    <x v="2"/>
    <x v="1"/>
    <x v="0"/>
    <n v="1.4"/>
    <x v="0"/>
    <n v="6.9"/>
    <n v="5.5"/>
    <n v="2.4"/>
    <x v="118"/>
    <x v="13"/>
    <x v="0"/>
    <x v="2"/>
    <n v="4"/>
    <n v="10"/>
    <n v="8"/>
    <x v="0"/>
  </r>
  <r>
    <x v="2"/>
    <x v="1"/>
    <x v="0"/>
    <n v="6.6"/>
    <x v="0"/>
    <n v="8"/>
    <n v="1.4000000000000004"/>
    <n v="2.2000000000000002"/>
    <x v="92"/>
    <x v="19"/>
    <x v="0"/>
    <x v="1"/>
    <n v="10"/>
    <n v="8"/>
    <n v="10"/>
    <x v="0"/>
  </r>
  <r>
    <x v="3"/>
    <x v="1"/>
    <x v="0"/>
    <n v="3.5"/>
    <x v="0"/>
    <n v="6.3"/>
    <n v="2.8"/>
    <n v="0.8"/>
    <x v="127"/>
    <x v="17"/>
    <x v="0"/>
    <x v="1"/>
    <n v="7"/>
    <n v="4"/>
    <n v="2"/>
    <x v="0"/>
  </r>
  <r>
    <x v="2"/>
    <x v="1"/>
    <x v="0"/>
    <n v="5.4"/>
    <x v="2"/>
    <n v="6.3"/>
    <n v="0.89999999999999947"/>
    <n v="2.8"/>
    <x v="118"/>
    <x v="1"/>
    <x v="0"/>
    <x v="0"/>
    <n v="3"/>
    <n v="7"/>
    <n v="9"/>
    <x v="0"/>
  </r>
  <r>
    <x v="5"/>
    <x v="1"/>
    <x v="0"/>
    <n v="4.2"/>
    <x v="2"/>
    <n v="7.3"/>
    <n v="3.0999999999999996"/>
    <n v="1.1000000000000001"/>
    <x v="98"/>
    <x v="16"/>
    <x v="0"/>
    <x v="2"/>
    <n v="1"/>
    <n v="6"/>
    <n v="2"/>
    <x v="0"/>
  </r>
  <r>
    <x v="6"/>
    <x v="0"/>
    <x v="0"/>
    <n v="2.5"/>
    <x v="0"/>
    <n v="8.3000000000000007"/>
    <n v="5.8000000000000007"/>
    <n v="1.6"/>
    <x v="115"/>
    <x v="4"/>
    <x v="0"/>
    <x v="1"/>
    <n v="10"/>
    <n v="2"/>
    <n v="6"/>
    <x v="0"/>
  </r>
  <r>
    <x v="5"/>
    <x v="1"/>
    <x v="0"/>
    <n v="3.8"/>
    <x v="1"/>
    <n v="6"/>
    <n v="2.2000000000000002"/>
    <n v="3"/>
    <x v="128"/>
    <x v="18"/>
    <x v="0"/>
    <x v="0"/>
    <n v="7"/>
    <n v="9"/>
    <n v="1"/>
    <x v="0"/>
  </r>
  <r>
    <x v="6"/>
    <x v="0"/>
    <x v="0"/>
    <n v="1.8"/>
    <x v="0"/>
    <n v="8.9"/>
    <n v="7.1000000000000005"/>
    <n v="1.2"/>
    <x v="129"/>
    <x v="15"/>
    <x v="0"/>
    <x v="2"/>
    <n v="2"/>
    <n v="8"/>
    <n v="9"/>
    <x v="0"/>
  </r>
  <r>
    <x v="0"/>
    <x v="0"/>
    <x v="0"/>
    <n v="5.4"/>
    <x v="0"/>
    <n v="5.6"/>
    <n v="0.19999999999999929"/>
    <n v="1.8"/>
    <x v="0"/>
    <x v="7"/>
    <x v="0"/>
    <x v="0"/>
    <n v="10"/>
    <n v="6"/>
    <n v="8"/>
    <x v="0"/>
  </r>
  <r>
    <x v="0"/>
    <x v="1"/>
    <x v="0"/>
    <n v="7.7"/>
    <x v="0"/>
    <n v="6.1"/>
    <n v="-1.6000000000000005"/>
    <n v="0.8"/>
    <x v="73"/>
    <x v="0"/>
    <x v="0"/>
    <x v="2"/>
    <n v="9"/>
    <n v="10"/>
    <n v="9"/>
    <x v="0"/>
  </r>
  <r>
    <x v="4"/>
    <x v="1"/>
    <x v="0"/>
    <n v="4.0999999999999996"/>
    <x v="0"/>
    <n v="8"/>
    <n v="3.9000000000000004"/>
    <n v="1.7"/>
    <x v="89"/>
    <x v="3"/>
    <x v="0"/>
    <x v="0"/>
    <n v="2"/>
    <n v="1"/>
    <n v="10"/>
    <x v="0"/>
  </r>
  <r>
    <x v="3"/>
    <x v="1"/>
    <x v="0"/>
    <n v="6.6"/>
    <x v="2"/>
    <n v="4.9000000000000004"/>
    <n v="-1.6999999999999993"/>
    <n v="3"/>
    <x v="13"/>
    <x v="7"/>
    <x v="0"/>
    <x v="2"/>
    <n v="4"/>
    <n v="8"/>
    <n v="3"/>
    <x v="0"/>
  </r>
  <r>
    <x v="5"/>
    <x v="0"/>
    <x v="0"/>
    <n v="2.2999999999999998"/>
    <x v="2"/>
    <n v="4.0999999999999996"/>
    <n v="1.7999999999999998"/>
    <n v="0.8"/>
    <x v="100"/>
    <x v="10"/>
    <x v="0"/>
    <x v="2"/>
    <n v="5"/>
    <n v="3"/>
    <n v="8"/>
    <x v="0"/>
  </r>
  <r>
    <x v="2"/>
    <x v="1"/>
    <x v="0"/>
    <n v="7.5"/>
    <x v="0"/>
    <n v="5.9"/>
    <n v="-1.5999999999999996"/>
    <n v="2.9"/>
    <x v="65"/>
    <x v="10"/>
    <x v="0"/>
    <x v="0"/>
    <n v="3"/>
    <n v="1"/>
    <n v="10"/>
    <x v="0"/>
  </r>
  <r>
    <x v="4"/>
    <x v="0"/>
    <x v="0"/>
    <n v="7.1"/>
    <x v="0"/>
    <n v="8"/>
    <n v="0.90000000000000036"/>
    <n v="2.9"/>
    <x v="14"/>
    <x v="9"/>
    <x v="0"/>
    <x v="1"/>
    <n v="10"/>
    <n v="8"/>
    <n v="5"/>
    <x v="0"/>
  </r>
  <r>
    <x v="2"/>
    <x v="1"/>
    <x v="0"/>
    <n v="1.7"/>
    <x v="2"/>
    <n v="6.3"/>
    <n v="4.5999999999999996"/>
    <n v="1.5"/>
    <x v="130"/>
    <x v="17"/>
    <x v="0"/>
    <x v="0"/>
    <n v="1"/>
    <n v="4"/>
    <n v="10"/>
    <x v="0"/>
  </r>
  <r>
    <x v="6"/>
    <x v="0"/>
    <x v="0"/>
    <n v="7.9"/>
    <x v="0"/>
    <n v="5.8"/>
    <n v="-2.1000000000000005"/>
    <n v="0.8"/>
    <x v="131"/>
    <x v="16"/>
    <x v="0"/>
    <x v="2"/>
    <n v="3"/>
    <n v="7"/>
    <n v="2"/>
    <x v="0"/>
  </r>
  <r>
    <x v="5"/>
    <x v="1"/>
    <x v="0"/>
    <n v="4"/>
    <x v="0"/>
    <n v="7.9"/>
    <n v="3.9000000000000004"/>
    <n v="1.9"/>
    <x v="55"/>
    <x v="15"/>
    <x v="0"/>
    <x v="1"/>
    <n v="4"/>
    <n v="9"/>
    <n v="9"/>
    <x v="0"/>
  </r>
  <r>
    <x v="3"/>
    <x v="1"/>
    <x v="0"/>
    <n v="1.2"/>
    <x v="1"/>
    <n v="8.1"/>
    <n v="6.8999999999999995"/>
    <n v="2"/>
    <x v="122"/>
    <x v="0"/>
    <x v="0"/>
    <x v="2"/>
    <n v="7"/>
    <n v="3"/>
    <n v="8"/>
    <x v="0"/>
  </r>
  <r>
    <x v="1"/>
    <x v="0"/>
    <x v="1"/>
    <n v="3.5"/>
    <x v="1"/>
    <n v="8.4"/>
    <n v="4.9000000000000004"/>
    <n v="1.7"/>
    <x v="132"/>
    <x v="15"/>
    <x v="0"/>
    <x v="1"/>
    <n v="6"/>
    <n v="9"/>
    <n v="3"/>
    <x v="0"/>
  </r>
  <r>
    <x v="2"/>
    <x v="0"/>
    <x v="0"/>
    <n v="1.1000000000000001"/>
    <x v="0"/>
    <n v="6.8"/>
    <n v="5.6999999999999993"/>
    <n v="2"/>
    <x v="133"/>
    <x v="6"/>
    <x v="0"/>
    <x v="2"/>
    <n v="7"/>
    <n v="1"/>
    <n v="2"/>
    <x v="0"/>
  </r>
  <r>
    <x v="1"/>
    <x v="1"/>
    <x v="1"/>
    <n v="1.6"/>
    <x v="1"/>
    <n v="4.0999999999999996"/>
    <n v="2.4999999999999996"/>
    <n v="1.6"/>
    <x v="54"/>
    <x v="7"/>
    <x v="0"/>
    <x v="2"/>
    <n v="2"/>
    <n v="6"/>
    <n v="4"/>
    <x v="0"/>
  </r>
  <r>
    <x v="5"/>
    <x v="1"/>
    <x v="0"/>
    <n v="2.5"/>
    <x v="1"/>
    <n v="8.9"/>
    <n v="6.4"/>
    <n v="2.9"/>
    <x v="22"/>
    <x v="15"/>
    <x v="0"/>
    <x v="1"/>
    <n v="8"/>
    <n v="7"/>
    <n v="3"/>
    <x v="0"/>
  </r>
  <r>
    <x v="3"/>
    <x v="0"/>
    <x v="0"/>
    <n v="2.8"/>
    <x v="0"/>
    <n v="7.2"/>
    <n v="4.4000000000000004"/>
    <n v="1.8"/>
    <x v="115"/>
    <x v="18"/>
    <x v="0"/>
    <x v="0"/>
    <n v="5"/>
    <n v="5"/>
    <n v="4"/>
    <x v="0"/>
  </r>
  <r>
    <x v="3"/>
    <x v="0"/>
    <x v="0"/>
    <n v="2.2000000000000002"/>
    <x v="0"/>
    <n v="5.2"/>
    <n v="3"/>
    <n v="1.4"/>
    <x v="104"/>
    <x v="0"/>
    <x v="0"/>
    <x v="2"/>
    <n v="10"/>
    <n v="7"/>
    <n v="5"/>
    <x v="0"/>
  </r>
  <r>
    <x v="5"/>
    <x v="0"/>
    <x v="0"/>
    <n v="4.8"/>
    <x v="2"/>
    <n v="6.8"/>
    <n v="2"/>
    <n v="1"/>
    <x v="134"/>
    <x v="8"/>
    <x v="0"/>
    <x v="2"/>
    <n v="1"/>
    <n v="5"/>
    <n v="6"/>
    <x v="0"/>
  </r>
  <r>
    <x v="4"/>
    <x v="1"/>
    <x v="0"/>
    <n v="3.7"/>
    <x v="2"/>
    <n v="7.9"/>
    <n v="4.2"/>
    <n v="2.7"/>
    <x v="135"/>
    <x v="11"/>
    <x v="0"/>
    <x v="2"/>
    <n v="6"/>
    <n v="6"/>
    <n v="5"/>
    <x v="0"/>
  </r>
  <r>
    <x v="5"/>
    <x v="0"/>
    <x v="0"/>
    <n v="5.5"/>
    <x v="0"/>
    <n v="8.3000000000000007"/>
    <n v="2.8000000000000007"/>
    <n v="2.2999999999999998"/>
    <x v="73"/>
    <x v="16"/>
    <x v="0"/>
    <x v="2"/>
    <n v="4"/>
    <n v="8"/>
    <n v="5"/>
    <x v="0"/>
  </r>
  <r>
    <x v="5"/>
    <x v="0"/>
    <x v="0"/>
    <n v="2.5"/>
    <x v="0"/>
    <n v="6.8"/>
    <n v="4.3"/>
    <n v="1"/>
    <x v="8"/>
    <x v="19"/>
    <x v="0"/>
    <x v="1"/>
    <n v="3"/>
    <n v="9"/>
    <n v="9"/>
    <x v="0"/>
  </r>
  <r>
    <x v="4"/>
    <x v="1"/>
    <x v="0"/>
    <n v="1.9"/>
    <x v="1"/>
    <n v="5.8"/>
    <n v="3.9"/>
    <n v="1.7"/>
    <x v="136"/>
    <x v="18"/>
    <x v="0"/>
    <x v="0"/>
    <n v="6"/>
    <n v="5"/>
    <n v="1"/>
    <x v="0"/>
  </r>
  <r>
    <x v="6"/>
    <x v="0"/>
    <x v="0"/>
    <n v="5.9"/>
    <x v="0"/>
    <n v="7.5"/>
    <n v="1.5999999999999996"/>
    <n v="1.4"/>
    <x v="137"/>
    <x v="9"/>
    <x v="0"/>
    <x v="0"/>
    <n v="6"/>
    <n v="2"/>
    <n v="8"/>
    <x v="0"/>
  </r>
  <r>
    <x v="6"/>
    <x v="1"/>
    <x v="0"/>
    <n v="6.5"/>
    <x v="1"/>
    <n v="8.3000000000000007"/>
    <n v="1.8000000000000007"/>
    <n v="0.6"/>
    <x v="28"/>
    <x v="11"/>
    <x v="0"/>
    <x v="1"/>
    <n v="2"/>
    <n v="7"/>
    <n v="8"/>
    <x v="0"/>
  </r>
  <r>
    <x v="3"/>
    <x v="0"/>
    <x v="0"/>
    <n v="7.5"/>
    <x v="0"/>
    <n v="8.1"/>
    <n v="0.59999999999999964"/>
    <n v="2.5"/>
    <x v="85"/>
    <x v="9"/>
    <x v="0"/>
    <x v="2"/>
    <n v="6"/>
    <n v="8"/>
    <n v="10"/>
    <x v="0"/>
  </r>
  <r>
    <x v="1"/>
    <x v="0"/>
    <x v="1"/>
    <n v="4.9000000000000004"/>
    <x v="1"/>
    <n v="4.5"/>
    <n v="-0.40000000000000036"/>
    <n v="2.9"/>
    <x v="138"/>
    <x v="1"/>
    <x v="0"/>
    <x v="0"/>
    <n v="5"/>
    <n v="5"/>
    <n v="6"/>
    <x v="0"/>
  </r>
  <r>
    <x v="6"/>
    <x v="0"/>
    <x v="0"/>
    <n v="2.2000000000000002"/>
    <x v="1"/>
    <n v="5.3"/>
    <n v="3.0999999999999996"/>
    <n v="1.4"/>
    <x v="97"/>
    <x v="2"/>
    <x v="0"/>
    <x v="0"/>
    <n v="1"/>
    <n v="10"/>
    <n v="7"/>
    <x v="0"/>
  </r>
  <r>
    <x v="0"/>
    <x v="0"/>
    <x v="0"/>
    <n v="5.8"/>
    <x v="2"/>
    <n v="6.9"/>
    <n v="1.1000000000000005"/>
    <n v="0.7"/>
    <x v="0"/>
    <x v="13"/>
    <x v="0"/>
    <x v="1"/>
    <n v="9"/>
    <n v="9"/>
    <n v="4"/>
    <x v="0"/>
  </r>
  <r>
    <x v="0"/>
    <x v="0"/>
    <x v="0"/>
    <n v="1.3"/>
    <x v="0"/>
    <n v="8.5"/>
    <n v="7.2"/>
    <n v="0.9"/>
    <x v="65"/>
    <x v="5"/>
    <x v="0"/>
    <x v="1"/>
    <n v="3"/>
    <n v="3"/>
    <n v="6"/>
    <x v="0"/>
  </r>
  <r>
    <x v="1"/>
    <x v="1"/>
    <x v="1"/>
    <n v="2.8"/>
    <x v="1"/>
    <n v="4.8"/>
    <n v="2"/>
    <n v="1.7"/>
    <x v="56"/>
    <x v="4"/>
    <x v="0"/>
    <x v="0"/>
    <n v="5"/>
    <n v="7"/>
    <n v="4"/>
    <x v="0"/>
  </r>
  <r>
    <x v="1"/>
    <x v="1"/>
    <x v="1"/>
    <n v="4"/>
    <x v="1"/>
    <n v="6.5"/>
    <n v="2.5"/>
    <n v="2.4"/>
    <x v="129"/>
    <x v="4"/>
    <x v="0"/>
    <x v="0"/>
    <n v="4"/>
    <n v="6"/>
    <n v="4"/>
    <x v="0"/>
  </r>
  <r>
    <x v="0"/>
    <x v="1"/>
    <x v="0"/>
    <n v="1.7"/>
    <x v="1"/>
    <n v="4.9000000000000004"/>
    <n v="3.2"/>
    <n v="1.6"/>
    <x v="41"/>
    <x v="10"/>
    <x v="0"/>
    <x v="1"/>
    <n v="3"/>
    <n v="1"/>
    <n v="6"/>
    <x v="0"/>
  </r>
  <r>
    <x v="4"/>
    <x v="1"/>
    <x v="0"/>
    <n v="1.4"/>
    <x v="1"/>
    <n v="6.1"/>
    <n v="4.6999999999999993"/>
    <n v="1.6"/>
    <x v="55"/>
    <x v="9"/>
    <x v="0"/>
    <x v="1"/>
    <n v="2"/>
    <n v="7"/>
    <n v="8"/>
    <x v="0"/>
  </r>
  <r>
    <x v="1"/>
    <x v="0"/>
    <x v="1"/>
    <n v="2.2999999999999998"/>
    <x v="1"/>
    <n v="6.5"/>
    <n v="4.2"/>
    <n v="3"/>
    <x v="12"/>
    <x v="15"/>
    <x v="0"/>
    <x v="1"/>
    <n v="9"/>
    <n v="10"/>
    <n v="8"/>
    <x v="0"/>
  </r>
  <r>
    <x v="0"/>
    <x v="0"/>
    <x v="0"/>
    <n v="3.8"/>
    <x v="0"/>
    <n v="5.3"/>
    <n v="1.5"/>
    <n v="1"/>
    <x v="139"/>
    <x v="9"/>
    <x v="0"/>
    <x v="0"/>
    <n v="9"/>
    <n v="3"/>
    <n v="1"/>
    <x v="0"/>
  </r>
  <r>
    <x v="6"/>
    <x v="0"/>
    <x v="0"/>
    <n v="6.4"/>
    <x v="1"/>
    <n v="5.0999999999999996"/>
    <n v="-1.3000000000000007"/>
    <n v="2.5"/>
    <x v="104"/>
    <x v="6"/>
    <x v="0"/>
    <x v="0"/>
    <n v="5"/>
    <n v="4"/>
    <n v="7"/>
    <x v="0"/>
  </r>
  <r>
    <x v="1"/>
    <x v="0"/>
    <x v="1"/>
    <n v="6"/>
    <x v="2"/>
    <n v="7.1"/>
    <n v="1.0999999999999996"/>
    <n v="0.9"/>
    <x v="88"/>
    <x v="15"/>
    <x v="0"/>
    <x v="0"/>
    <n v="1"/>
    <n v="6"/>
    <n v="5"/>
    <x v="0"/>
  </r>
  <r>
    <x v="5"/>
    <x v="0"/>
    <x v="0"/>
    <n v="1.9"/>
    <x v="0"/>
    <n v="7.8"/>
    <n v="5.9"/>
    <n v="2.1"/>
    <x v="125"/>
    <x v="11"/>
    <x v="0"/>
    <x v="1"/>
    <n v="7"/>
    <n v="7"/>
    <n v="5"/>
    <x v="0"/>
  </r>
  <r>
    <x v="2"/>
    <x v="0"/>
    <x v="0"/>
    <n v="2.4"/>
    <x v="1"/>
    <n v="8.5"/>
    <n v="6.1"/>
    <n v="2.4"/>
    <x v="93"/>
    <x v="8"/>
    <x v="0"/>
    <x v="0"/>
    <n v="1"/>
    <n v="6"/>
    <n v="7"/>
    <x v="0"/>
  </r>
  <r>
    <x v="0"/>
    <x v="1"/>
    <x v="0"/>
    <n v="2.7"/>
    <x v="0"/>
    <n v="5.0999999999999996"/>
    <n v="2.3999999999999995"/>
    <n v="2.4"/>
    <x v="96"/>
    <x v="17"/>
    <x v="0"/>
    <x v="1"/>
    <n v="3"/>
    <n v="10"/>
    <n v="8"/>
    <x v="0"/>
  </r>
  <r>
    <x v="0"/>
    <x v="0"/>
    <x v="0"/>
    <n v="1.5"/>
    <x v="2"/>
    <n v="7.2"/>
    <n v="5.7"/>
    <n v="1.7"/>
    <x v="140"/>
    <x v="2"/>
    <x v="0"/>
    <x v="0"/>
    <n v="10"/>
    <n v="7"/>
    <n v="10"/>
    <x v="0"/>
  </r>
  <r>
    <x v="4"/>
    <x v="0"/>
    <x v="0"/>
    <n v="7.7"/>
    <x v="0"/>
    <n v="7.3"/>
    <n v="-0.40000000000000036"/>
    <n v="1.8"/>
    <x v="66"/>
    <x v="20"/>
    <x v="1"/>
    <x v="2"/>
    <n v="7"/>
    <n v="9"/>
    <n v="7"/>
    <x v="0"/>
  </r>
  <r>
    <x v="6"/>
    <x v="0"/>
    <x v="0"/>
    <n v="2.9"/>
    <x v="1"/>
    <n v="5.0999999999999996"/>
    <n v="2.1999999999999997"/>
    <n v="2.2000000000000002"/>
    <x v="36"/>
    <x v="5"/>
    <x v="0"/>
    <x v="0"/>
    <n v="6"/>
    <n v="6"/>
    <n v="10"/>
    <x v="0"/>
  </r>
  <r>
    <x v="5"/>
    <x v="0"/>
    <x v="0"/>
    <n v="7.6"/>
    <x v="1"/>
    <n v="4.3"/>
    <n v="-3.3"/>
    <n v="2.7"/>
    <x v="110"/>
    <x v="11"/>
    <x v="0"/>
    <x v="2"/>
    <n v="3"/>
    <n v="9"/>
    <n v="10"/>
    <x v="0"/>
  </r>
  <r>
    <x v="4"/>
    <x v="0"/>
    <x v="0"/>
    <n v="5.7"/>
    <x v="2"/>
    <n v="8.4"/>
    <n v="2.7"/>
    <n v="2.4"/>
    <x v="33"/>
    <x v="5"/>
    <x v="0"/>
    <x v="0"/>
    <n v="5"/>
    <n v="4"/>
    <n v="9"/>
    <x v="0"/>
  </r>
  <r>
    <x v="1"/>
    <x v="0"/>
    <x v="1"/>
    <n v="1.2"/>
    <x v="1"/>
    <n v="5"/>
    <n v="3.8"/>
    <n v="1.5"/>
    <x v="141"/>
    <x v="4"/>
    <x v="0"/>
    <x v="2"/>
    <n v="5"/>
    <n v="2"/>
    <n v="1"/>
    <x v="0"/>
  </r>
  <r>
    <x v="5"/>
    <x v="1"/>
    <x v="0"/>
    <n v="2.4"/>
    <x v="2"/>
    <n v="6.2"/>
    <n v="3.8000000000000003"/>
    <n v="1.6"/>
    <x v="19"/>
    <x v="2"/>
    <x v="0"/>
    <x v="2"/>
    <n v="8"/>
    <n v="4"/>
    <n v="10"/>
    <x v="0"/>
  </r>
  <r>
    <x v="2"/>
    <x v="1"/>
    <x v="0"/>
    <n v="6.2"/>
    <x v="2"/>
    <n v="5.0999999999999996"/>
    <n v="-1.1000000000000005"/>
    <n v="2"/>
    <x v="53"/>
    <x v="10"/>
    <x v="0"/>
    <x v="2"/>
    <n v="7"/>
    <n v="3"/>
    <n v="5"/>
    <x v="0"/>
  </r>
  <r>
    <x v="0"/>
    <x v="1"/>
    <x v="0"/>
    <n v="4.7"/>
    <x v="0"/>
    <n v="5.0999999999999996"/>
    <n v="0.39999999999999947"/>
    <n v="2.2000000000000002"/>
    <x v="50"/>
    <x v="8"/>
    <x v="0"/>
    <x v="2"/>
    <n v="2"/>
    <n v="10"/>
    <n v="7"/>
    <x v="0"/>
  </r>
  <r>
    <x v="1"/>
    <x v="0"/>
    <x v="1"/>
    <n v="5.3"/>
    <x v="0"/>
    <n v="6.7"/>
    <n v="1.4000000000000004"/>
    <n v="0.7"/>
    <x v="38"/>
    <x v="17"/>
    <x v="0"/>
    <x v="1"/>
    <n v="4"/>
    <n v="8"/>
    <n v="8"/>
    <x v="0"/>
  </r>
  <r>
    <x v="1"/>
    <x v="1"/>
    <x v="1"/>
    <n v="6"/>
    <x v="1"/>
    <n v="6"/>
    <n v="0"/>
    <n v="0.7"/>
    <x v="11"/>
    <x v="3"/>
    <x v="0"/>
    <x v="0"/>
    <n v="4"/>
    <n v="5"/>
    <n v="1"/>
    <x v="0"/>
  </r>
  <r>
    <x v="5"/>
    <x v="1"/>
    <x v="0"/>
    <n v="7.8"/>
    <x v="1"/>
    <n v="4.7"/>
    <n v="-3.0999999999999996"/>
    <n v="2.1"/>
    <x v="142"/>
    <x v="20"/>
    <x v="1"/>
    <x v="0"/>
    <n v="8"/>
    <n v="3"/>
    <n v="1"/>
    <x v="0"/>
  </r>
  <r>
    <x v="0"/>
    <x v="1"/>
    <x v="0"/>
    <n v="4.4000000000000004"/>
    <x v="2"/>
    <n v="4.2"/>
    <n v="-0.20000000000000018"/>
    <n v="2.6"/>
    <x v="139"/>
    <x v="6"/>
    <x v="0"/>
    <x v="2"/>
    <n v="8"/>
    <n v="10"/>
    <n v="4"/>
    <x v="0"/>
  </r>
  <r>
    <x v="2"/>
    <x v="0"/>
    <x v="0"/>
    <n v="6.7"/>
    <x v="0"/>
    <n v="7.6"/>
    <n v="0.89999999999999947"/>
    <n v="2.4"/>
    <x v="38"/>
    <x v="14"/>
    <x v="0"/>
    <x v="2"/>
    <n v="9"/>
    <n v="5"/>
    <n v="5"/>
    <x v="0"/>
  </r>
  <r>
    <x v="6"/>
    <x v="1"/>
    <x v="0"/>
    <n v="7.2"/>
    <x v="1"/>
    <n v="7.4"/>
    <n v="0.20000000000000018"/>
    <n v="2.2000000000000002"/>
    <x v="37"/>
    <x v="15"/>
    <x v="0"/>
    <x v="0"/>
    <n v="8"/>
    <n v="9"/>
    <n v="6"/>
    <x v="0"/>
  </r>
  <r>
    <x v="4"/>
    <x v="0"/>
    <x v="0"/>
    <n v="6.1"/>
    <x v="2"/>
    <n v="4.4000000000000004"/>
    <n v="-1.6999999999999993"/>
    <n v="2.1"/>
    <x v="143"/>
    <x v="19"/>
    <x v="0"/>
    <x v="0"/>
    <n v="8"/>
    <n v="2"/>
    <n v="5"/>
    <x v="0"/>
  </r>
  <r>
    <x v="5"/>
    <x v="0"/>
    <x v="0"/>
    <n v="5.4"/>
    <x v="1"/>
    <n v="8.6999999999999993"/>
    <n v="3.2999999999999989"/>
    <n v="1.9"/>
    <x v="27"/>
    <x v="6"/>
    <x v="0"/>
    <x v="0"/>
    <n v="1"/>
    <n v="5"/>
    <n v="7"/>
    <x v="0"/>
  </r>
  <r>
    <x v="1"/>
    <x v="0"/>
    <x v="1"/>
    <n v="2.7"/>
    <x v="2"/>
    <n v="7.7"/>
    <n v="5"/>
    <n v="0.7"/>
    <x v="40"/>
    <x v="14"/>
    <x v="0"/>
    <x v="2"/>
    <n v="10"/>
    <n v="8"/>
    <n v="7"/>
    <x v="0"/>
  </r>
  <r>
    <x v="6"/>
    <x v="1"/>
    <x v="0"/>
    <n v="7.9"/>
    <x v="0"/>
    <n v="7.2"/>
    <n v="-0.70000000000000018"/>
    <n v="1.5"/>
    <x v="41"/>
    <x v="18"/>
    <x v="0"/>
    <x v="2"/>
    <n v="2"/>
    <n v="6"/>
    <n v="8"/>
    <x v="0"/>
  </r>
  <r>
    <x v="6"/>
    <x v="0"/>
    <x v="0"/>
    <n v="4.5999999999999996"/>
    <x v="1"/>
    <n v="7.3"/>
    <n v="2.7"/>
    <n v="1.6"/>
    <x v="115"/>
    <x v="14"/>
    <x v="0"/>
    <x v="0"/>
    <n v="10"/>
    <n v="5"/>
    <n v="7"/>
    <x v="0"/>
  </r>
  <r>
    <x v="6"/>
    <x v="0"/>
    <x v="0"/>
    <n v="5.6"/>
    <x v="0"/>
    <n v="4.5999999999999996"/>
    <n v="-1"/>
    <n v="1.9"/>
    <x v="144"/>
    <x v="15"/>
    <x v="0"/>
    <x v="0"/>
    <n v="5"/>
    <n v="5"/>
    <n v="6"/>
    <x v="0"/>
  </r>
  <r>
    <x v="2"/>
    <x v="1"/>
    <x v="0"/>
    <n v="6.5"/>
    <x v="1"/>
    <n v="6.4"/>
    <n v="-9.9999999999999645E-2"/>
    <n v="0.7"/>
    <x v="52"/>
    <x v="8"/>
    <x v="0"/>
    <x v="0"/>
    <n v="2"/>
    <n v="9"/>
    <n v="6"/>
    <x v="0"/>
  </r>
  <r>
    <x v="1"/>
    <x v="0"/>
    <x v="1"/>
    <n v="5.9"/>
    <x v="2"/>
    <n v="7.2"/>
    <n v="1.2999999999999998"/>
    <n v="0.9"/>
    <x v="87"/>
    <x v="10"/>
    <x v="0"/>
    <x v="0"/>
    <n v="7"/>
    <n v="9"/>
    <n v="3"/>
    <x v="0"/>
  </r>
  <r>
    <x v="1"/>
    <x v="1"/>
    <x v="1"/>
    <n v="1.1000000000000001"/>
    <x v="1"/>
    <n v="5.0999999999999996"/>
    <n v="3.9999999999999996"/>
    <n v="2.2000000000000002"/>
    <x v="145"/>
    <x v="7"/>
    <x v="0"/>
    <x v="0"/>
    <n v="7"/>
    <n v="7"/>
    <n v="2"/>
    <x v="0"/>
  </r>
  <r>
    <x v="4"/>
    <x v="0"/>
    <x v="0"/>
    <n v="3.2"/>
    <x v="1"/>
    <n v="5.0999999999999996"/>
    <n v="1.8999999999999995"/>
    <n v="1.2"/>
    <x v="146"/>
    <x v="6"/>
    <x v="0"/>
    <x v="0"/>
    <n v="6"/>
    <n v="2"/>
    <n v="8"/>
    <x v="0"/>
  </r>
  <r>
    <x v="0"/>
    <x v="0"/>
    <x v="0"/>
    <n v="6.5"/>
    <x v="0"/>
    <n v="5.3"/>
    <n v="-1.2000000000000002"/>
    <n v="2.7"/>
    <x v="147"/>
    <x v="1"/>
    <x v="0"/>
    <x v="0"/>
    <n v="8"/>
    <n v="6"/>
    <n v="4"/>
    <x v="0"/>
  </r>
  <r>
    <x v="2"/>
    <x v="1"/>
    <x v="0"/>
    <n v="7.3"/>
    <x v="0"/>
    <n v="6.2"/>
    <n v="-1.0999999999999996"/>
    <n v="1"/>
    <x v="10"/>
    <x v="18"/>
    <x v="0"/>
    <x v="0"/>
    <n v="1"/>
    <n v="6"/>
    <n v="3"/>
    <x v="0"/>
  </r>
  <r>
    <x v="2"/>
    <x v="0"/>
    <x v="0"/>
    <n v="1.5"/>
    <x v="1"/>
    <n v="5.5"/>
    <n v="4"/>
    <n v="1.7"/>
    <x v="148"/>
    <x v="5"/>
    <x v="0"/>
    <x v="0"/>
    <n v="4"/>
    <n v="9"/>
    <n v="9"/>
    <x v="0"/>
  </r>
  <r>
    <x v="5"/>
    <x v="0"/>
    <x v="0"/>
    <n v="3.8"/>
    <x v="0"/>
    <n v="6.8"/>
    <n v="3"/>
    <n v="2.4"/>
    <x v="98"/>
    <x v="16"/>
    <x v="0"/>
    <x v="0"/>
    <n v="6"/>
    <n v="10"/>
    <n v="4"/>
    <x v="0"/>
  </r>
  <r>
    <x v="6"/>
    <x v="1"/>
    <x v="0"/>
    <n v="3.6"/>
    <x v="1"/>
    <n v="8.6"/>
    <n v="5"/>
    <n v="2.8"/>
    <x v="149"/>
    <x v="5"/>
    <x v="0"/>
    <x v="1"/>
    <n v="10"/>
    <n v="3"/>
    <n v="5"/>
    <x v="0"/>
  </r>
  <r>
    <x v="3"/>
    <x v="0"/>
    <x v="0"/>
    <n v="3.6"/>
    <x v="1"/>
    <n v="4.3"/>
    <n v="0.69999999999999973"/>
    <n v="2.9"/>
    <x v="150"/>
    <x v="19"/>
    <x v="0"/>
    <x v="1"/>
    <n v="10"/>
    <n v="9"/>
    <n v="7"/>
    <x v="0"/>
  </r>
  <r>
    <x v="2"/>
    <x v="1"/>
    <x v="0"/>
    <n v="5.3"/>
    <x v="0"/>
    <n v="7.4"/>
    <n v="2.1000000000000005"/>
    <n v="1.2"/>
    <x v="64"/>
    <x v="8"/>
    <x v="0"/>
    <x v="1"/>
    <n v="6"/>
    <n v="3"/>
    <n v="7"/>
    <x v="0"/>
  </r>
  <r>
    <x v="1"/>
    <x v="0"/>
    <x v="1"/>
    <n v="4.4000000000000004"/>
    <x v="1"/>
    <n v="4.3"/>
    <n v="-0.10000000000000053"/>
    <n v="0.8"/>
    <x v="151"/>
    <x v="19"/>
    <x v="0"/>
    <x v="1"/>
    <n v="9"/>
    <n v="9"/>
    <n v="7"/>
    <x v="0"/>
  </r>
  <r>
    <x v="4"/>
    <x v="0"/>
    <x v="0"/>
    <n v="7.7"/>
    <x v="1"/>
    <n v="4.7"/>
    <n v="-3"/>
    <n v="1.4"/>
    <x v="152"/>
    <x v="4"/>
    <x v="0"/>
    <x v="2"/>
    <n v="9"/>
    <n v="6"/>
    <n v="6"/>
    <x v="0"/>
  </r>
  <r>
    <x v="0"/>
    <x v="1"/>
    <x v="0"/>
    <n v="7.1"/>
    <x v="1"/>
    <n v="4.5"/>
    <n v="-2.5999999999999996"/>
    <n v="2.4"/>
    <x v="57"/>
    <x v="14"/>
    <x v="0"/>
    <x v="1"/>
    <n v="3"/>
    <n v="4"/>
    <n v="4"/>
    <x v="0"/>
  </r>
  <r>
    <x v="5"/>
    <x v="0"/>
    <x v="0"/>
    <n v="4.9000000000000004"/>
    <x v="0"/>
    <n v="6.8"/>
    <n v="1.8999999999999995"/>
    <n v="1"/>
    <x v="100"/>
    <x v="13"/>
    <x v="0"/>
    <x v="1"/>
    <n v="7"/>
    <n v="4"/>
    <n v="8"/>
    <x v="0"/>
  </r>
  <r>
    <x v="1"/>
    <x v="0"/>
    <x v="1"/>
    <n v="4.5999999999999996"/>
    <x v="2"/>
    <n v="8.9"/>
    <n v="4.3000000000000007"/>
    <n v="1.9"/>
    <x v="114"/>
    <x v="14"/>
    <x v="0"/>
    <x v="2"/>
    <n v="8"/>
    <n v="1"/>
    <n v="3"/>
    <x v="0"/>
  </r>
  <r>
    <x v="1"/>
    <x v="0"/>
    <x v="1"/>
    <n v="1.8"/>
    <x v="0"/>
    <n v="6.5"/>
    <n v="4.7"/>
    <n v="2.6"/>
    <x v="83"/>
    <x v="10"/>
    <x v="0"/>
    <x v="1"/>
    <n v="7"/>
    <n v="6"/>
    <n v="1"/>
    <x v="0"/>
  </r>
  <r>
    <x v="5"/>
    <x v="0"/>
    <x v="0"/>
    <n v="4.2"/>
    <x v="2"/>
    <n v="5.7"/>
    <n v="1.5"/>
    <n v="1"/>
    <x v="74"/>
    <x v="15"/>
    <x v="0"/>
    <x v="1"/>
    <n v="10"/>
    <n v="5"/>
    <n v="9"/>
    <x v="0"/>
  </r>
  <r>
    <x v="5"/>
    <x v="0"/>
    <x v="0"/>
    <n v="1.5"/>
    <x v="1"/>
    <n v="6.7"/>
    <n v="5.2"/>
    <n v="0.5"/>
    <x v="153"/>
    <x v="9"/>
    <x v="0"/>
    <x v="0"/>
    <n v="1"/>
    <n v="9"/>
    <n v="6"/>
    <x v="0"/>
  </r>
  <r>
    <x v="1"/>
    <x v="0"/>
    <x v="1"/>
    <n v="7"/>
    <x v="0"/>
    <n v="8.9"/>
    <n v="1.9000000000000004"/>
    <n v="2.8"/>
    <x v="33"/>
    <x v="14"/>
    <x v="0"/>
    <x v="1"/>
    <n v="6"/>
    <n v="8"/>
    <n v="6"/>
    <x v="0"/>
  </r>
  <r>
    <x v="0"/>
    <x v="1"/>
    <x v="0"/>
    <n v="6.5"/>
    <x v="2"/>
    <n v="7.8"/>
    <n v="1.2999999999999998"/>
    <n v="1.5"/>
    <x v="25"/>
    <x v="1"/>
    <x v="0"/>
    <x v="2"/>
    <n v="9"/>
    <n v="2"/>
    <n v="3"/>
    <x v="0"/>
  </r>
  <r>
    <x v="1"/>
    <x v="1"/>
    <x v="1"/>
    <n v="4.3"/>
    <x v="0"/>
    <n v="5.9"/>
    <n v="1.6000000000000005"/>
    <n v="2.1"/>
    <x v="154"/>
    <x v="10"/>
    <x v="0"/>
    <x v="1"/>
    <n v="9"/>
    <n v="9"/>
    <n v="8"/>
    <x v="0"/>
  </r>
  <r>
    <x v="5"/>
    <x v="0"/>
    <x v="0"/>
    <n v="7.2"/>
    <x v="2"/>
    <n v="7.7"/>
    <n v="0.5"/>
    <n v="2.5"/>
    <x v="55"/>
    <x v="10"/>
    <x v="0"/>
    <x v="1"/>
    <n v="8"/>
    <n v="7"/>
    <n v="6"/>
    <x v="0"/>
  </r>
  <r>
    <x v="6"/>
    <x v="0"/>
    <x v="0"/>
    <n v="7"/>
    <x v="2"/>
    <n v="4.0999999999999996"/>
    <n v="-2.9000000000000004"/>
    <n v="1.9"/>
    <x v="48"/>
    <x v="11"/>
    <x v="0"/>
    <x v="2"/>
    <n v="3"/>
    <n v="10"/>
    <n v="6"/>
    <x v="0"/>
  </r>
  <r>
    <x v="4"/>
    <x v="1"/>
    <x v="0"/>
    <n v="3.8"/>
    <x v="2"/>
    <n v="5.4"/>
    <n v="1.6000000000000005"/>
    <n v="1.7"/>
    <x v="118"/>
    <x v="13"/>
    <x v="0"/>
    <x v="2"/>
    <n v="5"/>
    <n v="10"/>
    <n v="3"/>
    <x v="0"/>
  </r>
  <r>
    <x v="2"/>
    <x v="1"/>
    <x v="0"/>
    <n v="3"/>
    <x v="0"/>
    <n v="6.9"/>
    <n v="3.9000000000000004"/>
    <n v="2.2999999999999998"/>
    <x v="155"/>
    <x v="4"/>
    <x v="0"/>
    <x v="0"/>
    <n v="5"/>
    <n v="2"/>
    <n v="9"/>
    <x v="0"/>
  </r>
  <r>
    <x v="0"/>
    <x v="1"/>
    <x v="0"/>
    <n v="7"/>
    <x v="1"/>
    <n v="7.8"/>
    <n v="0.79999999999999982"/>
    <n v="1.1000000000000001"/>
    <x v="36"/>
    <x v="3"/>
    <x v="0"/>
    <x v="2"/>
    <n v="10"/>
    <n v="4"/>
    <n v="2"/>
    <x v="0"/>
  </r>
  <r>
    <x v="6"/>
    <x v="0"/>
    <x v="0"/>
    <n v="4.5999999999999996"/>
    <x v="1"/>
    <n v="5.3"/>
    <n v="0.70000000000000018"/>
    <n v="2.2999999999999998"/>
    <x v="156"/>
    <x v="18"/>
    <x v="0"/>
    <x v="0"/>
    <n v="5"/>
    <n v="9"/>
    <n v="5"/>
    <x v="0"/>
  </r>
  <r>
    <x v="5"/>
    <x v="0"/>
    <x v="0"/>
    <n v="3.4"/>
    <x v="2"/>
    <n v="8.9"/>
    <n v="5.5"/>
    <n v="2.6"/>
    <x v="144"/>
    <x v="17"/>
    <x v="0"/>
    <x v="1"/>
    <n v="6"/>
    <n v="2"/>
    <n v="5"/>
    <x v="0"/>
  </r>
  <r>
    <x v="1"/>
    <x v="1"/>
    <x v="1"/>
    <n v="3.5"/>
    <x v="1"/>
    <n v="6.7"/>
    <n v="3.2"/>
    <n v="2.7"/>
    <x v="72"/>
    <x v="9"/>
    <x v="0"/>
    <x v="0"/>
    <n v="4"/>
    <n v="6"/>
    <n v="7"/>
    <x v="0"/>
  </r>
  <r>
    <x v="0"/>
    <x v="1"/>
    <x v="0"/>
    <n v="4.4000000000000004"/>
    <x v="2"/>
    <n v="7.3"/>
    <n v="2.8999999999999995"/>
    <n v="2.7"/>
    <x v="46"/>
    <x v="8"/>
    <x v="0"/>
    <x v="0"/>
    <n v="2"/>
    <n v="1"/>
    <n v="9"/>
    <x v="0"/>
  </r>
  <r>
    <x v="0"/>
    <x v="1"/>
    <x v="0"/>
    <n v="1.8"/>
    <x v="2"/>
    <n v="8.1999999999999993"/>
    <n v="6.3999999999999995"/>
    <n v="2.2000000000000002"/>
    <x v="86"/>
    <x v="10"/>
    <x v="0"/>
    <x v="1"/>
    <n v="9"/>
    <n v="5"/>
    <n v="10"/>
    <x v="0"/>
  </r>
  <r>
    <x v="2"/>
    <x v="0"/>
    <x v="0"/>
    <n v="3.9"/>
    <x v="2"/>
    <n v="7.7"/>
    <n v="3.8000000000000003"/>
    <n v="1"/>
    <x v="128"/>
    <x v="17"/>
    <x v="0"/>
    <x v="1"/>
    <n v="7"/>
    <n v="4"/>
    <n v="5"/>
    <x v="0"/>
  </r>
  <r>
    <x v="0"/>
    <x v="1"/>
    <x v="0"/>
    <n v="4.4000000000000004"/>
    <x v="1"/>
    <n v="5.7"/>
    <n v="1.2999999999999998"/>
    <n v="1"/>
    <x v="121"/>
    <x v="13"/>
    <x v="0"/>
    <x v="1"/>
    <n v="4"/>
    <n v="2"/>
    <n v="2"/>
    <x v="0"/>
  </r>
  <r>
    <x v="6"/>
    <x v="1"/>
    <x v="0"/>
    <n v="2"/>
    <x v="0"/>
    <n v="8.6999999999999993"/>
    <n v="6.6999999999999993"/>
    <n v="1.9"/>
    <x v="139"/>
    <x v="9"/>
    <x v="0"/>
    <x v="2"/>
    <n v="7"/>
    <n v="7"/>
    <n v="9"/>
    <x v="0"/>
  </r>
  <r>
    <x v="2"/>
    <x v="0"/>
    <x v="0"/>
    <n v="7.2"/>
    <x v="1"/>
    <n v="8.8000000000000007"/>
    <n v="1.6000000000000005"/>
    <n v="2.5"/>
    <x v="97"/>
    <x v="13"/>
    <x v="0"/>
    <x v="0"/>
    <n v="1"/>
    <n v="3"/>
    <n v="9"/>
    <x v="0"/>
  </r>
  <r>
    <x v="1"/>
    <x v="0"/>
    <x v="1"/>
    <n v="4.4000000000000004"/>
    <x v="2"/>
    <n v="6.4"/>
    <n v="2"/>
    <n v="0.9"/>
    <x v="157"/>
    <x v="18"/>
    <x v="0"/>
    <x v="2"/>
    <n v="6"/>
    <n v="9"/>
    <n v="8"/>
    <x v="0"/>
  </r>
  <r>
    <x v="0"/>
    <x v="0"/>
    <x v="0"/>
    <n v="7.2"/>
    <x v="1"/>
    <n v="4.8"/>
    <n v="-2.4000000000000004"/>
    <n v="1.4"/>
    <x v="41"/>
    <x v="15"/>
    <x v="0"/>
    <x v="0"/>
    <n v="5"/>
    <n v="7"/>
    <n v="1"/>
    <x v="0"/>
  </r>
  <r>
    <x v="6"/>
    <x v="0"/>
    <x v="0"/>
    <n v="5.4"/>
    <x v="0"/>
    <n v="6.5"/>
    <n v="1.0999999999999996"/>
    <n v="0.8"/>
    <x v="158"/>
    <x v="11"/>
    <x v="0"/>
    <x v="2"/>
    <n v="10"/>
    <n v="3"/>
    <n v="3"/>
    <x v="0"/>
  </r>
  <r>
    <x v="5"/>
    <x v="0"/>
    <x v="0"/>
    <n v="1.5"/>
    <x v="1"/>
    <n v="4.0999999999999996"/>
    <n v="2.5999999999999996"/>
    <n v="1.3"/>
    <x v="129"/>
    <x v="9"/>
    <x v="0"/>
    <x v="1"/>
    <n v="10"/>
    <n v="6"/>
    <n v="6"/>
    <x v="0"/>
  </r>
  <r>
    <x v="3"/>
    <x v="1"/>
    <x v="0"/>
    <n v="1.8"/>
    <x v="0"/>
    <n v="8"/>
    <n v="6.2"/>
    <n v="2.8"/>
    <x v="159"/>
    <x v="4"/>
    <x v="0"/>
    <x v="0"/>
    <n v="9"/>
    <n v="8"/>
    <n v="8"/>
    <x v="0"/>
  </r>
  <r>
    <x v="2"/>
    <x v="1"/>
    <x v="0"/>
    <n v="3.7"/>
    <x v="1"/>
    <n v="5.3"/>
    <n v="1.5999999999999996"/>
    <n v="0.7"/>
    <x v="141"/>
    <x v="1"/>
    <x v="0"/>
    <x v="1"/>
    <n v="8"/>
    <n v="8"/>
    <n v="10"/>
    <x v="0"/>
  </r>
  <r>
    <x v="6"/>
    <x v="0"/>
    <x v="0"/>
    <n v="6.4"/>
    <x v="2"/>
    <n v="8.3000000000000007"/>
    <n v="1.9000000000000004"/>
    <n v="1.3"/>
    <x v="92"/>
    <x v="9"/>
    <x v="0"/>
    <x v="1"/>
    <n v="4"/>
    <n v="5"/>
    <n v="9"/>
    <x v="0"/>
  </r>
  <r>
    <x v="1"/>
    <x v="0"/>
    <x v="1"/>
    <n v="6.4"/>
    <x v="2"/>
    <n v="6.7"/>
    <n v="0.29999999999999982"/>
    <n v="2.4"/>
    <x v="150"/>
    <x v="6"/>
    <x v="0"/>
    <x v="0"/>
    <n v="5"/>
    <n v="2"/>
    <n v="2"/>
    <x v="0"/>
  </r>
  <r>
    <x v="2"/>
    <x v="1"/>
    <x v="0"/>
    <n v="1.1000000000000001"/>
    <x v="0"/>
    <n v="9"/>
    <n v="7.9"/>
    <n v="2.9"/>
    <x v="160"/>
    <x v="19"/>
    <x v="0"/>
    <x v="2"/>
    <n v="2"/>
    <n v="8"/>
    <n v="2"/>
    <x v="0"/>
  </r>
  <r>
    <x v="6"/>
    <x v="0"/>
    <x v="0"/>
    <n v="1.3"/>
    <x v="1"/>
    <n v="7.8"/>
    <n v="6.5"/>
    <n v="2.6"/>
    <x v="0"/>
    <x v="11"/>
    <x v="0"/>
    <x v="0"/>
    <n v="2"/>
    <n v="9"/>
    <n v="10"/>
    <x v="0"/>
  </r>
  <r>
    <x v="2"/>
    <x v="1"/>
    <x v="0"/>
    <n v="4.4000000000000004"/>
    <x v="0"/>
    <n v="6"/>
    <n v="1.5999999999999996"/>
    <n v="1.2"/>
    <x v="142"/>
    <x v="7"/>
    <x v="0"/>
    <x v="2"/>
    <n v="6"/>
    <n v="2"/>
    <n v="6"/>
    <x v="0"/>
  </r>
  <r>
    <x v="6"/>
    <x v="0"/>
    <x v="0"/>
    <n v="7.8"/>
    <x v="0"/>
    <n v="5"/>
    <n v="-2.8"/>
    <n v="1.8"/>
    <x v="52"/>
    <x v="0"/>
    <x v="0"/>
    <x v="2"/>
    <n v="8"/>
    <n v="10"/>
    <n v="3"/>
    <x v="1"/>
  </r>
  <r>
    <x v="0"/>
    <x v="1"/>
    <x v="0"/>
    <n v="6.9"/>
    <x v="1"/>
    <n v="6.4"/>
    <n v="-0.5"/>
    <n v="0.9"/>
    <x v="7"/>
    <x v="6"/>
    <x v="0"/>
    <x v="2"/>
    <n v="5"/>
    <n v="5"/>
    <n v="9"/>
    <x v="0"/>
  </r>
  <r>
    <x v="0"/>
    <x v="1"/>
    <x v="0"/>
    <n v="4.8"/>
    <x v="0"/>
    <n v="6.8"/>
    <n v="2"/>
    <n v="0.8"/>
    <x v="61"/>
    <x v="7"/>
    <x v="0"/>
    <x v="0"/>
    <n v="4"/>
    <n v="3"/>
    <n v="4"/>
    <x v="0"/>
  </r>
  <r>
    <x v="6"/>
    <x v="0"/>
    <x v="0"/>
    <n v="7.5"/>
    <x v="0"/>
    <n v="8.6"/>
    <n v="1.0999999999999996"/>
    <n v="1.9"/>
    <x v="122"/>
    <x v="7"/>
    <x v="0"/>
    <x v="2"/>
    <n v="7"/>
    <n v="3"/>
    <n v="10"/>
    <x v="0"/>
  </r>
  <r>
    <x v="3"/>
    <x v="1"/>
    <x v="0"/>
    <n v="6.7"/>
    <x v="0"/>
    <n v="7"/>
    <n v="0.29999999999999982"/>
    <n v="2.2000000000000002"/>
    <x v="68"/>
    <x v="5"/>
    <x v="0"/>
    <x v="1"/>
    <n v="2"/>
    <n v="7"/>
    <n v="8"/>
    <x v="0"/>
  </r>
  <r>
    <x v="0"/>
    <x v="0"/>
    <x v="0"/>
    <n v="3.8"/>
    <x v="0"/>
    <n v="4.8"/>
    <n v="1"/>
    <n v="1.9"/>
    <x v="97"/>
    <x v="18"/>
    <x v="0"/>
    <x v="1"/>
    <n v="4"/>
    <n v="6"/>
    <n v="6"/>
    <x v="0"/>
  </r>
  <r>
    <x v="3"/>
    <x v="0"/>
    <x v="0"/>
    <n v="3"/>
    <x v="0"/>
    <n v="8.6"/>
    <n v="5.6"/>
    <n v="1.5"/>
    <x v="30"/>
    <x v="1"/>
    <x v="0"/>
    <x v="2"/>
    <n v="10"/>
    <n v="10"/>
    <n v="4"/>
    <x v="0"/>
  </r>
  <r>
    <x v="2"/>
    <x v="0"/>
    <x v="0"/>
    <n v="7.8"/>
    <x v="1"/>
    <n v="7.1"/>
    <n v="-0.70000000000000018"/>
    <n v="0.8"/>
    <x v="93"/>
    <x v="3"/>
    <x v="0"/>
    <x v="2"/>
    <n v="9"/>
    <n v="4"/>
    <n v="2"/>
    <x v="0"/>
  </r>
  <r>
    <x v="0"/>
    <x v="1"/>
    <x v="0"/>
    <n v="7.8"/>
    <x v="0"/>
    <n v="4.3"/>
    <n v="-3.5"/>
    <n v="2.6"/>
    <x v="122"/>
    <x v="20"/>
    <x v="1"/>
    <x v="1"/>
    <n v="3"/>
    <n v="7"/>
    <n v="3"/>
    <x v="0"/>
  </r>
  <r>
    <x v="3"/>
    <x v="1"/>
    <x v="0"/>
    <n v="6.6"/>
    <x v="1"/>
    <n v="9"/>
    <n v="2.4000000000000004"/>
    <n v="1.5"/>
    <x v="152"/>
    <x v="0"/>
    <x v="0"/>
    <x v="0"/>
    <n v="4"/>
    <n v="2"/>
    <n v="7"/>
    <x v="0"/>
  </r>
  <r>
    <x v="6"/>
    <x v="1"/>
    <x v="0"/>
    <n v="7.3"/>
    <x v="0"/>
    <n v="6.4"/>
    <n v="-0.89999999999999947"/>
    <n v="2.2999999999999998"/>
    <x v="22"/>
    <x v="5"/>
    <x v="0"/>
    <x v="0"/>
    <n v="9"/>
    <n v="9"/>
    <n v="4"/>
    <x v="0"/>
  </r>
  <r>
    <x v="1"/>
    <x v="0"/>
    <x v="1"/>
    <n v="6.6"/>
    <x v="0"/>
    <n v="4.4000000000000004"/>
    <n v="-2.1999999999999993"/>
    <n v="1.1000000000000001"/>
    <x v="89"/>
    <x v="19"/>
    <x v="0"/>
    <x v="0"/>
    <n v="6"/>
    <n v="8"/>
    <n v="5"/>
    <x v="0"/>
  </r>
  <r>
    <x v="1"/>
    <x v="1"/>
    <x v="1"/>
    <n v="5.6"/>
    <x v="1"/>
    <n v="8.1"/>
    <n v="2.5"/>
    <n v="3"/>
    <x v="83"/>
    <x v="5"/>
    <x v="0"/>
    <x v="2"/>
    <n v="6"/>
    <n v="3"/>
    <n v="4"/>
    <x v="0"/>
  </r>
  <r>
    <x v="6"/>
    <x v="1"/>
    <x v="0"/>
    <n v="8"/>
    <x v="0"/>
    <n v="5.4"/>
    <n v="-2.5999999999999996"/>
    <n v="2.8"/>
    <x v="98"/>
    <x v="13"/>
    <x v="0"/>
    <x v="1"/>
    <n v="6"/>
    <n v="10"/>
    <n v="10"/>
    <x v="0"/>
  </r>
  <r>
    <x v="6"/>
    <x v="1"/>
    <x v="0"/>
    <n v="1.3"/>
    <x v="0"/>
    <n v="8.9"/>
    <n v="7.6000000000000005"/>
    <n v="2.6"/>
    <x v="146"/>
    <x v="9"/>
    <x v="0"/>
    <x v="1"/>
    <n v="8"/>
    <n v="5"/>
    <n v="2"/>
    <x v="0"/>
  </r>
  <r>
    <x v="3"/>
    <x v="1"/>
    <x v="0"/>
    <n v="5.9"/>
    <x v="2"/>
    <n v="6.9"/>
    <n v="1"/>
    <n v="1.4"/>
    <x v="161"/>
    <x v="0"/>
    <x v="0"/>
    <x v="2"/>
    <n v="3"/>
    <n v="9"/>
    <n v="1"/>
    <x v="0"/>
  </r>
  <r>
    <x v="0"/>
    <x v="1"/>
    <x v="0"/>
    <n v="2"/>
    <x v="0"/>
    <n v="8.8000000000000007"/>
    <n v="6.8000000000000007"/>
    <n v="0.9"/>
    <x v="117"/>
    <x v="5"/>
    <x v="0"/>
    <x v="1"/>
    <n v="10"/>
    <n v="2"/>
    <n v="3"/>
    <x v="0"/>
  </r>
  <r>
    <x v="1"/>
    <x v="1"/>
    <x v="1"/>
    <n v="1.4"/>
    <x v="0"/>
    <n v="6.6"/>
    <n v="5.1999999999999993"/>
    <n v="1.8"/>
    <x v="39"/>
    <x v="2"/>
    <x v="0"/>
    <x v="0"/>
    <n v="5"/>
    <n v="2"/>
    <n v="6"/>
    <x v="0"/>
  </r>
  <r>
    <x v="6"/>
    <x v="1"/>
    <x v="0"/>
    <n v="6.4"/>
    <x v="2"/>
    <n v="6.7"/>
    <n v="0.29999999999999982"/>
    <n v="0.8"/>
    <x v="62"/>
    <x v="13"/>
    <x v="0"/>
    <x v="1"/>
    <n v="3"/>
    <n v="3"/>
    <n v="10"/>
    <x v="0"/>
  </r>
  <r>
    <x v="3"/>
    <x v="0"/>
    <x v="0"/>
    <n v="7.6"/>
    <x v="1"/>
    <n v="7.9"/>
    <n v="0.30000000000000071"/>
    <n v="0.8"/>
    <x v="113"/>
    <x v="13"/>
    <x v="0"/>
    <x v="1"/>
    <n v="10"/>
    <n v="8"/>
    <n v="6"/>
    <x v="0"/>
  </r>
  <r>
    <x v="5"/>
    <x v="0"/>
    <x v="0"/>
    <n v="7.9"/>
    <x v="2"/>
    <n v="5.5"/>
    <n v="-2.4000000000000004"/>
    <n v="0.6"/>
    <x v="44"/>
    <x v="3"/>
    <x v="0"/>
    <x v="0"/>
    <n v="1"/>
    <n v="4"/>
    <n v="1"/>
    <x v="0"/>
  </r>
  <r>
    <x v="3"/>
    <x v="0"/>
    <x v="0"/>
    <n v="5.0999999999999996"/>
    <x v="0"/>
    <n v="4.0999999999999996"/>
    <n v="-1"/>
    <n v="2.8"/>
    <x v="147"/>
    <x v="1"/>
    <x v="0"/>
    <x v="2"/>
    <n v="9"/>
    <n v="7"/>
    <n v="3"/>
    <x v="1"/>
  </r>
  <r>
    <x v="4"/>
    <x v="0"/>
    <x v="0"/>
    <n v="6.4"/>
    <x v="1"/>
    <n v="7.4"/>
    <n v="1"/>
    <n v="1.5"/>
    <x v="162"/>
    <x v="4"/>
    <x v="0"/>
    <x v="0"/>
    <n v="9"/>
    <n v="2"/>
    <n v="5"/>
    <x v="0"/>
  </r>
  <r>
    <x v="6"/>
    <x v="1"/>
    <x v="0"/>
    <n v="7.2"/>
    <x v="2"/>
    <n v="6.7"/>
    <n v="-0.5"/>
    <n v="0.9"/>
    <x v="41"/>
    <x v="4"/>
    <x v="0"/>
    <x v="0"/>
    <n v="8"/>
    <n v="8"/>
    <n v="1"/>
    <x v="0"/>
  </r>
  <r>
    <x v="4"/>
    <x v="1"/>
    <x v="0"/>
    <n v="2.9"/>
    <x v="2"/>
    <n v="4.5999999999999996"/>
    <n v="1.6999999999999997"/>
    <n v="2.2999999999999998"/>
    <x v="99"/>
    <x v="11"/>
    <x v="0"/>
    <x v="0"/>
    <n v="6"/>
    <n v="1"/>
    <n v="9"/>
    <x v="0"/>
  </r>
  <r>
    <x v="1"/>
    <x v="0"/>
    <x v="1"/>
    <n v="1.5"/>
    <x v="0"/>
    <n v="7.3"/>
    <n v="5.8"/>
    <n v="2.7"/>
    <x v="68"/>
    <x v="7"/>
    <x v="0"/>
    <x v="0"/>
    <n v="5"/>
    <n v="7"/>
    <n v="10"/>
    <x v="0"/>
  </r>
  <r>
    <x v="0"/>
    <x v="0"/>
    <x v="0"/>
    <n v="5.4"/>
    <x v="2"/>
    <n v="8.1"/>
    <n v="2.6999999999999993"/>
    <n v="1.8"/>
    <x v="22"/>
    <x v="7"/>
    <x v="0"/>
    <x v="2"/>
    <n v="5"/>
    <n v="8"/>
    <n v="8"/>
    <x v="0"/>
  </r>
  <r>
    <x v="6"/>
    <x v="0"/>
    <x v="0"/>
    <n v="7.2"/>
    <x v="1"/>
    <n v="4.0999999999999996"/>
    <n v="-3.1000000000000005"/>
    <n v="1.3"/>
    <x v="163"/>
    <x v="17"/>
    <x v="0"/>
    <x v="2"/>
    <n v="5"/>
    <n v="5"/>
    <n v="4"/>
    <x v="0"/>
  </r>
  <r>
    <x v="3"/>
    <x v="1"/>
    <x v="0"/>
    <n v="7"/>
    <x v="0"/>
    <n v="5.9"/>
    <n v="-1.0999999999999996"/>
    <n v="1.3"/>
    <x v="115"/>
    <x v="9"/>
    <x v="0"/>
    <x v="0"/>
    <n v="10"/>
    <n v="2"/>
    <n v="6"/>
    <x v="0"/>
  </r>
  <r>
    <x v="2"/>
    <x v="1"/>
    <x v="0"/>
    <n v="7.5"/>
    <x v="1"/>
    <n v="6.7"/>
    <n v="-0.79999999999999982"/>
    <n v="1.1000000000000001"/>
    <x v="8"/>
    <x v="4"/>
    <x v="0"/>
    <x v="1"/>
    <n v="3"/>
    <n v="8"/>
    <n v="6"/>
    <x v="0"/>
  </r>
  <r>
    <x v="0"/>
    <x v="0"/>
    <x v="0"/>
    <n v="1.4"/>
    <x v="2"/>
    <n v="7"/>
    <n v="5.6"/>
    <n v="1.8"/>
    <x v="101"/>
    <x v="7"/>
    <x v="0"/>
    <x v="0"/>
    <n v="10"/>
    <n v="4"/>
    <n v="2"/>
    <x v="0"/>
  </r>
  <r>
    <x v="5"/>
    <x v="1"/>
    <x v="0"/>
    <n v="6.1"/>
    <x v="0"/>
    <n v="8.1"/>
    <n v="2"/>
    <n v="1.4"/>
    <x v="30"/>
    <x v="16"/>
    <x v="0"/>
    <x v="0"/>
    <n v="10"/>
    <n v="1"/>
    <n v="4"/>
    <x v="0"/>
  </r>
  <r>
    <x v="5"/>
    <x v="1"/>
    <x v="0"/>
    <n v="1.4"/>
    <x v="2"/>
    <n v="5.2"/>
    <n v="3.8000000000000003"/>
    <n v="1.7"/>
    <x v="53"/>
    <x v="5"/>
    <x v="0"/>
    <x v="0"/>
    <n v="10"/>
    <n v="4"/>
    <n v="3"/>
    <x v="0"/>
  </r>
  <r>
    <x v="6"/>
    <x v="0"/>
    <x v="0"/>
    <n v="5.4"/>
    <x v="0"/>
    <n v="4.0999999999999996"/>
    <n v="-1.3000000000000007"/>
    <n v="2"/>
    <x v="53"/>
    <x v="13"/>
    <x v="0"/>
    <x v="2"/>
    <n v="6"/>
    <n v="10"/>
    <n v="8"/>
    <x v="0"/>
  </r>
  <r>
    <x v="6"/>
    <x v="1"/>
    <x v="0"/>
    <n v="2.1"/>
    <x v="0"/>
    <n v="8.1999999999999993"/>
    <n v="6.1"/>
    <n v="0.9"/>
    <x v="142"/>
    <x v="12"/>
    <x v="0"/>
    <x v="1"/>
    <n v="2"/>
    <n v="7"/>
    <n v="6"/>
    <x v="0"/>
  </r>
  <r>
    <x v="0"/>
    <x v="0"/>
    <x v="0"/>
    <n v="5"/>
    <x v="2"/>
    <n v="4.3"/>
    <n v="-0.70000000000000018"/>
    <n v="1.1000000000000001"/>
    <x v="164"/>
    <x v="14"/>
    <x v="0"/>
    <x v="2"/>
    <n v="9"/>
    <n v="4"/>
    <n v="10"/>
    <x v="0"/>
  </r>
  <r>
    <x v="6"/>
    <x v="1"/>
    <x v="0"/>
    <n v="4.4000000000000004"/>
    <x v="0"/>
    <n v="4.3"/>
    <n v="-0.10000000000000053"/>
    <n v="1.9"/>
    <x v="80"/>
    <x v="7"/>
    <x v="0"/>
    <x v="2"/>
    <n v="8"/>
    <n v="4"/>
    <n v="3"/>
    <x v="0"/>
  </r>
  <r>
    <x v="6"/>
    <x v="0"/>
    <x v="0"/>
    <n v="3.4"/>
    <x v="2"/>
    <n v="8.6"/>
    <n v="5.1999999999999993"/>
    <n v="0.8"/>
    <x v="16"/>
    <x v="14"/>
    <x v="0"/>
    <x v="0"/>
    <n v="7"/>
    <n v="10"/>
    <n v="6"/>
    <x v="0"/>
  </r>
  <r>
    <x v="4"/>
    <x v="0"/>
    <x v="0"/>
    <n v="1.2"/>
    <x v="0"/>
    <n v="6.4"/>
    <n v="5.2"/>
    <n v="1.3"/>
    <x v="99"/>
    <x v="19"/>
    <x v="0"/>
    <x v="0"/>
    <n v="5"/>
    <n v="9"/>
    <n v="10"/>
    <x v="0"/>
  </r>
  <r>
    <x v="0"/>
    <x v="0"/>
    <x v="0"/>
    <n v="5.5"/>
    <x v="1"/>
    <n v="7.3"/>
    <n v="1.7999999999999998"/>
    <n v="1.4"/>
    <x v="68"/>
    <x v="9"/>
    <x v="0"/>
    <x v="1"/>
    <n v="5"/>
    <n v="7"/>
    <n v="1"/>
    <x v="0"/>
  </r>
  <r>
    <x v="3"/>
    <x v="0"/>
    <x v="0"/>
    <n v="2.2999999999999998"/>
    <x v="2"/>
    <n v="7.8"/>
    <n v="5.5"/>
    <n v="3"/>
    <x v="48"/>
    <x v="3"/>
    <x v="0"/>
    <x v="2"/>
    <n v="4"/>
    <n v="9"/>
    <n v="10"/>
    <x v="0"/>
  </r>
  <r>
    <x v="6"/>
    <x v="1"/>
    <x v="0"/>
    <n v="1.4"/>
    <x v="2"/>
    <n v="7.4"/>
    <n v="6"/>
    <n v="0.5"/>
    <x v="116"/>
    <x v="6"/>
    <x v="0"/>
    <x v="0"/>
    <n v="3"/>
    <n v="2"/>
    <n v="6"/>
    <x v="0"/>
  </r>
  <r>
    <x v="6"/>
    <x v="1"/>
    <x v="0"/>
    <n v="3"/>
    <x v="0"/>
    <n v="7"/>
    <n v="4"/>
    <n v="0.9"/>
    <x v="60"/>
    <x v="10"/>
    <x v="0"/>
    <x v="1"/>
    <n v="5"/>
    <n v="6"/>
    <n v="9"/>
    <x v="0"/>
  </r>
  <r>
    <x v="0"/>
    <x v="0"/>
    <x v="0"/>
    <n v="2.8"/>
    <x v="0"/>
    <n v="5"/>
    <n v="2.2000000000000002"/>
    <n v="2.5"/>
    <x v="2"/>
    <x v="17"/>
    <x v="0"/>
    <x v="1"/>
    <n v="1"/>
    <n v="3"/>
    <n v="4"/>
    <x v="0"/>
  </r>
  <r>
    <x v="0"/>
    <x v="0"/>
    <x v="0"/>
    <n v="7"/>
    <x v="1"/>
    <n v="6.9"/>
    <n v="-9.9999999999999645E-2"/>
    <n v="1"/>
    <x v="165"/>
    <x v="8"/>
    <x v="0"/>
    <x v="1"/>
    <n v="9"/>
    <n v="3"/>
    <n v="7"/>
    <x v="0"/>
  </r>
  <r>
    <x v="6"/>
    <x v="1"/>
    <x v="0"/>
    <n v="1.6"/>
    <x v="2"/>
    <n v="8.4"/>
    <n v="6.8000000000000007"/>
    <n v="1.4"/>
    <x v="73"/>
    <x v="15"/>
    <x v="0"/>
    <x v="2"/>
    <n v="1"/>
    <n v="6"/>
    <n v="6"/>
    <x v="0"/>
  </r>
  <r>
    <x v="3"/>
    <x v="1"/>
    <x v="0"/>
    <n v="4.2"/>
    <x v="0"/>
    <n v="8.4"/>
    <n v="4.2"/>
    <n v="1.2"/>
    <x v="68"/>
    <x v="2"/>
    <x v="0"/>
    <x v="2"/>
    <n v="3"/>
    <n v="10"/>
    <n v="2"/>
    <x v="0"/>
  </r>
  <r>
    <x v="2"/>
    <x v="0"/>
    <x v="0"/>
    <n v="4.9000000000000004"/>
    <x v="0"/>
    <n v="8.6"/>
    <n v="3.6999999999999993"/>
    <n v="3"/>
    <x v="161"/>
    <x v="9"/>
    <x v="0"/>
    <x v="0"/>
    <n v="6"/>
    <n v="6"/>
    <n v="9"/>
    <x v="0"/>
  </r>
  <r>
    <x v="0"/>
    <x v="1"/>
    <x v="0"/>
    <n v="3.6"/>
    <x v="0"/>
    <n v="4.0999999999999996"/>
    <n v="0.49999999999999956"/>
    <n v="2.9"/>
    <x v="59"/>
    <x v="12"/>
    <x v="0"/>
    <x v="2"/>
    <n v="10"/>
    <n v="6"/>
    <n v="7"/>
    <x v="0"/>
  </r>
  <r>
    <x v="1"/>
    <x v="0"/>
    <x v="1"/>
    <n v="1.8"/>
    <x v="1"/>
    <n v="6"/>
    <n v="4.2"/>
    <n v="2.2999999999999998"/>
    <x v="1"/>
    <x v="19"/>
    <x v="0"/>
    <x v="2"/>
    <n v="5"/>
    <n v="6"/>
    <n v="8"/>
    <x v="0"/>
  </r>
  <r>
    <x v="2"/>
    <x v="1"/>
    <x v="0"/>
    <n v="2.7"/>
    <x v="0"/>
    <n v="5.4"/>
    <n v="2.7"/>
    <n v="2.6"/>
    <x v="166"/>
    <x v="2"/>
    <x v="0"/>
    <x v="2"/>
    <n v="6"/>
    <n v="5"/>
    <n v="6"/>
    <x v="0"/>
  </r>
  <r>
    <x v="3"/>
    <x v="1"/>
    <x v="0"/>
    <n v="1.2"/>
    <x v="0"/>
    <n v="5.2"/>
    <n v="4"/>
    <n v="1"/>
    <x v="153"/>
    <x v="6"/>
    <x v="0"/>
    <x v="1"/>
    <n v="5"/>
    <n v="8"/>
    <n v="10"/>
    <x v="0"/>
  </r>
  <r>
    <x v="4"/>
    <x v="1"/>
    <x v="0"/>
    <n v="6.2"/>
    <x v="2"/>
    <n v="6.7"/>
    <n v="0.5"/>
    <n v="1.4"/>
    <x v="37"/>
    <x v="7"/>
    <x v="0"/>
    <x v="0"/>
    <n v="6"/>
    <n v="8"/>
    <n v="6"/>
    <x v="0"/>
  </r>
  <r>
    <x v="4"/>
    <x v="0"/>
    <x v="0"/>
    <n v="1.6"/>
    <x v="1"/>
    <n v="6.2"/>
    <n v="4.5999999999999996"/>
    <n v="1.9"/>
    <x v="167"/>
    <x v="11"/>
    <x v="0"/>
    <x v="0"/>
    <n v="8"/>
    <n v="9"/>
    <n v="9"/>
    <x v="0"/>
  </r>
  <r>
    <x v="4"/>
    <x v="1"/>
    <x v="0"/>
    <n v="5.0999999999999996"/>
    <x v="1"/>
    <n v="7.4"/>
    <n v="2.3000000000000007"/>
    <n v="1.3"/>
    <x v="12"/>
    <x v="16"/>
    <x v="0"/>
    <x v="1"/>
    <n v="1"/>
    <n v="5"/>
    <n v="5"/>
    <x v="0"/>
  </r>
  <r>
    <x v="6"/>
    <x v="1"/>
    <x v="0"/>
    <n v="5.2"/>
    <x v="1"/>
    <n v="8.1999999999999993"/>
    <n v="2.9999999999999991"/>
    <n v="2.8"/>
    <x v="168"/>
    <x v="3"/>
    <x v="0"/>
    <x v="2"/>
    <n v="1"/>
    <n v="8"/>
    <n v="1"/>
    <x v="0"/>
  </r>
  <r>
    <x v="0"/>
    <x v="0"/>
    <x v="0"/>
    <n v="4.0999999999999996"/>
    <x v="1"/>
    <n v="5.0999999999999996"/>
    <n v="1"/>
    <n v="2"/>
    <x v="80"/>
    <x v="5"/>
    <x v="0"/>
    <x v="1"/>
    <n v="2"/>
    <n v="9"/>
    <n v="1"/>
    <x v="0"/>
  </r>
  <r>
    <x v="1"/>
    <x v="1"/>
    <x v="1"/>
    <n v="5.4"/>
    <x v="1"/>
    <n v="4.4000000000000004"/>
    <n v="-1"/>
    <n v="2.2999999999999998"/>
    <x v="155"/>
    <x v="14"/>
    <x v="0"/>
    <x v="1"/>
    <n v="3"/>
    <n v="3"/>
    <n v="8"/>
    <x v="0"/>
  </r>
  <r>
    <x v="6"/>
    <x v="0"/>
    <x v="0"/>
    <n v="2.4"/>
    <x v="1"/>
    <n v="8.4"/>
    <n v="6"/>
    <n v="1.6"/>
    <x v="169"/>
    <x v="8"/>
    <x v="0"/>
    <x v="0"/>
    <n v="1"/>
    <n v="3"/>
    <n v="2"/>
    <x v="0"/>
  </r>
  <r>
    <x v="4"/>
    <x v="0"/>
    <x v="0"/>
    <n v="1.7"/>
    <x v="2"/>
    <n v="5.6"/>
    <n v="3.8999999999999995"/>
    <n v="1.4"/>
    <x v="154"/>
    <x v="19"/>
    <x v="0"/>
    <x v="1"/>
    <n v="3"/>
    <n v="3"/>
    <n v="7"/>
    <x v="0"/>
  </r>
  <r>
    <x v="4"/>
    <x v="0"/>
    <x v="0"/>
    <n v="6"/>
    <x v="2"/>
    <n v="6.1"/>
    <n v="9.9999999999999645E-2"/>
    <n v="0.9"/>
    <x v="170"/>
    <x v="11"/>
    <x v="0"/>
    <x v="2"/>
    <n v="2"/>
    <n v="10"/>
    <n v="10"/>
    <x v="0"/>
  </r>
  <r>
    <x v="2"/>
    <x v="0"/>
    <x v="0"/>
    <n v="7.2"/>
    <x v="2"/>
    <n v="6.1"/>
    <n v="-1.1000000000000005"/>
    <n v="0.8"/>
    <x v="62"/>
    <x v="18"/>
    <x v="0"/>
    <x v="0"/>
    <n v="8"/>
    <n v="3"/>
    <n v="7"/>
    <x v="0"/>
  </r>
  <r>
    <x v="4"/>
    <x v="0"/>
    <x v="0"/>
    <n v="3.5"/>
    <x v="1"/>
    <n v="6.3"/>
    <n v="2.8"/>
    <n v="2.9"/>
    <x v="124"/>
    <x v="16"/>
    <x v="0"/>
    <x v="1"/>
    <n v="1"/>
    <n v="4"/>
    <n v="2"/>
    <x v="0"/>
  </r>
  <r>
    <x v="3"/>
    <x v="1"/>
    <x v="0"/>
    <n v="3.8"/>
    <x v="0"/>
    <n v="4.4000000000000004"/>
    <n v="0.60000000000000053"/>
    <n v="1.9"/>
    <x v="7"/>
    <x v="12"/>
    <x v="0"/>
    <x v="2"/>
    <n v="4"/>
    <n v="9"/>
    <n v="7"/>
    <x v="0"/>
  </r>
  <r>
    <x v="4"/>
    <x v="1"/>
    <x v="0"/>
    <n v="4.5"/>
    <x v="2"/>
    <n v="8"/>
    <n v="3.5"/>
    <n v="1.5"/>
    <x v="133"/>
    <x v="19"/>
    <x v="0"/>
    <x v="0"/>
    <n v="4"/>
    <n v="3"/>
    <n v="9"/>
    <x v="0"/>
  </r>
  <r>
    <x v="5"/>
    <x v="1"/>
    <x v="0"/>
    <n v="7.3"/>
    <x v="2"/>
    <n v="7.2"/>
    <n v="-9.9999999999999645E-2"/>
    <n v="0.5"/>
    <x v="153"/>
    <x v="13"/>
    <x v="0"/>
    <x v="0"/>
    <n v="7"/>
    <n v="3"/>
    <n v="9"/>
    <x v="0"/>
  </r>
  <r>
    <x v="4"/>
    <x v="1"/>
    <x v="0"/>
    <n v="6.4"/>
    <x v="0"/>
    <n v="7.7"/>
    <n v="1.2999999999999998"/>
    <n v="0.5"/>
    <x v="28"/>
    <x v="9"/>
    <x v="0"/>
    <x v="0"/>
    <n v="3"/>
    <n v="1"/>
    <n v="2"/>
    <x v="0"/>
  </r>
  <r>
    <x v="5"/>
    <x v="0"/>
    <x v="0"/>
    <n v="5.3"/>
    <x v="1"/>
    <n v="8.4"/>
    <n v="3.1000000000000005"/>
    <n v="2.2000000000000002"/>
    <x v="171"/>
    <x v="4"/>
    <x v="0"/>
    <x v="1"/>
    <n v="2"/>
    <n v="8"/>
    <n v="8"/>
    <x v="0"/>
  </r>
  <r>
    <x v="6"/>
    <x v="0"/>
    <x v="0"/>
    <n v="2.4"/>
    <x v="0"/>
    <n v="7.1"/>
    <n v="4.6999999999999993"/>
    <n v="0.7"/>
    <x v="71"/>
    <x v="8"/>
    <x v="0"/>
    <x v="1"/>
    <n v="6"/>
    <n v="5"/>
    <n v="5"/>
    <x v="0"/>
  </r>
  <r>
    <x v="6"/>
    <x v="0"/>
    <x v="0"/>
    <n v="8"/>
    <x v="2"/>
    <n v="8.9"/>
    <n v="0.90000000000000036"/>
    <n v="2.2000000000000002"/>
    <x v="53"/>
    <x v="9"/>
    <x v="0"/>
    <x v="0"/>
    <n v="8"/>
    <n v="8"/>
    <n v="4"/>
    <x v="0"/>
  </r>
  <r>
    <x v="3"/>
    <x v="0"/>
    <x v="0"/>
    <n v="7.3"/>
    <x v="2"/>
    <n v="4.4000000000000004"/>
    <n v="-2.8999999999999995"/>
    <n v="2.2999999999999998"/>
    <x v="140"/>
    <x v="17"/>
    <x v="0"/>
    <x v="2"/>
    <n v="4"/>
    <n v="6"/>
    <n v="9"/>
    <x v="0"/>
  </r>
  <r>
    <x v="2"/>
    <x v="1"/>
    <x v="0"/>
    <n v="4.5"/>
    <x v="2"/>
    <n v="7.3"/>
    <n v="2.8"/>
    <n v="0.9"/>
    <x v="172"/>
    <x v="7"/>
    <x v="0"/>
    <x v="2"/>
    <n v="7"/>
    <n v="3"/>
    <n v="8"/>
    <x v="0"/>
  </r>
  <r>
    <x v="1"/>
    <x v="0"/>
    <x v="1"/>
    <n v="5"/>
    <x v="2"/>
    <n v="9"/>
    <n v="4"/>
    <n v="2.4"/>
    <x v="22"/>
    <x v="14"/>
    <x v="0"/>
    <x v="2"/>
    <n v="7"/>
    <n v="2"/>
    <n v="10"/>
    <x v="0"/>
  </r>
  <r>
    <x v="5"/>
    <x v="1"/>
    <x v="0"/>
    <n v="5.7"/>
    <x v="2"/>
    <n v="4.2"/>
    <n v="-1.5"/>
    <n v="1.4"/>
    <x v="55"/>
    <x v="15"/>
    <x v="0"/>
    <x v="1"/>
    <n v="4"/>
    <n v="3"/>
    <n v="1"/>
    <x v="0"/>
  </r>
  <r>
    <x v="4"/>
    <x v="1"/>
    <x v="0"/>
    <n v="2.9"/>
    <x v="0"/>
    <n v="8.4"/>
    <n v="5.5"/>
    <n v="2.6"/>
    <x v="79"/>
    <x v="17"/>
    <x v="0"/>
    <x v="2"/>
    <n v="4"/>
    <n v="1"/>
    <n v="3"/>
    <x v="0"/>
  </r>
  <r>
    <x v="6"/>
    <x v="0"/>
    <x v="0"/>
    <n v="7.9"/>
    <x v="0"/>
    <n v="8.8000000000000007"/>
    <n v="0.90000000000000036"/>
    <n v="2.2999999999999998"/>
    <x v="173"/>
    <x v="12"/>
    <x v="0"/>
    <x v="0"/>
    <n v="1"/>
    <n v="9"/>
    <n v="3"/>
    <x v="0"/>
  </r>
  <r>
    <x v="1"/>
    <x v="0"/>
    <x v="1"/>
    <n v="4.8"/>
    <x v="1"/>
    <n v="5"/>
    <n v="0.20000000000000018"/>
    <n v="2.6"/>
    <x v="112"/>
    <x v="16"/>
    <x v="0"/>
    <x v="0"/>
    <n v="4"/>
    <n v="6"/>
    <n v="1"/>
    <x v="0"/>
  </r>
  <r>
    <x v="6"/>
    <x v="1"/>
    <x v="0"/>
    <n v="3"/>
    <x v="2"/>
    <n v="6"/>
    <n v="3"/>
    <n v="1"/>
    <x v="5"/>
    <x v="15"/>
    <x v="0"/>
    <x v="0"/>
    <n v="5"/>
    <n v="10"/>
    <n v="9"/>
    <x v="0"/>
  </r>
  <r>
    <x v="0"/>
    <x v="1"/>
    <x v="0"/>
    <n v="4.0999999999999996"/>
    <x v="2"/>
    <n v="6.4"/>
    <n v="2.3000000000000007"/>
    <n v="2"/>
    <x v="20"/>
    <x v="0"/>
    <x v="0"/>
    <x v="2"/>
    <n v="7"/>
    <n v="7"/>
    <n v="9"/>
    <x v="0"/>
  </r>
  <r>
    <x v="1"/>
    <x v="0"/>
    <x v="1"/>
    <n v="6.9"/>
    <x v="0"/>
    <n v="5"/>
    <n v="-1.9000000000000004"/>
    <n v="1.2"/>
    <x v="55"/>
    <x v="16"/>
    <x v="0"/>
    <x v="1"/>
    <n v="3"/>
    <n v="10"/>
    <n v="8"/>
    <x v="0"/>
  </r>
  <r>
    <x v="2"/>
    <x v="1"/>
    <x v="0"/>
    <n v="3.2"/>
    <x v="0"/>
    <n v="6.2"/>
    <n v="3"/>
    <n v="2.2000000000000002"/>
    <x v="21"/>
    <x v="16"/>
    <x v="0"/>
    <x v="0"/>
    <n v="8"/>
    <n v="10"/>
    <n v="9"/>
    <x v="0"/>
  </r>
  <r>
    <x v="4"/>
    <x v="1"/>
    <x v="0"/>
    <n v="1.3"/>
    <x v="2"/>
    <n v="4.9000000000000004"/>
    <n v="3.6000000000000005"/>
    <n v="0.9"/>
    <x v="174"/>
    <x v="2"/>
    <x v="0"/>
    <x v="2"/>
    <n v="4"/>
    <n v="9"/>
    <n v="8"/>
    <x v="0"/>
  </r>
  <r>
    <x v="3"/>
    <x v="1"/>
    <x v="0"/>
    <n v="4.2"/>
    <x v="1"/>
    <n v="6.8"/>
    <n v="2.5999999999999996"/>
    <n v="1.1000000000000001"/>
    <x v="175"/>
    <x v="5"/>
    <x v="0"/>
    <x v="1"/>
    <n v="3"/>
    <n v="6"/>
    <n v="8"/>
    <x v="0"/>
  </r>
  <r>
    <x v="1"/>
    <x v="0"/>
    <x v="1"/>
    <n v="6.6"/>
    <x v="2"/>
    <n v="6"/>
    <n v="-0.59999999999999964"/>
    <n v="2.1"/>
    <x v="33"/>
    <x v="0"/>
    <x v="0"/>
    <x v="0"/>
    <n v="9"/>
    <n v="4"/>
    <n v="5"/>
    <x v="0"/>
  </r>
  <r>
    <x v="6"/>
    <x v="0"/>
    <x v="0"/>
    <n v="7.5"/>
    <x v="1"/>
    <n v="4.8"/>
    <n v="-2.7"/>
    <n v="0.7"/>
    <x v="115"/>
    <x v="20"/>
    <x v="1"/>
    <x v="1"/>
    <n v="10"/>
    <n v="9"/>
    <n v="1"/>
    <x v="1"/>
  </r>
  <r>
    <x v="3"/>
    <x v="0"/>
    <x v="0"/>
    <n v="7"/>
    <x v="2"/>
    <n v="8.6999999999999993"/>
    <n v="1.6999999999999993"/>
    <n v="3"/>
    <x v="33"/>
    <x v="3"/>
    <x v="0"/>
    <x v="2"/>
    <n v="5"/>
    <n v="3"/>
    <n v="2"/>
    <x v="0"/>
  </r>
  <r>
    <x v="3"/>
    <x v="1"/>
    <x v="0"/>
    <n v="6.7"/>
    <x v="2"/>
    <n v="5"/>
    <n v="-1.7000000000000002"/>
    <n v="0.6"/>
    <x v="83"/>
    <x v="0"/>
    <x v="0"/>
    <x v="2"/>
    <n v="7"/>
    <n v="4"/>
    <n v="8"/>
    <x v="0"/>
  </r>
  <r>
    <x v="3"/>
    <x v="1"/>
    <x v="0"/>
    <n v="2.2999999999999998"/>
    <x v="0"/>
    <n v="5.6"/>
    <n v="3.3"/>
    <n v="2.9"/>
    <x v="157"/>
    <x v="19"/>
    <x v="0"/>
    <x v="1"/>
    <n v="6"/>
    <n v="6"/>
    <n v="2"/>
    <x v="0"/>
  </r>
  <r>
    <x v="0"/>
    <x v="0"/>
    <x v="0"/>
    <n v="5.3"/>
    <x v="2"/>
    <n v="9"/>
    <n v="3.7"/>
    <n v="2.8"/>
    <x v="98"/>
    <x v="16"/>
    <x v="0"/>
    <x v="1"/>
    <n v="10"/>
    <n v="7"/>
    <n v="6"/>
    <x v="0"/>
  </r>
  <r>
    <x v="6"/>
    <x v="1"/>
    <x v="0"/>
    <n v="2.7"/>
    <x v="1"/>
    <n v="6.5"/>
    <n v="3.8"/>
    <n v="1.5"/>
    <x v="137"/>
    <x v="14"/>
    <x v="0"/>
    <x v="1"/>
    <n v="1"/>
    <n v="1"/>
    <n v="6"/>
    <x v="0"/>
  </r>
  <r>
    <x v="6"/>
    <x v="0"/>
    <x v="0"/>
    <n v="5.4"/>
    <x v="0"/>
    <n v="7.8"/>
    <n v="2.3999999999999995"/>
    <n v="1.8"/>
    <x v="176"/>
    <x v="19"/>
    <x v="0"/>
    <x v="1"/>
    <n v="4"/>
    <n v="7"/>
    <n v="7"/>
    <x v="0"/>
  </r>
  <r>
    <x v="2"/>
    <x v="0"/>
    <x v="0"/>
    <n v="7.2"/>
    <x v="0"/>
    <n v="8"/>
    <n v="0.79999999999999982"/>
    <n v="1.9"/>
    <x v="130"/>
    <x v="3"/>
    <x v="0"/>
    <x v="2"/>
    <n v="5"/>
    <n v="8"/>
    <n v="6"/>
    <x v="0"/>
  </r>
  <r>
    <x v="1"/>
    <x v="0"/>
    <x v="1"/>
    <n v="1.5"/>
    <x v="1"/>
    <n v="6.8"/>
    <n v="5.3"/>
    <n v="2.5"/>
    <x v="145"/>
    <x v="18"/>
    <x v="0"/>
    <x v="2"/>
    <n v="9"/>
    <n v="8"/>
    <n v="10"/>
    <x v="0"/>
  </r>
  <r>
    <x v="6"/>
    <x v="0"/>
    <x v="0"/>
    <n v="4"/>
    <x v="2"/>
    <n v="4.2"/>
    <n v="0.20000000000000018"/>
    <n v="0.5"/>
    <x v="132"/>
    <x v="4"/>
    <x v="0"/>
    <x v="0"/>
    <n v="2"/>
    <n v="9"/>
    <n v="9"/>
    <x v="0"/>
  </r>
  <r>
    <x v="3"/>
    <x v="1"/>
    <x v="0"/>
    <n v="4.2"/>
    <x v="2"/>
    <n v="7.1"/>
    <n v="2.8999999999999995"/>
    <n v="2.1"/>
    <x v="92"/>
    <x v="17"/>
    <x v="0"/>
    <x v="2"/>
    <n v="4"/>
    <n v="1"/>
    <n v="3"/>
    <x v="0"/>
  </r>
  <r>
    <x v="1"/>
    <x v="0"/>
    <x v="1"/>
    <n v="1.8"/>
    <x v="1"/>
    <n v="7.7"/>
    <n v="5.9"/>
    <n v="2.2000000000000002"/>
    <x v="8"/>
    <x v="11"/>
    <x v="0"/>
    <x v="2"/>
    <n v="4"/>
    <n v="6"/>
    <n v="7"/>
    <x v="0"/>
  </r>
  <r>
    <x v="2"/>
    <x v="1"/>
    <x v="0"/>
    <n v="3.3"/>
    <x v="0"/>
    <n v="8.6"/>
    <n v="5.3"/>
    <n v="1.1000000000000001"/>
    <x v="104"/>
    <x v="14"/>
    <x v="0"/>
    <x v="0"/>
    <n v="4"/>
    <n v="7"/>
    <n v="9"/>
    <x v="0"/>
  </r>
  <r>
    <x v="0"/>
    <x v="1"/>
    <x v="0"/>
    <n v="1"/>
    <x v="2"/>
    <n v="6.6"/>
    <n v="5.6"/>
    <n v="1.4"/>
    <x v="10"/>
    <x v="13"/>
    <x v="0"/>
    <x v="0"/>
    <n v="6"/>
    <n v="5"/>
    <n v="5"/>
    <x v="0"/>
  </r>
  <r>
    <x v="6"/>
    <x v="1"/>
    <x v="0"/>
    <n v="1.2"/>
    <x v="1"/>
    <n v="8"/>
    <n v="6.8"/>
    <n v="2.8"/>
    <x v="177"/>
    <x v="8"/>
    <x v="0"/>
    <x v="1"/>
    <n v="5"/>
    <n v="8"/>
    <n v="5"/>
    <x v="0"/>
  </r>
  <r>
    <x v="1"/>
    <x v="0"/>
    <x v="1"/>
    <n v="2"/>
    <x v="0"/>
    <n v="4.0999999999999996"/>
    <n v="2.0999999999999996"/>
    <n v="1.3"/>
    <x v="65"/>
    <x v="16"/>
    <x v="0"/>
    <x v="0"/>
    <n v="7"/>
    <n v="7"/>
    <n v="8"/>
    <x v="0"/>
  </r>
  <r>
    <x v="6"/>
    <x v="1"/>
    <x v="0"/>
    <n v="7.1"/>
    <x v="2"/>
    <n v="6.5"/>
    <n v="-0.59999999999999964"/>
    <n v="1.6"/>
    <x v="50"/>
    <x v="11"/>
    <x v="0"/>
    <x v="2"/>
    <n v="1"/>
    <n v="10"/>
    <n v="6"/>
    <x v="0"/>
  </r>
  <r>
    <x v="3"/>
    <x v="1"/>
    <x v="0"/>
    <n v="5.5"/>
    <x v="1"/>
    <n v="7.8"/>
    <n v="2.2999999999999998"/>
    <n v="1.5"/>
    <x v="93"/>
    <x v="5"/>
    <x v="0"/>
    <x v="1"/>
    <n v="9"/>
    <n v="10"/>
    <n v="7"/>
    <x v="0"/>
  </r>
  <r>
    <x v="2"/>
    <x v="0"/>
    <x v="0"/>
    <n v="7.7"/>
    <x v="1"/>
    <n v="4.7"/>
    <n v="-3"/>
    <n v="2.8"/>
    <x v="12"/>
    <x v="0"/>
    <x v="0"/>
    <x v="0"/>
    <n v="8"/>
    <n v="4"/>
    <n v="8"/>
    <x v="0"/>
  </r>
  <r>
    <x v="2"/>
    <x v="1"/>
    <x v="0"/>
    <n v="7.6"/>
    <x v="0"/>
    <n v="5.9"/>
    <n v="-1.6999999999999993"/>
    <n v="2"/>
    <x v="120"/>
    <x v="0"/>
    <x v="0"/>
    <x v="2"/>
    <n v="1"/>
    <n v="5"/>
    <n v="1"/>
    <x v="0"/>
  </r>
  <r>
    <x v="6"/>
    <x v="0"/>
    <x v="0"/>
    <n v="8"/>
    <x v="0"/>
    <n v="6.9"/>
    <n v="-1.0999999999999996"/>
    <n v="2.5"/>
    <x v="58"/>
    <x v="10"/>
    <x v="0"/>
    <x v="2"/>
    <n v="10"/>
    <n v="1"/>
    <n v="3"/>
    <x v="0"/>
  </r>
  <r>
    <x v="5"/>
    <x v="1"/>
    <x v="0"/>
    <n v="4.3"/>
    <x v="0"/>
    <n v="6"/>
    <n v="1.7000000000000002"/>
    <n v="1.4"/>
    <x v="88"/>
    <x v="10"/>
    <x v="0"/>
    <x v="0"/>
    <n v="8"/>
    <n v="7"/>
    <n v="4"/>
    <x v="0"/>
  </r>
  <r>
    <x v="6"/>
    <x v="0"/>
    <x v="0"/>
    <n v="3.8"/>
    <x v="2"/>
    <n v="5.3"/>
    <n v="1.5"/>
    <n v="2.5"/>
    <x v="3"/>
    <x v="19"/>
    <x v="0"/>
    <x v="0"/>
    <n v="6"/>
    <n v="7"/>
    <n v="7"/>
    <x v="0"/>
  </r>
  <r>
    <x v="5"/>
    <x v="1"/>
    <x v="0"/>
    <n v="2.9"/>
    <x v="1"/>
    <n v="6.3"/>
    <n v="3.4"/>
    <n v="3"/>
    <x v="134"/>
    <x v="14"/>
    <x v="0"/>
    <x v="2"/>
    <n v="9"/>
    <n v="7"/>
    <n v="3"/>
    <x v="0"/>
  </r>
  <r>
    <x v="6"/>
    <x v="1"/>
    <x v="0"/>
    <n v="5.3"/>
    <x v="1"/>
    <n v="6.5"/>
    <n v="1.2000000000000002"/>
    <n v="1.1000000000000001"/>
    <x v="3"/>
    <x v="17"/>
    <x v="0"/>
    <x v="0"/>
    <n v="9"/>
    <n v="5"/>
    <n v="4"/>
    <x v="0"/>
  </r>
  <r>
    <x v="3"/>
    <x v="1"/>
    <x v="0"/>
    <n v="5.7"/>
    <x v="0"/>
    <n v="7.5"/>
    <n v="1.7999999999999998"/>
    <n v="2.4"/>
    <x v="33"/>
    <x v="6"/>
    <x v="0"/>
    <x v="2"/>
    <n v="10"/>
    <n v="10"/>
    <n v="2"/>
    <x v="0"/>
  </r>
  <r>
    <x v="4"/>
    <x v="1"/>
    <x v="0"/>
    <n v="2.8"/>
    <x v="0"/>
    <n v="7.4"/>
    <n v="4.6000000000000005"/>
    <n v="1"/>
    <x v="178"/>
    <x v="13"/>
    <x v="0"/>
    <x v="0"/>
    <n v="7"/>
    <n v="3"/>
    <n v="6"/>
    <x v="0"/>
  </r>
  <r>
    <x v="3"/>
    <x v="0"/>
    <x v="0"/>
    <n v="2.8"/>
    <x v="1"/>
    <n v="6.1"/>
    <n v="3.3"/>
    <n v="2.9"/>
    <x v="88"/>
    <x v="17"/>
    <x v="0"/>
    <x v="2"/>
    <n v="6"/>
    <n v="3"/>
    <n v="7"/>
    <x v="0"/>
  </r>
  <r>
    <x v="6"/>
    <x v="1"/>
    <x v="0"/>
    <n v="1.1000000000000001"/>
    <x v="0"/>
    <n v="7"/>
    <n v="5.9"/>
    <n v="1.9"/>
    <x v="94"/>
    <x v="7"/>
    <x v="0"/>
    <x v="2"/>
    <n v="2"/>
    <n v="9"/>
    <n v="6"/>
    <x v="0"/>
  </r>
  <r>
    <x v="0"/>
    <x v="1"/>
    <x v="0"/>
    <n v="2"/>
    <x v="2"/>
    <n v="5"/>
    <n v="3"/>
    <n v="2.6"/>
    <x v="127"/>
    <x v="20"/>
    <x v="1"/>
    <x v="0"/>
    <n v="5"/>
    <n v="4"/>
    <n v="3"/>
    <x v="0"/>
  </r>
  <r>
    <x v="5"/>
    <x v="1"/>
    <x v="0"/>
    <n v="6.5"/>
    <x v="1"/>
    <n v="5.3"/>
    <n v="-1.2000000000000002"/>
    <n v="1.8"/>
    <x v="89"/>
    <x v="18"/>
    <x v="0"/>
    <x v="1"/>
    <n v="4"/>
    <n v="10"/>
    <n v="2"/>
    <x v="0"/>
  </r>
  <r>
    <x v="5"/>
    <x v="1"/>
    <x v="0"/>
    <n v="7.5"/>
    <x v="1"/>
    <n v="7.8"/>
    <n v="0.29999999999999982"/>
    <n v="1.3"/>
    <x v="60"/>
    <x v="0"/>
    <x v="0"/>
    <x v="2"/>
    <n v="4"/>
    <n v="5"/>
    <n v="8"/>
    <x v="0"/>
  </r>
  <r>
    <x v="5"/>
    <x v="1"/>
    <x v="0"/>
    <n v="3.1"/>
    <x v="0"/>
    <n v="7.9"/>
    <n v="4.8000000000000007"/>
    <n v="1.2"/>
    <x v="154"/>
    <x v="5"/>
    <x v="0"/>
    <x v="1"/>
    <n v="2"/>
    <n v="2"/>
    <n v="5"/>
    <x v="0"/>
  </r>
  <r>
    <x v="1"/>
    <x v="0"/>
    <x v="1"/>
    <n v="5.9"/>
    <x v="2"/>
    <n v="7"/>
    <n v="1.0999999999999996"/>
    <n v="2.2999999999999998"/>
    <x v="61"/>
    <x v="16"/>
    <x v="0"/>
    <x v="0"/>
    <n v="3"/>
    <n v="5"/>
    <n v="10"/>
    <x v="0"/>
  </r>
  <r>
    <x v="3"/>
    <x v="0"/>
    <x v="0"/>
    <n v="7.9"/>
    <x v="1"/>
    <n v="4.0999999999999996"/>
    <n v="-3.8000000000000007"/>
    <n v="0.7"/>
    <x v="179"/>
    <x v="9"/>
    <x v="0"/>
    <x v="2"/>
    <n v="3"/>
    <n v="8"/>
    <n v="1"/>
    <x v="0"/>
  </r>
  <r>
    <x v="3"/>
    <x v="0"/>
    <x v="0"/>
    <n v="5.0999999999999996"/>
    <x v="0"/>
    <n v="7.4"/>
    <n v="2.3000000000000007"/>
    <n v="0.7"/>
    <x v="24"/>
    <x v="18"/>
    <x v="0"/>
    <x v="2"/>
    <n v="5"/>
    <n v="8"/>
    <n v="1"/>
    <x v="0"/>
  </r>
  <r>
    <x v="5"/>
    <x v="0"/>
    <x v="0"/>
    <n v="1.9"/>
    <x v="2"/>
    <n v="5.8"/>
    <n v="3.9"/>
    <n v="2.1"/>
    <x v="42"/>
    <x v="4"/>
    <x v="0"/>
    <x v="2"/>
    <n v="3"/>
    <n v="3"/>
    <n v="2"/>
    <x v="0"/>
  </r>
  <r>
    <x v="2"/>
    <x v="0"/>
    <x v="0"/>
    <n v="8"/>
    <x v="0"/>
    <n v="8.6999999999999993"/>
    <n v="0.69999999999999929"/>
    <n v="1.5"/>
    <x v="76"/>
    <x v="20"/>
    <x v="1"/>
    <x v="1"/>
    <n v="10"/>
    <n v="9"/>
    <n v="5"/>
    <x v="0"/>
  </r>
  <r>
    <x v="1"/>
    <x v="0"/>
    <x v="1"/>
    <n v="2.9"/>
    <x v="2"/>
    <n v="4"/>
    <n v="1.1000000000000001"/>
    <n v="0.5"/>
    <x v="9"/>
    <x v="18"/>
    <x v="0"/>
    <x v="1"/>
    <n v="7"/>
    <n v="6"/>
    <n v="3"/>
    <x v="0"/>
  </r>
  <r>
    <x v="0"/>
    <x v="0"/>
    <x v="0"/>
    <n v="4.3"/>
    <x v="0"/>
    <n v="8.4"/>
    <n v="4.1000000000000005"/>
    <n v="0.9"/>
    <x v="121"/>
    <x v="16"/>
    <x v="0"/>
    <x v="1"/>
    <n v="10"/>
    <n v="10"/>
    <n v="1"/>
    <x v="0"/>
  </r>
  <r>
    <x v="5"/>
    <x v="0"/>
    <x v="0"/>
    <n v="1.1000000000000001"/>
    <x v="0"/>
    <n v="6.4"/>
    <n v="5.3000000000000007"/>
    <n v="3"/>
    <x v="110"/>
    <x v="15"/>
    <x v="0"/>
    <x v="2"/>
    <n v="8"/>
    <n v="6"/>
    <n v="9"/>
    <x v="0"/>
  </r>
  <r>
    <x v="5"/>
    <x v="0"/>
    <x v="0"/>
    <n v="4.9000000000000004"/>
    <x v="0"/>
    <n v="5.7"/>
    <n v="0.79999999999999982"/>
    <n v="1.2"/>
    <x v="166"/>
    <x v="15"/>
    <x v="0"/>
    <x v="2"/>
    <n v="8"/>
    <n v="2"/>
    <n v="1"/>
    <x v="0"/>
  </r>
  <r>
    <x v="0"/>
    <x v="0"/>
    <x v="0"/>
    <n v="6.1"/>
    <x v="2"/>
    <n v="7.6"/>
    <n v="1.5"/>
    <n v="1.4"/>
    <x v="157"/>
    <x v="7"/>
    <x v="0"/>
    <x v="0"/>
    <n v="9"/>
    <n v="3"/>
    <n v="3"/>
    <x v="0"/>
  </r>
  <r>
    <x v="3"/>
    <x v="1"/>
    <x v="0"/>
    <n v="2.7"/>
    <x v="2"/>
    <n v="6.5"/>
    <n v="3.8"/>
    <n v="1.6"/>
    <x v="111"/>
    <x v="14"/>
    <x v="0"/>
    <x v="1"/>
    <n v="6"/>
    <n v="6"/>
    <n v="6"/>
    <x v="0"/>
  </r>
  <r>
    <x v="5"/>
    <x v="1"/>
    <x v="0"/>
    <n v="7.8"/>
    <x v="2"/>
    <n v="7.4"/>
    <n v="-0.39999999999999947"/>
    <n v="0.7"/>
    <x v="144"/>
    <x v="9"/>
    <x v="0"/>
    <x v="2"/>
    <n v="10"/>
    <n v="4"/>
    <n v="9"/>
    <x v="0"/>
  </r>
  <r>
    <x v="4"/>
    <x v="0"/>
    <x v="0"/>
    <n v="4.2"/>
    <x v="1"/>
    <n v="6.5"/>
    <n v="2.2999999999999998"/>
    <n v="1.4"/>
    <x v="115"/>
    <x v="0"/>
    <x v="0"/>
    <x v="0"/>
    <n v="5"/>
    <n v="6"/>
    <n v="4"/>
    <x v="0"/>
  </r>
  <r>
    <x v="6"/>
    <x v="1"/>
    <x v="0"/>
    <n v="4.4000000000000004"/>
    <x v="0"/>
    <n v="5.5"/>
    <n v="1.0999999999999996"/>
    <n v="2.7"/>
    <x v="158"/>
    <x v="11"/>
    <x v="0"/>
    <x v="0"/>
    <n v="5"/>
    <n v="1"/>
    <n v="5"/>
    <x v="0"/>
  </r>
  <r>
    <x v="6"/>
    <x v="1"/>
    <x v="0"/>
    <n v="1.4"/>
    <x v="2"/>
    <n v="7.8"/>
    <n v="6.4"/>
    <n v="0.6"/>
    <x v="37"/>
    <x v="16"/>
    <x v="0"/>
    <x v="2"/>
    <n v="10"/>
    <n v="4"/>
    <n v="6"/>
    <x v="0"/>
  </r>
  <r>
    <x v="2"/>
    <x v="0"/>
    <x v="0"/>
    <n v="3.7"/>
    <x v="1"/>
    <n v="7.2"/>
    <n v="3.5"/>
    <n v="0.6"/>
    <x v="155"/>
    <x v="17"/>
    <x v="0"/>
    <x v="1"/>
    <n v="2"/>
    <n v="6"/>
    <n v="2"/>
    <x v="0"/>
  </r>
  <r>
    <x v="0"/>
    <x v="0"/>
    <x v="0"/>
    <n v="3.8"/>
    <x v="0"/>
    <n v="8.9"/>
    <n v="5.1000000000000005"/>
    <n v="1.9"/>
    <x v="74"/>
    <x v="18"/>
    <x v="0"/>
    <x v="2"/>
    <n v="6"/>
    <n v="2"/>
    <n v="2"/>
    <x v="0"/>
  </r>
  <r>
    <x v="3"/>
    <x v="1"/>
    <x v="0"/>
    <n v="5.4"/>
    <x v="1"/>
    <n v="7"/>
    <n v="1.5999999999999996"/>
    <n v="1.8"/>
    <x v="144"/>
    <x v="15"/>
    <x v="0"/>
    <x v="0"/>
    <n v="1"/>
    <n v="4"/>
    <n v="4"/>
    <x v="0"/>
  </r>
  <r>
    <x v="2"/>
    <x v="0"/>
    <x v="0"/>
    <n v="4"/>
    <x v="2"/>
    <n v="4.3"/>
    <n v="0.29999999999999982"/>
    <n v="1.8"/>
    <x v="96"/>
    <x v="7"/>
    <x v="0"/>
    <x v="1"/>
    <n v="8"/>
    <n v="8"/>
    <n v="3"/>
    <x v="0"/>
  </r>
  <r>
    <x v="1"/>
    <x v="0"/>
    <x v="1"/>
    <n v="3.5"/>
    <x v="1"/>
    <n v="5.8"/>
    <n v="2.2999999999999998"/>
    <n v="1.8"/>
    <x v="46"/>
    <x v="7"/>
    <x v="0"/>
    <x v="0"/>
    <n v="7"/>
    <n v="6"/>
    <n v="9"/>
    <x v="0"/>
  </r>
  <r>
    <x v="2"/>
    <x v="0"/>
    <x v="0"/>
    <n v="1.3"/>
    <x v="2"/>
    <n v="8.3000000000000007"/>
    <n v="7.0000000000000009"/>
    <n v="1"/>
    <x v="180"/>
    <x v="9"/>
    <x v="0"/>
    <x v="2"/>
    <n v="4"/>
    <n v="1"/>
    <n v="1"/>
    <x v="0"/>
  </r>
  <r>
    <x v="0"/>
    <x v="0"/>
    <x v="0"/>
    <n v="5.6"/>
    <x v="0"/>
    <n v="8.8000000000000007"/>
    <n v="3.2000000000000011"/>
    <n v="0.9"/>
    <x v="99"/>
    <x v="20"/>
    <x v="1"/>
    <x v="0"/>
    <n v="8"/>
    <n v="10"/>
    <n v="3"/>
    <x v="0"/>
  </r>
  <r>
    <x v="6"/>
    <x v="1"/>
    <x v="0"/>
    <n v="2.4"/>
    <x v="0"/>
    <n v="5.5"/>
    <n v="3.1"/>
    <n v="0.6"/>
    <x v="85"/>
    <x v="16"/>
    <x v="0"/>
    <x v="2"/>
    <n v="4"/>
    <n v="8"/>
    <n v="7"/>
    <x v="0"/>
  </r>
  <r>
    <x v="5"/>
    <x v="0"/>
    <x v="0"/>
    <n v="2"/>
    <x v="2"/>
    <n v="7.8"/>
    <n v="5.8"/>
    <n v="2.8"/>
    <x v="128"/>
    <x v="4"/>
    <x v="0"/>
    <x v="2"/>
    <n v="2"/>
    <n v="6"/>
    <n v="8"/>
    <x v="0"/>
  </r>
  <r>
    <x v="3"/>
    <x v="0"/>
    <x v="0"/>
    <n v="6.6"/>
    <x v="0"/>
    <n v="8.6"/>
    <n v="2"/>
    <n v="1.5"/>
    <x v="5"/>
    <x v="8"/>
    <x v="0"/>
    <x v="0"/>
    <n v="1"/>
    <n v="9"/>
    <n v="9"/>
    <x v="0"/>
  </r>
  <r>
    <x v="2"/>
    <x v="1"/>
    <x v="0"/>
    <n v="2.2999999999999998"/>
    <x v="1"/>
    <n v="6.4"/>
    <n v="4.1000000000000005"/>
    <n v="2.4"/>
    <x v="117"/>
    <x v="4"/>
    <x v="0"/>
    <x v="2"/>
    <n v="2"/>
    <n v="1"/>
    <n v="1"/>
    <x v="0"/>
  </r>
  <r>
    <x v="5"/>
    <x v="0"/>
    <x v="0"/>
    <n v="6.4"/>
    <x v="1"/>
    <n v="5.4"/>
    <n v="-1"/>
    <n v="1.4"/>
    <x v="156"/>
    <x v="13"/>
    <x v="0"/>
    <x v="2"/>
    <n v="4"/>
    <n v="9"/>
    <n v="5"/>
    <x v="0"/>
  </r>
  <r>
    <x v="4"/>
    <x v="1"/>
    <x v="0"/>
    <n v="3.5"/>
    <x v="2"/>
    <n v="5.9"/>
    <n v="2.4000000000000004"/>
    <n v="1.3"/>
    <x v="119"/>
    <x v="20"/>
    <x v="1"/>
    <x v="2"/>
    <n v="7"/>
    <n v="4"/>
    <n v="10"/>
    <x v="0"/>
  </r>
  <r>
    <x v="4"/>
    <x v="1"/>
    <x v="0"/>
    <n v="1.7"/>
    <x v="0"/>
    <n v="8.5"/>
    <n v="6.8"/>
    <n v="1"/>
    <x v="81"/>
    <x v="6"/>
    <x v="0"/>
    <x v="2"/>
    <n v="1"/>
    <n v="1"/>
    <n v="7"/>
    <x v="0"/>
  </r>
  <r>
    <x v="0"/>
    <x v="0"/>
    <x v="0"/>
    <n v="4.0999999999999996"/>
    <x v="0"/>
    <n v="8.1999999999999993"/>
    <n v="4.0999999999999996"/>
    <n v="1.7"/>
    <x v="116"/>
    <x v="3"/>
    <x v="0"/>
    <x v="1"/>
    <n v="9"/>
    <n v="2"/>
    <n v="4"/>
    <x v="0"/>
  </r>
  <r>
    <x v="0"/>
    <x v="0"/>
    <x v="0"/>
    <n v="3.3"/>
    <x v="0"/>
    <n v="6.5"/>
    <n v="3.2"/>
    <n v="0.8"/>
    <x v="144"/>
    <x v="1"/>
    <x v="0"/>
    <x v="0"/>
    <n v="1"/>
    <n v="2"/>
    <n v="3"/>
    <x v="0"/>
  </r>
  <r>
    <x v="0"/>
    <x v="1"/>
    <x v="0"/>
    <n v="5"/>
    <x v="1"/>
    <n v="4.9000000000000004"/>
    <n v="-9.9999999999999645E-2"/>
    <n v="2.6"/>
    <x v="53"/>
    <x v="13"/>
    <x v="0"/>
    <x v="2"/>
    <n v="3"/>
    <n v="10"/>
    <n v="10"/>
    <x v="0"/>
  </r>
  <r>
    <x v="1"/>
    <x v="1"/>
    <x v="1"/>
    <n v="1.5"/>
    <x v="0"/>
    <n v="8.4"/>
    <n v="6.9"/>
    <n v="3"/>
    <x v="132"/>
    <x v="0"/>
    <x v="0"/>
    <x v="1"/>
    <n v="1"/>
    <n v="7"/>
    <n v="6"/>
    <x v="0"/>
  </r>
  <r>
    <x v="2"/>
    <x v="1"/>
    <x v="0"/>
    <n v="3.3"/>
    <x v="1"/>
    <n v="8.4"/>
    <n v="5.1000000000000005"/>
    <n v="2.1"/>
    <x v="72"/>
    <x v="18"/>
    <x v="0"/>
    <x v="1"/>
    <n v="1"/>
    <n v="3"/>
    <n v="10"/>
    <x v="0"/>
  </r>
  <r>
    <x v="6"/>
    <x v="0"/>
    <x v="0"/>
    <n v="6.4"/>
    <x v="2"/>
    <n v="4.0999999999999996"/>
    <n v="-2.3000000000000007"/>
    <n v="1.3"/>
    <x v="74"/>
    <x v="6"/>
    <x v="0"/>
    <x v="0"/>
    <n v="10"/>
    <n v="6"/>
    <n v="1"/>
    <x v="0"/>
  </r>
  <r>
    <x v="2"/>
    <x v="1"/>
    <x v="0"/>
    <n v="8"/>
    <x v="0"/>
    <n v="8.1"/>
    <n v="9.9999999999999645E-2"/>
    <n v="1.2"/>
    <x v="145"/>
    <x v="19"/>
    <x v="0"/>
    <x v="0"/>
    <n v="1"/>
    <n v="8"/>
    <n v="7"/>
    <x v="0"/>
  </r>
  <r>
    <x v="5"/>
    <x v="1"/>
    <x v="0"/>
    <n v="1"/>
    <x v="2"/>
    <n v="4.0999999999999996"/>
    <n v="3.0999999999999996"/>
    <n v="1.3"/>
    <x v="40"/>
    <x v="14"/>
    <x v="0"/>
    <x v="0"/>
    <n v="2"/>
    <n v="1"/>
    <n v="8"/>
    <x v="0"/>
  </r>
  <r>
    <x v="4"/>
    <x v="1"/>
    <x v="0"/>
    <n v="4.2"/>
    <x v="0"/>
    <n v="5.4"/>
    <n v="1.2000000000000002"/>
    <n v="1.1000000000000001"/>
    <x v="29"/>
    <x v="11"/>
    <x v="0"/>
    <x v="0"/>
    <n v="4"/>
    <n v="9"/>
    <n v="1"/>
    <x v="0"/>
  </r>
  <r>
    <x v="4"/>
    <x v="1"/>
    <x v="0"/>
    <n v="4.5999999999999996"/>
    <x v="1"/>
    <n v="7.3"/>
    <n v="2.7"/>
    <n v="2.8"/>
    <x v="1"/>
    <x v="4"/>
    <x v="0"/>
    <x v="1"/>
    <n v="1"/>
    <n v="3"/>
    <n v="6"/>
    <x v="0"/>
  </r>
  <r>
    <x v="2"/>
    <x v="1"/>
    <x v="0"/>
    <n v="2.8"/>
    <x v="2"/>
    <n v="6.2"/>
    <n v="3.4000000000000004"/>
    <n v="2.4"/>
    <x v="137"/>
    <x v="14"/>
    <x v="0"/>
    <x v="1"/>
    <n v="4"/>
    <n v="10"/>
    <n v="9"/>
    <x v="0"/>
  </r>
  <r>
    <x v="5"/>
    <x v="1"/>
    <x v="0"/>
    <n v="6.3"/>
    <x v="0"/>
    <n v="6.9"/>
    <n v="0.60000000000000053"/>
    <n v="1.3"/>
    <x v="23"/>
    <x v="3"/>
    <x v="0"/>
    <x v="0"/>
    <n v="9"/>
    <n v="2"/>
    <n v="10"/>
    <x v="0"/>
  </r>
  <r>
    <x v="2"/>
    <x v="1"/>
    <x v="0"/>
    <n v="7.2"/>
    <x v="1"/>
    <n v="7"/>
    <n v="-0.20000000000000018"/>
    <n v="1.3"/>
    <x v="174"/>
    <x v="7"/>
    <x v="0"/>
    <x v="0"/>
    <n v="7"/>
    <n v="8"/>
    <n v="4"/>
    <x v="0"/>
  </r>
  <r>
    <x v="6"/>
    <x v="0"/>
    <x v="0"/>
    <n v="4.5"/>
    <x v="2"/>
    <n v="6.7"/>
    <n v="2.2000000000000002"/>
    <n v="2.2000000000000002"/>
    <x v="178"/>
    <x v="11"/>
    <x v="0"/>
    <x v="0"/>
    <n v="3"/>
    <n v="5"/>
    <n v="10"/>
    <x v="0"/>
  </r>
  <r>
    <x v="4"/>
    <x v="0"/>
    <x v="0"/>
    <n v="5.3"/>
    <x v="2"/>
    <n v="5.0999999999999996"/>
    <n v="-0.20000000000000018"/>
    <n v="1.2"/>
    <x v="81"/>
    <x v="17"/>
    <x v="0"/>
    <x v="0"/>
    <n v="7"/>
    <n v="3"/>
    <n v="8"/>
    <x v="0"/>
  </r>
  <r>
    <x v="6"/>
    <x v="0"/>
    <x v="0"/>
    <n v="5.2"/>
    <x v="1"/>
    <n v="6.7"/>
    <n v="1.5"/>
    <n v="2.5"/>
    <x v="53"/>
    <x v="7"/>
    <x v="0"/>
    <x v="2"/>
    <n v="8"/>
    <n v="8"/>
    <n v="6"/>
    <x v="0"/>
  </r>
  <r>
    <x v="6"/>
    <x v="0"/>
    <x v="0"/>
    <n v="7.9"/>
    <x v="1"/>
    <n v="6"/>
    <n v="-1.9000000000000004"/>
    <n v="2.7"/>
    <x v="154"/>
    <x v="11"/>
    <x v="0"/>
    <x v="0"/>
    <n v="9"/>
    <n v="10"/>
    <n v="3"/>
    <x v="0"/>
  </r>
  <r>
    <x v="1"/>
    <x v="0"/>
    <x v="1"/>
    <n v="6.9"/>
    <x v="1"/>
    <n v="8.5"/>
    <n v="1.5999999999999996"/>
    <n v="1.5"/>
    <x v="113"/>
    <x v="6"/>
    <x v="0"/>
    <x v="0"/>
    <n v="5"/>
    <n v="6"/>
    <n v="1"/>
    <x v="0"/>
  </r>
  <r>
    <x v="2"/>
    <x v="1"/>
    <x v="0"/>
    <n v="5.8"/>
    <x v="0"/>
    <n v="4.0999999999999996"/>
    <n v="-1.7000000000000002"/>
    <n v="2.9"/>
    <x v="179"/>
    <x v="14"/>
    <x v="0"/>
    <x v="1"/>
    <n v="9"/>
    <n v="6"/>
    <n v="8"/>
    <x v="0"/>
  </r>
  <r>
    <x v="1"/>
    <x v="0"/>
    <x v="1"/>
    <n v="7"/>
    <x v="0"/>
    <n v="8.3000000000000007"/>
    <n v="1.3000000000000007"/>
    <n v="2.1"/>
    <x v="181"/>
    <x v="0"/>
    <x v="0"/>
    <x v="0"/>
    <n v="9"/>
    <n v="7"/>
    <n v="3"/>
    <x v="0"/>
  </r>
  <r>
    <x v="0"/>
    <x v="1"/>
    <x v="0"/>
    <n v="3"/>
    <x v="1"/>
    <n v="8.3000000000000007"/>
    <n v="5.3000000000000007"/>
    <n v="2.7"/>
    <x v="62"/>
    <x v="5"/>
    <x v="0"/>
    <x v="1"/>
    <n v="3"/>
    <n v="1"/>
    <n v="5"/>
    <x v="0"/>
  </r>
  <r>
    <x v="4"/>
    <x v="0"/>
    <x v="0"/>
    <n v="6.3"/>
    <x v="2"/>
    <n v="7.9"/>
    <n v="1.6000000000000005"/>
    <n v="1.7"/>
    <x v="154"/>
    <x v="11"/>
    <x v="0"/>
    <x v="2"/>
    <n v="1"/>
    <n v="1"/>
    <n v="2"/>
    <x v="0"/>
  </r>
  <r>
    <x v="2"/>
    <x v="1"/>
    <x v="0"/>
    <n v="5.5"/>
    <x v="0"/>
    <n v="4.9000000000000004"/>
    <n v="-0.59999999999999964"/>
    <n v="2.6"/>
    <x v="71"/>
    <x v="1"/>
    <x v="0"/>
    <x v="2"/>
    <n v="6"/>
    <n v="8"/>
    <n v="3"/>
    <x v="0"/>
  </r>
  <r>
    <x v="2"/>
    <x v="1"/>
    <x v="0"/>
    <n v="2.2000000000000002"/>
    <x v="2"/>
    <n v="7.5"/>
    <n v="5.3"/>
    <n v="2.2000000000000002"/>
    <x v="70"/>
    <x v="16"/>
    <x v="0"/>
    <x v="0"/>
    <n v="9"/>
    <n v="7"/>
    <n v="4"/>
    <x v="0"/>
  </r>
  <r>
    <x v="0"/>
    <x v="0"/>
    <x v="0"/>
    <n v="1.4"/>
    <x v="2"/>
    <n v="4.5"/>
    <n v="3.1"/>
    <n v="1.4"/>
    <x v="158"/>
    <x v="10"/>
    <x v="0"/>
    <x v="1"/>
    <n v="9"/>
    <n v="10"/>
    <n v="9"/>
    <x v="0"/>
  </r>
  <r>
    <x v="4"/>
    <x v="0"/>
    <x v="0"/>
    <n v="4.5"/>
    <x v="0"/>
    <n v="4.4000000000000004"/>
    <n v="-9.9999999999999645E-2"/>
    <n v="1.9"/>
    <x v="125"/>
    <x v="2"/>
    <x v="0"/>
    <x v="0"/>
    <n v="7"/>
    <n v="8"/>
    <n v="10"/>
    <x v="0"/>
  </r>
  <r>
    <x v="0"/>
    <x v="1"/>
    <x v="0"/>
    <n v="6.1"/>
    <x v="0"/>
    <n v="5.7"/>
    <n v="-0.39999999999999947"/>
    <n v="2"/>
    <x v="62"/>
    <x v="19"/>
    <x v="0"/>
    <x v="0"/>
    <n v="8"/>
    <n v="4"/>
    <n v="6"/>
    <x v="0"/>
  </r>
  <r>
    <x v="2"/>
    <x v="0"/>
    <x v="0"/>
    <n v="3.3"/>
    <x v="1"/>
    <n v="5.7"/>
    <n v="2.4000000000000004"/>
    <n v="2"/>
    <x v="65"/>
    <x v="15"/>
    <x v="0"/>
    <x v="0"/>
    <n v="6"/>
    <n v="6"/>
    <n v="8"/>
    <x v="0"/>
  </r>
  <r>
    <x v="3"/>
    <x v="0"/>
    <x v="0"/>
    <n v="5.2"/>
    <x v="2"/>
    <n v="5.6"/>
    <n v="0.39999999999999947"/>
    <n v="1.1000000000000001"/>
    <x v="182"/>
    <x v="15"/>
    <x v="0"/>
    <x v="2"/>
    <n v="4"/>
    <n v="8"/>
    <n v="7"/>
    <x v="0"/>
  </r>
  <r>
    <x v="4"/>
    <x v="0"/>
    <x v="0"/>
    <n v="5"/>
    <x v="2"/>
    <n v="5.8"/>
    <n v="0.79999999999999982"/>
    <n v="1.3"/>
    <x v="168"/>
    <x v="15"/>
    <x v="0"/>
    <x v="0"/>
    <n v="1"/>
    <n v="9"/>
    <n v="2"/>
    <x v="0"/>
  </r>
  <r>
    <x v="2"/>
    <x v="1"/>
    <x v="0"/>
    <n v="1.8"/>
    <x v="1"/>
    <n v="5.9"/>
    <n v="4.1000000000000005"/>
    <n v="1.9"/>
    <x v="183"/>
    <x v="4"/>
    <x v="0"/>
    <x v="0"/>
    <n v="8"/>
    <n v="8"/>
    <n v="5"/>
    <x v="0"/>
  </r>
  <r>
    <x v="6"/>
    <x v="0"/>
    <x v="0"/>
    <n v="2.2999999999999998"/>
    <x v="1"/>
    <n v="4.5"/>
    <n v="2.2000000000000002"/>
    <n v="0.7"/>
    <x v="127"/>
    <x v="18"/>
    <x v="0"/>
    <x v="0"/>
    <n v="6"/>
    <n v="3"/>
    <n v="7"/>
    <x v="0"/>
  </r>
  <r>
    <x v="0"/>
    <x v="0"/>
    <x v="0"/>
    <n v="2.7"/>
    <x v="2"/>
    <n v="6.3"/>
    <n v="3.5999999999999996"/>
    <n v="0.6"/>
    <x v="138"/>
    <x v="11"/>
    <x v="0"/>
    <x v="2"/>
    <n v="6"/>
    <n v="6"/>
    <n v="6"/>
    <x v="0"/>
  </r>
  <r>
    <x v="5"/>
    <x v="0"/>
    <x v="0"/>
    <n v="7.4"/>
    <x v="1"/>
    <n v="7.5"/>
    <n v="9.9999999999999645E-2"/>
    <n v="1.7"/>
    <x v="9"/>
    <x v="17"/>
    <x v="0"/>
    <x v="2"/>
    <n v="2"/>
    <n v="3"/>
    <n v="2"/>
    <x v="0"/>
  </r>
  <r>
    <x v="3"/>
    <x v="0"/>
    <x v="0"/>
    <n v="6.2"/>
    <x v="1"/>
    <n v="4.5999999999999996"/>
    <n v="-1.6000000000000005"/>
    <n v="1.1000000000000001"/>
    <x v="106"/>
    <x v="17"/>
    <x v="0"/>
    <x v="1"/>
    <n v="4"/>
    <n v="2"/>
    <n v="3"/>
    <x v="0"/>
  </r>
  <r>
    <x v="5"/>
    <x v="0"/>
    <x v="0"/>
    <n v="2.2999999999999998"/>
    <x v="1"/>
    <n v="8.8000000000000007"/>
    <n v="6.5000000000000009"/>
    <n v="1"/>
    <x v="110"/>
    <x v="20"/>
    <x v="1"/>
    <x v="2"/>
    <n v="6"/>
    <n v="10"/>
    <n v="10"/>
    <x v="0"/>
  </r>
  <r>
    <x v="4"/>
    <x v="0"/>
    <x v="0"/>
    <n v="1.8"/>
    <x v="1"/>
    <n v="5.2"/>
    <n v="3.4000000000000004"/>
    <n v="1.4"/>
    <x v="170"/>
    <x v="15"/>
    <x v="0"/>
    <x v="1"/>
    <n v="6"/>
    <n v="2"/>
    <n v="10"/>
    <x v="0"/>
  </r>
  <r>
    <x v="5"/>
    <x v="1"/>
    <x v="0"/>
    <n v="1.3"/>
    <x v="0"/>
    <n v="4.9000000000000004"/>
    <n v="3.6000000000000005"/>
    <n v="2.6"/>
    <x v="183"/>
    <x v="18"/>
    <x v="0"/>
    <x v="0"/>
    <n v="2"/>
    <n v="5"/>
    <n v="2"/>
    <x v="0"/>
  </r>
  <r>
    <x v="3"/>
    <x v="0"/>
    <x v="0"/>
    <n v="2.1"/>
    <x v="0"/>
    <n v="4.4000000000000004"/>
    <n v="2.3000000000000003"/>
    <n v="2.1"/>
    <x v="45"/>
    <x v="13"/>
    <x v="0"/>
    <x v="0"/>
    <n v="6"/>
    <n v="6"/>
    <n v="7"/>
    <x v="0"/>
  </r>
  <r>
    <x v="0"/>
    <x v="0"/>
    <x v="0"/>
    <n v="3.9"/>
    <x v="0"/>
    <n v="7.7"/>
    <n v="3.8000000000000003"/>
    <n v="1.4"/>
    <x v="184"/>
    <x v="10"/>
    <x v="0"/>
    <x v="1"/>
    <n v="3"/>
    <n v="5"/>
    <n v="1"/>
    <x v="0"/>
  </r>
  <r>
    <x v="4"/>
    <x v="1"/>
    <x v="0"/>
    <n v="3.8"/>
    <x v="2"/>
    <n v="4.5"/>
    <n v="0.70000000000000018"/>
    <n v="1.3"/>
    <x v="118"/>
    <x v="11"/>
    <x v="0"/>
    <x v="2"/>
    <n v="7"/>
    <n v="8"/>
    <n v="1"/>
    <x v="0"/>
  </r>
  <r>
    <x v="3"/>
    <x v="0"/>
    <x v="0"/>
    <n v="6.4"/>
    <x v="0"/>
    <n v="7.8"/>
    <n v="1.3999999999999995"/>
    <n v="0.7"/>
    <x v="134"/>
    <x v="5"/>
    <x v="0"/>
    <x v="1"/>
    <n v="4"/>
    <n v="4"/>
    <n v="2"/>
    <x v="0"/>
  </r>
  <r>
    <x v="1"/>
    <x v="0"/>
    <x v="1"/>
    <n v="3.2"/>
    <x v="0"/>
    <n v="6.2"/>
    <n v="3"/>
    <n v="2.6"/>
    <x v="82"/>
    <x v="13"/>
    <x v="0"/>
    <x v="1"/>
    <n v="9"/>
    <n v="5"/>
    <n v="7"/>
    <x v="0"/>
  </r>
  <r>
    <x v="6"/>
    <x v="0"/>
    <x v="0"/>
    <n v="4.4000000000000004"/>
    <x v="2"/>
    <n v="8.1999999999999993"/>
    <n v="3.7999999999999989"/>
    <n v="1.5"/>
    <x v="185"/>
    <x v="3"/>
    <x v="0"/>
    <x v="1"/>
    <n v="9"/>
    <n v="6"/>
    <n v="6"/>
    <x v="0"/>
  </r>
  <r>
    <x v="3"/>
    <x v="0"/>
    <x v="0"/>
    <n v="1.3"/>
    <x v="1"/>
    <n v="7.5"/>
    <n v="6.2"/>
    <n v="1.3"/>
    <x v="13"/>
    <x v="3"/>
    <x v="0"/>
    <x v="0"/>
    <n v="1"/>
    <n v="5"/>
    <n v="2"/>
    <x v="0"/>
  </r>
  <r>
    <x v="4"/>
    <x v="1"/>
    <x v="0"/>
    <n v="5.7"/>
    <x v="1"/>
    <n v="6.2"/>
    <n v="0.5"/>
    <n v="0.5"/>
    <x v="185"/>
    <x v="10"/>
    <x v="0"/>
    <x v="2"/>
    <n v="7"/>
    <n v="6"/>
    <n v="3"/>
    <x v="0"/>
  </r>
  <r>
    <x v="6"/>
    <x v="0"/>
    <x v="0"/>
    <n v="4"/>
    <x v="1"/>
    <n v="5"/>
    <n v="1"/>
    <n v="2.9"/>
    <x v="105"/>
    <x v="15"/>
    <x v="0"/>
    <x v="0"/>
    <n v="7"/>
    <n v="8"/>
    <n v="10"/>
    <x v="0"/>
  </r>
  <r>
    <x v="5"/>
    <x v="1"/>
    <x v="0"/>
    <n v="4.8"/>
    <x v="0"/>
    <n v="6.7"/>
    <n v="1.9000000000000004"/>
    <n v="1.4"/>
    <x v="151"/>
    <x v="11"/>
    <x v="0"/>
    <x v="0"/>
    <n v="1"/>
    <n v="3"/>
    <n v="1"/>
    <x v="0"/>
  </r>
  <r>
    <x v="1"/>
    <x v="0"/>
    <x v="1"/>
    <n v="5.8"/>
    <x v="2"/>
    <n v="7.5"/>
    <n v="1.7000000000000002"/>
    <n v="1.9"/>
    <x v="186"/>
    <x v="15"/>
    <x v="0"/>
    <x v="1"/>
    <n v="2"/>
    <n v="1"/>
    <n v="3"/>
    <x v="0"/>
  </r>
  <r>
    <x v="5"/>
    <x v="0"/>
    <x v="0"/>
    <n v="5.8"/>
    <x v="2"/>
    <n v="8.9"/>
    <n v="3.1000000000000005"/>
    <n v="1.1000000000000001"/>
    <x v="186"/>
    <x v="13"/>
    <x v="0"/>
    <x v="2"/>
    <n v="8"/>
    <n v="5"/>
    <n v="9"/>
    <x v="0"/>
  </r>
  <r>
    <x v="6"/>
    <x v="0"/>
    <x v="0"/>
    <n v="3.2"/>
    <x v="1"/>
    <n v="5.0999999999999996"/>
    <n v="1.8999999999999995"/>
    <n v="1.6"/>
    <x v="187"/>
    <x v="17"/>
    <x v="0"/>
    <x v="2"/>
    <n v="4"/>
    <n v="9"/>
    <n v="8"/>
    <x v="0"/>
  </r>
  <r>
    <x v="5"/>
    <x v="1"/>
    <x v="0"/>
    <n v="5.2"/>
    <x v="2"/>
    <n v="4"/>
    <n v="-1.2000000000000002"/>
    <n v="2.4"/>
    <x v="188"/>
    <x v="16"/>
    <x v="0"/>
    <x v="0"/>
    <n v="10"/>
    <n v="5"/>
    <n v="2"/>
    <x v="0"/>
  </r>
  <r>
    <x v="2"/>
    <x v="0"/>
    <x v="0"/>
    <n v="2.4"/>
    <x v="1"/>
    <n v="6"/>
    <n v="3.6"/>
    <n v="0.7"/>
    <x v="129"/>
    <x v="0"/>
    <x v="0"/>
    <x v="0"/>
    <n v="7"/>
    <n v="9"/>
    <n v="2"/>
    <x v="0"/>
  </r>
  <r>
    <x v="3"/>
    <x v="0"/>
    <x v="0"/>
    <n v="7.4"/>
    <x v="2"/>
    <n v="5.9"/>
    <n v="-1.5"/>
    <n v="2.6"/>
    <x v="183"/>
    <x v="13"/>
    <x v="0"/>
    <x v="2"/>
    <n v="7"/>
    <n v="3"/>
    <n v="8"/>
    <x v="0"/>
  </r>
  <r>
    <x v="4"/>
    <x v="1"/>
    <x v="0"/>
    <n v="7.1"/>
    <x v="0"/>
    <n v="4.8"/>
    <n v="-2.2999999999999998"/>
    <n v="2.1"/>
    <x v="110"/>
    <x v="7"/>
    <x v="0"/>
    <x v="1"/>
    <n v="1"/>
    <n v="1"/>
    <n v="10"/>
    <x v="0"/>
  </r>
  <r>
    <x v="5"/>
    <x v="0"/>
    <x v="0"/>
    <n v="6.5"/>
    <x v="1"/>
    <n v="7.4"/>
    <n v="0.90000000000000036"/>
    <n v="1.9"/>
    <x v="40"/>
    <x v="8"/>
    <x v="0"/>
    <x v="2"/>
    <n v="10"/>
    <n v="10"/>
    <n v="2"/>
    <x v="0"/>
  </r>
  <r>
    <x v="6"/>
    <x v="0"/>
    <x v="0"/>
    <n v="7.4"/>
    <x v="2"/>
    <n v="7"/>
    <n v="-0.40000000000000036"/>
    <n v="1.8"/>
    <x v="96"/>
    <x v="3"/>
    <x v="0"/>
    <x v="2"/>
    <n v="9"/>
    <n v="10"/>
    <n v="5"/>
    <x v="0"/>
  </r>
  <r>
    <x v="3"/>
    <x v="1"/>
    <x v="0"/>
    <n v="3.9"/>
    <x v="0"/>
    <n v="6.4"/>
    <n v="2.5000000000000004"/>
    <n v="1.7"/>
    <x v="187"/>
    <x v="17"/>
    <x v="0"/>
    <x v="1"/>
    <n v="6"/>
    <n v="6"/>
    <n v="6"/>
    <x v="0"/>
  </r>
  <r>
    <x v="3"/>
    <x v="1"/>
    <x v="0"/>
    <n v="4.5999999999999996"/>
    <x v="2"/>
    <n v="8.6"/>
    <n v="4"/>
    <n v="2"/>
    <x v="0"/>
    <x v="2"/>
    <x v="0"/>
    <x v="0"/>
    <n v="1"/>
    <n v="8"/>
    <n v="3"/>
    <x v="0"/>
  </r>
  <r>
    <x v="1"/>
    <x v="0"/>
    <x v="1"/>
    <n v="1.5"/>
    <x v="1"/>
    <n v="6.7"/>
    <n v="5.2"/>
    <n v="1"/>
    <x v="62"/>
    <x v="14"/>
    <x v="0"/>
    <x v="0"/>
    <n v="4"/>
    <n v="3"/>
    <n v="3"/>
    <x v="0"/>
  </r>
  <r>
    <x v="3"/>
    <x v="1"/>
    <x v="0"/>
    <n v="5.8"/>
    <x v="0"/>
    <n v="7.1"/>
    <n v="1.2999999999999998"/>
    <n v="1.1000000000000001"/>
    <x v="82"/>
    <x v="0"/>
    <x v="0"/>
    <x v="0"/>
    <n v="9"/>
    <n v="6"/>
    <n v="6"/>
    <x v="0"/>
  </r>
  <r>
    <x v="2"/>
    <x v="1"/>
    <x v="0"/>
    <n v="6.4"/>
    <x v="1"/>
    <n v="4.9000000000000004"/>
    <n v="-1.5"/>
    <n v="2.1"/>
    <x v="153"/>
    <x v="19"/>
    <x v="0"/>
    <x v="1"/>
    <n v="2"/>
    <n v="2"/>
    <n v="6"/>
    <x v="0"/>
  </r>
  <r>
    <x v="5"/>
    <x v="1"/>
    <x v="0"/>
    <n v="2.1"/>
    <x v="1"/>
    <n v="8.1999999999999993"/>
    <n v="6.1"/>
    <n v="2.4"/>
    <x v="112"/>
    <x v="15"/>
    <x v="0"/>
    <x v="1"/>
    <n v="1"/>
    <n v="1"/>
    <n v="8"/>
    <x v="0"/>
  </r>
  <r>
    <x v="2"/>
    <x v="1"/>
    <x v="0"/>
    <n v="2.2000000000000002"/>
    <x v="1"/>
    <n v="6.5"/>
    <n v="4.3"/>
    <n v="3"/>
    <x v="163"/>
    <x v="18"/>
    <x v="0"/>
    <x v="2"/>
    <n v="5"/>
    <n v="8"/>
    <n v="4"/>
    <x v="0"/>
  </r>
  <r>
    <x v="0"/>
    <x v="0"/>
    <x v="0"/>
    <n v="5.5"/>
    <x v="1"/>
    <n v="7.4"/>
    <n v="1.9000000000000004"/>
    <n v="2.9"/>
    <x v="146"/>
    <x v="8"/>
    <x v="0"/>
    <x v="1"/>
    <n v="8"/>
    <n v="4"/>
    <n v="10"/>
    <x v="0"/>
  </r>
  <r>
    <x v="2"/>
    <x v="1"/>
    <x v="0"/>
    <n v="6.6"/>
    <x v="2"/>
    <n v="7.4"/>
    <n v="0.80000000000000071"/>
    <n v="2.2000000000000002"/>
    <x v="5"/>
    <x v="4"/>
    <x v="0"/>
    <x v="1"/>
    <n v="7"/>
    <n v="4"/>
    <n v="9"/>
    <x v="0"/>
  </r>
  <r>
    <x v="1"/>
    <x v="1"/>
    <x v="1"/>
    <n v="5.2"/>
    <x v="0"/>
    <n v="6.6"/>
    <n v="1.3999999999999995"/>
    <n v="1.6"/>
    <x v="41"/>
    <x v="3"/>
    <x v="0"/>
    <x v="0"/>
    <n v="2"/>
    <n v="6"/>
    <n v="10"/>
    <x v="0"/>
  </r>
  <r>
    <x v="2"/>
    <x v="0"/>
    <x v="0"/>
    <n v="4.7"/>
    <x v="1"/>
    <n v="5.0999999999999996"/>
    <n v="0.39999999999999947"/>
    <n v="2"/>
    <x v="188"/>
    <x v="17"/>
    <x v="0"/>
    <x v="0"/>
    <n v="8"/>
    <n v="9"/>
    <n v="1"/>
    <x v="0"/>
  </r>
  <r>
    <x v="1"/>
    <x v="1"/>
    <x v="1"/>
    <n v="7.1"/>
    <x v="2"/>
    <n v="6.3"/>
    <n v="-0.79999999999999982"/>
    <n v="2.2000000000000002"/>
    <x v="138"/>
    <x v="1"/>
    <x v="0"/>
    <x v="1"/>
    <n v="10"/>
    <n v="4"/>
    <n v="9"/>
    <x v="0"/>
  </r>
  <r>
    <x v="1"/>
    <x v="1"/>
    <x v="1"/>
    <n v="4.2"/>
    <x v="2"/>
    <n v="8.1"/>
    <n v="3.8999999999999995"/>
    <n v="1.4"/>
    <x v="130"/>
    <x v="13"/>
    <x v="0"/>
    <x v="0"/>
    <n v="9"/>
    <n v="4"/>
    <n v="2"/>
    <x v="0"/>
  </r>
  <r>
    <x v="2"/>
    <x v="1"/>
    <x v="0"/>
    <n v="1.3"/>
    <x v="0"/>
    <n v="5.0999999999999996"/>
    <n v="3.8"/>
    <n v="2.2000000000000002"/>
    <x v="189"/>
    <x v="4"/>
    <x v="0"/>
    <x v="1"/>
    <n v="7"/>
    <n v="8"/>
    <n v="6"/>
    <x v="0"/>
  </r>
  <r>
    <x v="4"/>
    <x v="0"/>
    <x v="0"/>
    <n v="2.6"/>
    <x v="2"/>
    <n v="7.8"/>
    <n v="5.1999999999999993"/>
    <n v="1.9"/>
    <x v="54"/>
    <x v="14"/>
    <x v="0"/>
    <x v="2"/>
    <n v="8"/>
    <n v="3"/>
    <n v="2"/>
    <x v="0"/>
  </r>
  <r>
    <x v="3"/>
    <x v="0"/>
    <x v="0"/>
    <n v="6.2"/>
    <x v="0"/>
    <n v="8.1"/>
    <n v="1.8999999999999995"/>
    <n v="2.2999999999999998"/>
    <x v="176"/>
    <x v="6"/>
    <x v="0"/>
    <x v="0"/>
    <n v="5"/>
    <n v="4"/>
    <n v="9"/>
    <x v="0"/>
  </r>
  <r>
    <x v="0"/>
    <x v="1"/>
    <x v="0"/>
    <n v="6.2"/>
    <x v="1"/>
    <n v="5.0999999999999996"/>
    <n v="-1.1000000000000005"/>
    <n v="1.5"/>
    <x v="17"/>
    <x v="18"/>
    <x v="0"/>
    <x v="1"/>
    <n v="3"/>
    <n v="4"/>
    <n v="10"/>
    <x v="0"/>
  </r>
  <r>
    <x v="4"/>
    <x v="0"/>
    <x v="0"/>
    <n v="4.8"/>
    <x v="1"/>
    <n v="8.5"/>
    <n v="3.7"/>
    <n v="2.8"/>
    <x v="8"/>
    <x v="6"/>
    <x v="0"/>
    <x v="0"/>
    <n v="5"/>
    <n v="4"/>
    <n v="3"/>
    <x v="0"/>
  </r>
  <r>
    <x v="4"/>
    <x v="1"/>
    <x v="0"/>
    <n v="3"/>
    <x v="2"/>
    <n v="4.5999999999999996"/>
    <n v="1.5999999999999996"/>
    <n v="2"/>
    <x v="18"/>
    <x v="0"/>
    <x v="0"/>
    <x v="2"/>
    <n v="10"/>
    <n v="2"/>
    <n v="5"/>
    <x v="0"/>
  </r>
  <r>
    <x v="5"/>
    <x v="0"/>
    <x v="0"/>
    <n v="4.7"/>
    <x v="0"/>
    <n v="8.1999999999999993"/>
    <n v="3.4999999999999991"/>
    <n v="2.7"/>
    <x v="152"/>
    <x v="11"/>
    <x v="0"/>
    <x v="1"/>
    <n v="1"/>
    <n v="3"/>
    <n v="4"/>
    <x v="0"/>
  </r>
  <r>
    <x v="4"/>
    <x v="1"/>
    <x v="0"/>
    <n v="4.4000000000000004"/>
    <x v="2"/>
    <n v="5.0999999999999996"/>
    <n v="0.69999999999999929"/>
    <n v="1.4"/>
    <x v="179"/>
    <x v="4"/>
    <x v="0"/>
    <x v="0"/>
    <n v="2"/>
    <n v="7"/>
    <n v="4"/>
    <x v="0"/>
  </r>
  <r>
    <x v="0"/>
    <x v="1"/>
    <x v="0"/>
    <n v="2.2999999999999998"/>
    <x v="1"/>
    <n v="7.3"/>
    <n v="5"/>
    <n v="2.2999999999999998"/>
    <x v="56"/>
    <x v="0"/>
    <x v="0"/>
    <x v="2"/>
    <n v="4"/>
    <n v="6"/>
    <n v="5"/>
    <x v="0"/>
  </r>
  <r>
    <x v="0"/>
    <x v="1"/>
    <x v="0"/>
    <n v="3.1"/>
    <x v="0"/>
    <n v="6.9"/>
    <n v="3.8000000000000003"/>
    <n v="1.9"/>
    <x v="150"/>
    <x v="9"/>
    <x v="0"/>
    <x v="2"/>
    <n v="3"/>
    <n v="4"/>
    <n v="2"/>
    <x v="0"/>
  </r>
  <r>
    <x v="4"/>
    <x v="0"/>
    <x v="0"/>
    <n v="2.9"/>
    <x v="1"/>
    <n v="7.5"/>
    <n v="4.5999999999999996"/>
    <n v="0.6"/>
    <x v="190"/>
    <x v="19"/>
    <x v="0"/>
    <x v="1"/>
    <n v="4"/>
    <n v="7"/>
    <n v="4"/>
    <x v="0"/>
  </r>
  <r>
    <x v="6"/>
    <x v="0"/>
    <x v="0"/>
    <n v="1.8"/>
    <x v="0"/>
    <n v="4.4000000000000004"/>
    <n v="2.6000000000000005"/>
    <n v="0.6"/>
    <x v="3"/>
    <x v="10"/>
    <x v="0"/>
    <x v="2"/>
    <n v="3"/>
    <n v="1"/>
    <n v="10"/>
    <x v="0"/>
  </r>
  <r>
    <x v="3"/>
    <x v="1"/>
    <x v="0"/>
    <n v="2"/>
    <x v="0"/>
    <n v="4.7"/>
    <n v="2.7"/>
    <n v="1.3"/>
    <x v="113"/>
    <x v="6"/>
    <x v="0"/>
    <x v="0"/>
    <n v="2"/>
    <n v="6"/>
    <n v="5"/>
    <x v="0"/>
  </r>
  <r>
    <x v="6"/>
    <x v="1"/>
    <x v="0"/>
    <n v="4.2"/>
    <x v="0"/>
    <n v="7.9"/>
    <n v="3.7"/>
    <n v="2.7"/>
    <x v="191"/>
    <x v="15"/>
    <x v="0"/>
    <x v="2"/>
    <n v="10"/>
    <n v="7"/>
    <n v="2"/>
    <x v="0"/>
  </r>
  <r>
    <x v="2"/>
    <x v="1"/>
    <x v="0"/>
    <n v="6.7"/>
    <x v="2"/>
    <n v="7.9"/>
    <n v="1.2000000000000002"/>
    <n v="1.4"/>
    <x v="84"/>
    <x v="14"/>
    <x v="0"/>
    <x v="1"/>
    <n v="3"/>
    <n v="3"/>
    <n v="1"/>
    <x v="0"/>
  </r>
  <r>
    <x v="2"/>
    <x v="1"/>
    <x v="0"/>
    <n v="2.2000000000000002"/>
    <x v="2"/>
    <n v="7.2"/>
    <n v="5"/>
    <n v="0.5"/>
    <x v="19"/>
    <x v="9"/>
    <x v="0"/>
    <x v="2"/>
    <n v="10"/>
    <n v="4"/>
    <n v="8"/>
    <x v="0"/>
  </r>
  <r>
    <x v="2"/>
    <x v="1"/>
    <x v="0"/>
    <n v="1.1000000000000001"/>
    <x v="1"/>
    <n v="6.8"/>
    <n v="5.6999999999999993"/>
    <n v="0.6"/>
    <x v="139"/>
    <x v="16"/>
    <x v="0"/>
    <x v="2"/>
    <n v="9"/>
    <n v="3"/>
    <n v="7"/>
    <x v="0"/>
  </r>
  <r>
    <x v="5"/>
    <x v="1"/>
    <x v="0"/>
    <n v="6.4"/>
    <x v="1"/>
    <n v="5.9"/>
    <n v="-0.5"/>
    <n v="2.8"/>
    <x v="36"/>
    <x v="6"/>
    <x v="0"/>
    <x v="1"/>
    <n v="1"/>
    <n v="3"/>
    <n v="7"/>
    <x v="0"/>
  </r>
  <r>
    <x v="1"/>
    <x v="1"/>
    <x v="1"/>
    <n v="2.8"/>
    <x v="0"/>
    <n v="5.9"/>
    <n v="3.1000000000000005"/>
    <n v="1.5"/>
    <x v="154"/>
    <x v="4"/>
    <x v="0"/>
    <x v="1"/>
    <n v="10"/>
    <n v="9"/>
    <n v="4"/>
    <x v="0"/>
  </r>
  <r>
    <x v="6"/>
    <x v="0"/>
    <x v="0"/>
    <n v="2.2000000000000002"/>
    <x v="2"/>
    <n v="5.8"/>
    <n v="3.5999999999999996"/>
    <n v="2"/>
    <x v="192"/>
    <x v="13"/>
    <x v="0"/>
    <x v="0"/>
    <n v="4"/>
    <n v="4"/>
    <n v="10"/>
    <x v="0"/>
  </r>
  <r>
    <x v="1"/>
    <x v="0"/>
    <x v="1"/>
    <n v="5.7"/>
    <x v="0"/>
    <n v="4.8"/>
    <n v="-0.90000000000000036"/>
    <n v="2.2000000000000002"/>
    <x v="78"/>
    <x v="7"/>
    <x v="0"/>
    <x v="0"/>
    <n v="3"/>
    <n v="7"/>
    <n v="5"/>
    <x v="0"/>
  </r>
  <r>
    <x v="3"/>
    <x v="0"/>
    <x v="0"/>
    <n v="5.3"/>
    <x v="2"/>
    <n v="7.3"/>
    <n v="2"/>
    <n v="1.9"/>
    <x v="110"/>
    <x v="3"/>
    <x v="0"/>
    <x v="1"/>
    <n v="10"/>
    <n v="4"/>
    <n v="2"/>
    <x v="0"/>
  </r>
  <r>
    <x v="0"/>
    <x v="0"/>
    <x v="0"/>
    <n v="3.1"/>
    <x v="1"/>
    <n v="8.8000000000000007"/>
    <n v="5.7000000000000011"/>
    <n v="1.5"/>
    <x v="84"/>
    <x v="4"/>
    <x v="0"/>
    <x v="2"/>
    <n v="4"/>
    <n v="9"/>
    <n v="6"/>
    <x v="0"/>
  </r>
  <r>
    <x v="5"/>
    <x v="0"/>
    <x v="0"/>
    <n v="1.7"/>
    <x v="1"/>
    <n v="4.9000000000000004"/>
    <n v="3.2"/>
    <n v="0.6"/>
    <x v="193"/>
    <x v="8"/>
    <x v="0"/>
    <x v="2"/>
    <n v="10"/>
    <n v="4"/>
    <n v="6"/>
    <x v="0"/>
  </r>
  <r>
    <x v="1"/>
    <x v="1"/>
    <x v="1"/>
    <n v="6.7"/>
    <x v="0"/>
    <n v="7.3"/>
    <n v="0.59999999999999964"/>
    <n v="2.8"/>
    <x v="125"/>
    <x v="3"/>
    <x v="0"/>
    <x v="1"/>
    <n v="7"/>
    <n v="6"/>
    <n v="8"/>
    <x v="0"/>
  </r>
  <r>
    <x v="6"/>
    <x v="1"/>
    <x v="0"/>
    <n v="7.8"/>
    <x v="0"/>
    <n v="7.4"/>
    <n v="-0.39999999999999947"/>
    <n v="1.7"/>
    <x v="140"/>
    <x v="8"/>
    <x v="0"/>
    <x v="0"/>
    <n v="10"/>
    <n v="1"/>
    <n v="4"/>
    <x v="0"/>
  </r>
  <r>
    <x v="4"/>
    <x v="1"/>
    <x v="0"/>
    <n v="2.1"/>
    <x v="2"/>
    <n v="6.7"/>
    <n v="4.5999999999999996"/>
    <n v="0.9"/>
    <x v="178"/>
    <x v="5"/>
    <x v="0"/>
    <x v="0"/>
    <n v="3"/>
    <n v="5"/>
    <n v="7"/>
    <x v="0"/>
  </r>
  <r>
    <x v="2"/>
    <x v="1"/>
    <x v="0"/>
    <n v="5.0999999999999996"/>
    <x v="1"/>
    <n v="8.6"/>
    <n v="3.5"/>
    <n v="1.9"/>
    <x v="122"/>
    <x v="8"/>
    <x v="0"/>
    <x v="0"/>
    <n v="1"/>
    <n v="7"/>
    <n v="8"/>
    <x v="0"/>
  </r>
  <r>
    <x v="4"/>
    <x v="1"/>
    <x v="0"/>
    <n v="3.6"/>
    <x v="0"/>
    <n v="5.4"/>
    <n v="1.8000000000000003"/>
    <n v="0.9"/>
    <x v="133"/>
    <x v="12"/>
    <x v="0"/>
    <x v="2"/>
    <n v="1"/>
    <n v="10"/>
    <n v="2"/>
    <x v="0"/>
  </r>
  <r>
    <x v="4"/>
    <x v="0"/>
    <x v="0"/>
    <n v="5"/>
    <x v="2"/>
    <n v="7.6"/>
    <n v="2.5999999999999996"/>
    <n v="2"/>
    <x v="75"/>
    <x v="12"/>
    <x v="0"/>
    <x v="0"/>
    <n v="4"/>
    <n v="3"/>
    <n v="3"/>
    <x v="0"/>
  </r>
  <r>
    <x v="2"/>
    <x v="0"/>
    <x v="0"/>
    <n v="1.7"/>
    <x v="2"/>
    <n v="8.6"/>
    <n v="6.8999999999999995"/>
    <n v="0.9"/>
    <x v="41"/>
    <x v="10"/>
    <x v="0"/>
    <x v="0"/>
    <n v="9"/>
    <n v="1"/>
    <n v="3"/>
    <x v="0"/>
  </r>
  <r>
    <x v="2"/>
    <x v="0"/>
    <x v="0"/>
    <n v="6.8"/>
    <x v="0"/>
    <n v="4.7"/>
    <n v="-2.0999999999999996"/>
    <n v="0.6"/>
    <x v="72"/>
    <x v="7"/>
    <x v="0"/>
    <x v="0"/>
    <n v="3"/>
    <n v="9"/>
    <n v="7"/>
    <x v="0"/>
  </r>
  <r>
    <x v="0"/>
    <x v="0"/>
    <x v="0"/>
    <n v="3.8"/>
    <x v="2"/>
    <n v="7.5"/>
    <n v="3.7"/>
    <n v="0.5"/>
    <x v="177"/>
    <x v="19"/>
    <x v="0"/>
    <x v="2"/>
    <n v="5"/>
    <n v="2"/>
    <n v="2"/>
    <x v="0"/>
  </r>
  <r>
    <x v="5"/>
    <x v="0"/>
    <x v="0"/>
    <n v="2.1"/>
    <x v="0"/>
    <n v="7.7"/>
    <n v="5.6"/>
    <n v="1.1000000000000001"/>
    <x v="42"/>
    <x v="8"/>
    <x v="0"/>
    <x v="2"/>
    <n v="3"/>
    <n v="2"/>
    <n v="4"/>
    <x v="0"/>
  </r>
  <r>
    <x v="3"/>
    <x v="1"/>
    <x v="0"/>
    <n v="3.2"/>
    <x v="0"/>
    <n v="4"/>
    <n v="0.79999999999999982"/>
    <n v="2"/>
    <x v="112"/>
    <x v="5"/>
    <x v="0"/>
    <x v="0"/>
    <n v="8"/>
    <n v="4"/>
    <n v="8"/>
    <x v="0"/>
  </r>
  <r>
    <x v="4"/>
    <x v="0"/>
    <x v="0"/>
    <n v="1.9"/>
    <x v="0"/>
    <n v="5.6"/>
    <n v="3.6999999999999997"/>
    <n v="2.2999999999999998"/>
    <x v="56"/>
    <x v="13"/>
    <x v="0"/>
    <x v="2"/>
    <n v="8"/>
    <n v="1"/>
    <n v="8"/>
    <x v="0"/>
  </r>
  <r>
    <x v="6"/>
    <x v="1"/>
    <x v="0"/>
    <n v="3.5"/>
    <x v="0"/>
    <n v="6.8"/>
    <n v="3.3"/>
    <n v="1.5"/>
    <x v="188"/>
    <x v="17"/>
    <x v="0"/>
    <x v="2"/>
    <n v="7"/>
    <n v="3"/>
    <n v="2"/>
    <x v="0"/>
  </r>
  <r>
    <x v="3"/>
    <x v="1"/>
    <x v="0"/>
    <n v="4.5"/>
    <x v="0"/>
    <n v="7.7"/>
    <n v="3.2"/>
    <n v="0.9"/>
    <x v="68"/>
    <x v="8"/>
    <x v="0"/>
    <x v="2"/>
    <n v="9"/>
    <n v="10"/>
    <n v="4"/>
    <x v="0"/>
  </r>
  <r>
    <x v="6"/>
    <x v="1"/>
    <x v="0"/>
    <n v="6"/>
    <x v="1"/>
    <n v="5"/>
    <n v="-1"/>
    <n v="2.5"/>
    <x v="63"/>
    <x v="17"/>
    <x v="0"/>
    <x v="1"/>
    <n v="4"/>
    <n v="9"/>
    <n v="2"/>
    <x v="0"/>
  </r>
  <r>
    <x v="6"/>
    <x v="1"/>
    <x v="0"/>
    <n v="3.6"/>
    <x v="1"/>
    <n v="4.8"/>
    <n v="1.1999999999999997"/>
    <n v="2.2000000000000002"/>
    <x v="126"/>
    <x v="9"/>
    <x v="0"/>
    <x v="2"/>
    <n v="4"/>
    <n v="4"/>
    <n v="7"/>
    <x v="0"/>
  </r>
  <r>
    <x v="1"/>
    <x v="0"/>
    <x v="1"/>
    <n v="5.2"/>
    <x v="1"/>
    <n v="6.9"/>
    <n v="1.7000000000000002"/>
    <n v="2.2999999999999998"/>
    <x v="141"/>
    <x v="18"/>
    <x v="0"/>
    <x v="1"/>
    <n v="6"/>
    <n v="4"/>
    <n v="8"/>
    <x v="0"/>
  </r>
  <r>
    <x v="6"/>
    <x v="0"/>
    <x v="0"/>
    <n v="2.7"/>
    <x v="2"/>
    <n v="6.9"/>
    <n v="4.2"/>
    <n v="1.4"/>
    <x v="187"/>
    <x v="0"/>
    <x v="0"/>
    <x v="0"/>
    <n v="2"/>
    <n v="6"/>
    <n v="3"/>
    <x v="0"/>
  </r>
  <r>
    <x v="5"/>
    <x v="1"/>
    <x v="0"/>
    <n v="2.8"/>
    <x v="1"/>
    <n v="7.1"/>
    <n v="4.3"/>
    <n v="1.4"/>
    <x v="17"/>
    <x v="14"/>
    <x v="0"/>
    <x v="1"/>
    <n v="7"/>
    <n v="9"/>
    <n v="8"/>
    <x v="0"/>
  </r>
  <r>
    <x v="0"/>
    <x v="0"/>
    <x v="0"/>
    <n v="5.6"/>
    <x v="0"/>
    <n v="7"/>
    <n v="1.4000000000000004"/>
    <n v="1.9"/>
    <x v="137"/>
    <x v="14"/>
    <x v="0"/>
    <x v="0"/>
    <n v="5"/>
    <n v="7"/>
    <n v="3"/>
    <x v="0"/>
  </r>
  <r>
    <x v="5"/>
    <x v="0"/>
    <x v="0"/>
    <n v="2.7"/>
    <x v="2"/>
    <n v="7.2"/>
    <n v="4.5"/>
    <n v="0.6"/>
    <x v="185"/>
    <x v="10"/>
    <x v="0"/>
    <x v="0"/>
    <n v="6"/>
    <n v="1"/>
    <n v="5"/>
    <x v="0"/>
  </r>
  <r>
    <x v="0"/>
    <x v="0"/>
    <x v="0"/>
    <n v="4.2"/>
    <x v="2"/>
    <n v="7"/>
    <n v="2.8"/>
    <n v="1.1000000000000001"/>
    <x v="168"/>
    <x v="7"/>
    <x v="0"/>
    <x v="1"/>
    <n v="4"/>
    <n v="8"/>
    <n v="1"/>
    <x v="0"/>
  </r>
  <r>
    <x v="4"/>
    <x v="1"/>
    <x v="0"/>
    <n v="5.0999999999999996"/>
    <x v="1"/>
    <n v="8.1999999999999993"/>
    <n v="3.0999999999999996"/>
    <n v="2.8"/>
    <x v="177"/>
    <x v="12"/>
    <x v="0"/>
    <x v="1"/>
    <n v="8"/>
    <n v="8"/>
    <n v="8"/>
    <x v="0"/>
  </r>
  <r>
    <x v="3"/>
    <x v="1"/>
    <x v="0"/>
    <n v="5.7"/>
    <x v="0"/>
    <n v="6.1"/>
    <n v="0.39999999999999947"/>
    <n v="0.7"/>
    <x v="16"/>
    <x v="4"/>
    <x v="0"/>
    <x v="2"/>
    <n v="5"/>
    <n v="9"/>
    <n v="7"/>
    <x v="0"/>
  </r>
  <r>
    <x v="6"/>
    <x v="1"/>
    <x v="0"/>
    <n v="1.5"/>
    <x v="2"/>
    <n v="7.9"/>
    <n v="6.4"/>
    <n v="1.8"/>
    <x v="154"/>
    <x v="8"/>
    <x v="0"/>
    <x v="2"/>
    <n v="5"/>
    <n v="7"/>
    <n v="1"/>
    <x v="0"/>
  </r>
  <r>
    <x v="3"/>
    <x v="1"/>
    <x v="0"/>
    <n v="6.9"/>
    <x v="1"/>
    <n v="8.3000000000000007"/>
    <n v="1.4000000000000004"/>
    <n v="2.4"/>
    <x v="155"/>
    <x v="9"/>
    <x v="0"/>
    <x v="1"/>
    <n v="2"/>
    <n v="4"/>
    <n v="9"/>
    <x v="0"/>
  </r>
  <r>
    <x v="0"/>
    <x v="0"/>
    <x v="0"/>
    <n v="4.7"/>
    <x v="1"/>
    <n v="7.9"/>
    <n v="3.2"/>
    <n v="2.9"/>
    <x v="144"/>
    <x v="5"/>
    <x v="0"/>
    <x v="1"/>
    <n v="5"/>
    <n v="8"/>
    <n v="7"/>
    <x v="0"/>
  </r>
  <r>
    <x v="3"/>
    <x v="1"/>
    <x v="0"/>
    <n v="2.7"/>
    <x v="2"/>
    <n v="8.5"/>
    <n v="5.8"/>
    <n v="0.8"/>
    <x v="115"/>
    <x v="6"/>
    <x v="0"/>
    <x v="0"/>
    <n v="6"/>
    <n v="3"/>
    <n v="1"/>
    <x v="0"/>
  </r>
  <r>
    <x v="6"/>
    <x v="1"/>
    <x v="0"/>
    <n v="6.1"/>
    <x v="2"/>
    <n v="6.4"/>
    <n v="0.30000000000000071"/>
    <n v="2.8"/>
    <x v="110"/>
    <x v="13"/>
    <x v="0"/>
    <x v="0"/>
    <n v="6"/>
    <n v="1"/>
    <n v="9"/>
    <x v="0"/>
  </r>
  <r>
    <x v="2"/>
    <x v="1"/>
    <x v="0"/>
    <n v="5"/>
    <x v="1"/>
    <n v="7.3"/>
    <n v="2.2999999999999998"/>
    <n v="1.9"/>
    <x v="26"/>
    <x v="14"/>
    <x v="0"/>
    <x v="1"/>
    <n v="8"/>
    <n v="9"/>
    <n v="9"/>
    <x v="0"/>
  </r>
  <r>
    <x v="2"/>
    <x v="1"/>
    <x v="0"/>
    <n v="5.3"/>
    <x v="2"/>
    <n v="6.8"/>
    <n v="1.5"/>
    <n v="1.9"/>
    <x v="173"/>
    <x v="16"/>
    <x v="0"/>
    <x v="0"/>
    <n v="10"/>
    <n v="6"/>
    <n v="8"/>
    <x v="0"/>
  </r>
  <r>
    <x v="1"/>
    <x v="0"/>
    <x v="1"/>
    <n v="7.2"/>
    <x v="1"/>
    <n v="6.6"/>
    <n v="-0.60000000000000053"/>
    <n v="2.9"/>
    <x v="160"/>
    <x v="11"/>
    <x v="0"/>
    <x v="2"/>
    <n v="1"/>
    <n v="10"/>
    <n v="9"/>
    <x v="0"/>
  </r>
  <r>
    <x v="3"/>
    <x v="0"/>
    <x v="0"/>
    <n v="2.2999999999999998"/>
    <x v="2"/>
    <n v="5.7"/>
    <n v="3.4000000000000004"/>
    <n v="2.8"/>
    <x v="93"/>
    <x v="13"/>
    <x v="0"/>
    <x v="2"/>
    <n v="4"/>
    <n v="1"/>
    <n v="4"/>
    <x v="0"/>
  </r>
  <r>
    <x v="2"/>
    <x v="1"/>
    <x v="0"/>
    <n v="7.3"/>
    <x v="2"/>
    <n v="7.8"/>
    <n v="0.5"/>
    <n v="1.1000000000000001"/>
    <x v="50"/>
    <x v="8"/>
    <x v="0"/>
    <x v="0"/>
    <n v="3"/>
    <n v="10"/>
    <n v="6"/>
    <x v="0"/>
  </r>
  <r>
    <x v="5"/>
    <x v="1"/>
    <x v="0"/>
    <n v="1.5"/>
    <x v="0"/>
    <n v="8"/>
    <n v="6.5"/>
    <n v="0.7"/>
    <x v="177"/>
    <x v="4"/>
    <x v="0"/>
    <x v="2"/>
    <n v="4"/>
    <n v="7"/>
    <n v="5"/>
    <x v="0"/>
  </r>
  <r>
    <x v="4"/>
    <x v="1"/>
    <x v="0"/>
    <n v="2.2000000000000002"/>
    <x v="0"/>
    <n v="6.5"/>
    <n v="4.3"/>
    <n v="1.9"/>
    <x v="147"/>
    <x v="18"/>
    <x v="0"/>
    <x v="0"/>
    <n v="1"/>
    <n v="6"/>
    <n v="2"/>
    <x v="0"/>
  </r>
  <r>
    <x v="6"/>
    <x v="1"/>
    <x v="0"/>
    <n v="5.5"/>
    <x v="2"/>
    <n v="6.7"/>
    <n v="1.2000000000000002"/>
    <n v="1.6"/>
    <x v="181"/>
    <x v="10"/>
    <x v="0"/>
    <x v="1"/>
    <n v="10"/>
    <n v="1"/>
    <n v="6"/>
    <x v="0"/>
  </r>
  <r>
    <x v="1"/>
    <x v="0"/>
    <x v="1"/>
    <n v="2.1"/>
    <x v="1"/>
    <n v="5.2"/>
    <n v="3.1"/>
    <n v="2.5"/>
    <x v="98"/>
    <x v="11"/>
    <x v="0"/>
    <x v="0"/>
    <n v="9"/>
    <n v="9"/>
    <n v="3"/>
    <x v="0"/>
  </r>
  <r>
    <x v="3"/>
    <x v="1"/>
    <x v="0"/>
    <n v="4.5"/>
    <x v="2"/>
    <n v="5.4"/>
    <n v="0.90000000000000036"/>
    <n v="1.2"/>
    <x v="191"/>
    <x v="10"/>
    <x v="0"/>
    <x v="1"/>
    <n v="1"/>
    <n v="8"/>
    <n v="7"/>
    <x v="0"/>
  </r>
  <r>
    <x v="6"/>
    <x v="0"/>
    <x v="0"/>
    <n v="3.9"/>
    <x v="2"/>
    <n v="5.8"/>
    <n v="1.9"/>
    <n v="0.7"/>
    <x v="74"/>
    <x v="6"/>
    <x v="0"/>
    <x v="2"/>
    <n v="10"/>
    <n v="3"/>
    <n v="1"/>
    <x v="0"/>
  </r>
  <r>
    <x v="0"/>
    <x v="0"/>
    <x v="0"/>
    <n v="5.8"/>
    <x v="0"/>
    <n v="5.0999999999999996"/>
    <n v="-0.70000000000000018"/>
    <n v="2.6"/>
    <x v="35"/>
    <x v="0"/>
    <x v="0"/>
    <x v="2"/>
    <n v="7"/>
    <n v="5"/>
    <n v="2"/>
    <x v="0"/>
  </r>
  <r>
    <x v="6"/>
    <x v="1"/>
    <x v="0"/>
    <n v="7.2"/>
    <x v="2"/>
    <n v="4.2"/>
    <n v="-3"/>
    <n v="2.5"/>
    <x v="49"/>
    <x v="16"/>
    <x v="0"/>
    <x v="0"/>
    <n v="10"/>
    <n v="9"/>
    <n v="3"/>
    <x v="1"/>
  </r>
  <r>
    <x v="2"/>
    <x v="1"/>
    <x v="0"/>
    <n v="2.9"/>
    <x v="2"/>
    <n v="7.5"/>
    <n v="4.5999999999999996"/>
    <n v="1.4"/>
    <x v="37"/>
    <x v="10"/>
    <x v="0"/>
    <x v="0"/>
    <n v="5"/>
    <n v="6"/>
    <n v="3"/>
    <x v="0"/>
  </r>
  <r>
    <x v="2"/>
    <x v="0"/>
    <x v="0"/>
    <n v="6.2"/>
    <x v="0"/>
    <n v="7.4"/>
    <n v="1.2000000000000002"/>
    <n v="0.6"/>
    <x v="193"/>
    <x v="0"/>
    <x v="0"/>
    <x v="0"/>
    <n v="4"/>
    <n v="7"/>
    <n v="9"/>
    <x v="0"/>
  </r>
  <r>
    <x v="4"/>
    <x v="1"/>
    <x v="0"/>
    <n v="1.1000000000000001"/>
    <x v="2"/>
    <n v="4.9000000000000004"/>
    <n v="3.8000000000000003"/>
    <n v="2.6"/>
    <x v="34"/>
    <x v="6"/>
    <x v="0"/>
    <x v="1"/>
    <n v="9"/>
    <n v="7"/>
    <n v="6"/>
    <x v="0"/>
  </r>
  <r>
    <x v="1"/>
    <x v="0"/>
    <x v="1"/>
    <n v="5.2"/>
    <x v="0"/>
    <n v="4.3"/>
    <n v="-0.90000000000000036"/>
    <n v="1.3"/>
    <x v="89"/>
    <x v="6"/>
    <x v="0"/>
    <x v="2"/>
    <n v="10"/>
    <n v="8"/>
    <n v="10"/>
    <x v="1"/>
  </r>
  <r>
    <x v="3"/>
    <x v="1"/>
    <x v="0"/>
    <n v="5"/>
    <x v="0"/>
    <n v="7.6"/>
    <n v="2.5999999999999996"/>
    <n v="1.8"/>
    <x v="120"/>
    <x v="3"/>
    <x v="0"/>
    <x v="1"/>
    <n v="1"/>
    <n v="4"/>
    <n v="3"/>
    <x v="0"/>
  </r>
  <r>
    <x v="6"/>
    <x v="1"/>
    <x v="0"/>
    <n v="2.2999999999999998"/>
    <x v="1"/>
    <n v="8.6999999999999993"/>
    <n v="6.3999999999999995"/>
    <n v="1.2"/>
    <x v="112"/>
    <x v="0"/>
    <x v="0"/>
    <x v="1"/>
    <n v="9"/>
    <n v="9"/>
    <n v="1"/>
    <x v="0"/>
  </r>
  <r>
    <x v="3"/>
    <x v="1"/>
    <x v="0"/>
    <n v="5.2"/>
    <x v="1"/>
    <n v="5.6"/>
    <n v="0.39999999999999947"/>
    <n v="1.5"/>
    <x v="66"/>
    <x v="15"/>
    <x v="0"/>
    <x v="0"/>
    <n v="7"/>
    <n v="9"/>
    <n v="4"/>
    <x v="1"/>
  </r>
  <r>
    <x v="6"/>
    <x v="1"/>
    <x v="0"/>
    <n v="3.5"/>
    <x v="2"/>
    <n v="8.6999999999999993"/>
    <n v="5.1999999999999993"/>
    <n v="1.4"/>
    <x v="12"/>
    <x v="6"/>
    <x v="0"/>
    <x v="1"/>
    <n v="9"/>
    <n v="4"/>
    <n v="5"/>
    <x v="0"/>
  </r>
  <r>
    <x v="5"/>
    <x v="1"/>
    <x v="0"/>
    <n v="3.5"/>
    <x v="2"/>
    <n v="4.2"/>
    <n v="0.70000000000000018"/>
    <n v="1.5"/>
    <x v="185"/>
    <x v="14"/>
    <x v="0"/>
    <x v="2"/>
    <n v="1"/>
    <n v="7"/>
    <n v="2"/>
    <x v="0"/>
  </r>
  <r>
    <x v="1"/>
    <x v="0"/>
    <x v="1"/>
    <n v="7.7"/>
    <x v="0"/>
    <n v="4.2"/>
    <n v="-3.5"/>
    <n v="2.6"/>
    <x v="150"/>
    <x v="17"/>
    <x v="0"/>
    <x v="0"/>
    <n v="8"/>
    <n v="9"/>
    <n v="4"/>
    <x v="1"/>
  </r>
  <r>
    <x v="4"/>
    <x v="1"/>
    <x v="0"/>
    <n v="2"/>
    <x v="2"/>
    <n v="8.6"/>
    <n v="6.6"/>
    <n v="2.2000000000000002"/>
    <x v="57"/>
    <x v="13"/>
    <x v="0"/>
    <x v="0"/>
    <n v="2"/>
    <n v="5"/>
    <n v="8"/>
    <x v="0"/>
  </r>
  <r>
    <x v="6"/>
    <x v="1"/>
    <x v="0"/>
    <n v="5.0999999999999996"/>
    <x v="1"/>
    <n v="4.5"/>
    <n v="-0.59999999999999964"/>
    <n v="2.7"/>
    <x v="144"/>
    <x v="3"/>
    <x v="0"/>
    <x v="1"/>
    <n v="2"/>
    <n v="3"/>
    <n v="10"/>
    <x v="0"/>
  </r>
  <r>
    <x v="5"/>
    <x v="0"/>
    <x v="0"/>
    <n v="2"/>
    <x v="0"/>
    <n v="7.9"/>
    <n v="5.9"/>
    <n v="2.4"/>
    <x v="171"/>
    <x v="13"/>
    <x v="0"/>
    <x v="0"/>
    <n v="10"/>
    <n v="6"/>
    <n v="6"/>
    <x v="0"/>
  </r>
  <r>
    <x v="3"/>
    <x v="0"/>
    <x v="0"/>
    <n v="4.7"/>
    <x v="0"/>
    <n v="8.4"/>
    <n v="3.7"/>
    <n v="1.9"/>
    <x v="62"/>
    <x v="19"/>
    <x v="0"/>
    <x v="1"/>
    <n v="4"/>
    <n v="10"/>
    <n v="6"/>
    <x v="0"/>
  </r>
  <r>
    <x v="2"/>
    <x v="1"/>
    <x v="0"/>
    <n v="6.9"/>
    <x v="1"/>
    <n v="6.1"/>
    <n v="-0.80000000000000071"/>
    <n v="2.4"/>
    <x v="8"/>
    <x v="8"/>
    <x v="0"/>
    <x v="2"/>
    <n v="9"/>
    <n v="4"/>
    <n v="9"/>
    <x v="0"/>
  </r>
  <r>
    <x v="4"/>
    <x v="0"/>
    <x v="0"/>
    <n v="5.9"/>
    <x v="0"/>
    <n v="4.4000000000000004"/>
    <n v="-1.5"/>
    <n v="2.7"/>
    <x v="141"/>
    <x v="17"/>
    <x v="0"/>
    <x v="1"/>
    <n v="1"/>
    <n v="6"/>
    <n v="6"/>
    <x v="0"/>
  </r>
  <r>
    <x v="1"/>
    <x v="0"/>
    <x v="1"/>
    <n v="2.7"/>
    <x v="0"/>
    <n v="6.3"/>
    <n v="3.5999999999999996"/>
    <n v="1.3"/>
    <x v="84"/>
    <x v="9"/>
    <x v="0"/>
    <x v="1"/>
    <n v="7"/>
    <n v="5"/>
    <n v="7"/>
    <x v="0"/>
  </r>
  <r>
    <x v="5"/>
    <x v="0"/>
    <x v="0"/>
    <n v="7.9"/>
    <x v="1"/>
    <n v="8"/>
    <n v="9.9999999999999645E-2"/>
    <n v="1.6"/>
    <x v="73"/>
    <x v="0"/>
    <x v="0"/>
    <x v="1"/>
    <n v="3"/>
    <n v="5"/>
    <n v="6"/>
    <x v="0"/>
  </r>
  <r>
    <x v="5"/>
    <x v="1"/>
    <x v="0"/>
    <n v="7.4"/>
    <x v="1"/>
    <n v="5.5"/>
    <n v="-1.9000000000000004"/>
    <n v="1.8"/>
    <x v="145"/>
    <x v="11"/>
    <x v="0"/>
    <x v="1"/>
    <n v="7"/>
    <n v="9"/>
    <n v="9"/>
    <x v="1"/>
  </r>
  <r>
    <x v="2"/>
    <x v="1"/>
    <x v="0"/>
    <n v="2.2999999999999998"/>
    <x v="0"/>
    <n v="4.9000000000000004"/>
    <n v="2.6000000000000005"/>
    <n v="1.7"/>
    <x v="166"/>
    <x v="11"/>
    <x v="0"/>
    <x v="2"/>
    <n v="3"/>
    <n v="7"/>
    <n v="7"/>
    <x v="0"/>
  </r>
  <r>
    <x v="6"/>
    <x v="0"/>
    <x v="0"/>
    <n v="7.1"/>
    <x v="2"/>
    <n v="5.7"/>
    <n v="-1.3999999999999995"/>
    <n v="2.1"/>
    <x v="136"/>
    <x v="10"/>
    <x v="0"/>
    <x v="0"/>
    <n v="1"/>
    <n v="1"/>
    <n v="3"/>
    <x v="0"/>
  </r>
  <r>
    <x v="5"/>
    <x v="0"/>
    <x v="0"/>
    <n v="6.9"/>
    <x v="0"/>
    <n v="6.8"/>
    <n v="-0.10000000000000053"/>
    <n v="1.1000000000000001"/>
    <x v="122"/>
    <x v="19"/>
    <x v="0"/>
    <x v="2"/>
    <n v="7"/>
    <n v="9"/>
    <n v="4"/>
    <x v="0"/>
  </r>
  <r>
    <x v="5"/>
    <x v="1"/>
    <x v="0"/>
    <n v="5.6"/>
    <x v="1"/>
    <n v="7.9"/>
    <n v="2.3000000000000007"/>
    <n v="2"/>
    <x v="84"/>
    <x v="4"/>
    <x v="0"/>
    <x v="2"/>
    <n v="7"/>
    <n v="3"/>
    <n v="10"/>
    <x v="0"/>
  </r>
  <r>
    <x v="5"/>
    <x v="1"/>
    <x v="0"/>
    <n v="5.2"/>
    <x v="1"/>
    <n v="8.1"/>
    <n v="2.8999999999999995"/>
    <n v="2.1"/>
    <x v="27"/>
    <x v="10"/>
    <x v="0"/>
    <x v="2"/>
    <n v="9"/>
    <n v="10"/>
    <n v="10"/>
    <x v="0"/>
  </r>
  <r>
    <x v="2"/>
    <x v="0"/>
    <x v="0"/>
    <n v="4.5"/>
    <x v="2"/>
    <n v="4.9000000000000004"/>
    <n v="0.40000000000000036"/>
    <n v="0.5"/>
    <x v="189"/>
    <x v="9"/>
    <x v="0"/>
    <x v="2"/>
    <n v="5"/>
    <n v="3"/>
    <n v="1"/>
    <x v="0"/>
  </r>
  <r>
    <x v="0"/>
    <x v="0"/>
    <x v="0"/>
    <n v="3.6"/>
    <x v="1"/>
    <n v="4"/>
    <n v="0.39999999999999991"/>
    <n v="1.4"/>
    <x v="26"/>
    <x v="12"/>
    <x v="0"/>
    <x v="2"/>
    <n v="1"/>
    <n v="5"/>
    <n v="2"/>
    <x v="0"/>
  </r>
  <r>
    <x v="1"/>
    <x v="0"/>
    <x v="1"/>
    <n v="7.2"/>
    <x v="0"/>
    <n v="5"/>
    <n v="-2.2000000000000002"/>
    <n v="2.2000000000000002"/>
    <x v="114"/>
    <x v="5"/>
    <x v="0"/>
    <x v="1"/>
    <n v="6"/>
    <n v="9"/>
    <n v="2"/>
    <x v="0"/>
  </r>
  <r>
    <x v="2"/>
    <x v="0"/>
    <x v="0"/>
    <n v="6.4"/>
    <x v="1"/>
    <n v="8.6"/>
    <n v="2.1999999999999993"/>
    <n v="2.2999999999999998"/>
    <x v="79"/>
    <x v="6"/>
    <x v="0"/>
    <x v="0"/>
    <n v="9"/>
    <n v="10"/>
    <n v="5"/>
    <x v="0"/>
  </r>
  <r>
    <x v="3"/>
    <x v="0"/>
    <x v="0"/>
    <n v="7.1"/>
    <x v="2"/>
    <n v="6.5"/>
    <n v="-0.59999999999999964"/>
    <n v="0.7"/>
    <x v="75"/>
    <x v="18"/>
    <x v="0"/>
    <x v="2"/>
    <n v="4"/>
    <n v="7"/>
    <n v="1"/>
    <x v="0"/>
  </r>
  <r>
    <x v="4"/>
    <x v="0"/>
    <x v="0"/>
    <n v="1.2"/>
    <x v="2"/>
    <n v="4.0999999999999996"/>
    <n v="2.8999999999999995"/>
    <n v="1.1000000000000001"/>
    <x v="152"/>
    <x v="16"/>
    <x v="0"/>
    <x v="0"/>
    <n v="1"/>
    <n v="3"/>
    <n v="6"/>
    <x v="0"/>
  </r>
  <r>
    <x v="1"/>
    <x v="0"/>
    <x v="1"/>
    <n v="6.6"/>
    <x v="1"/>
    <n v="8.8000000000000007"/>
    <n v="2.2000000000000011"/>
    <n v="0.9"/>
    <x v="105"/>
    <x v="11"/>
    <x v="0"/>
    <x v="1"/>
    <n v="10"/>
    <n v="10"/>
    <n v="6"/>
    <x v="0"/>
  </r>
  <r>
    <x v="1"/>
    <x v="1"/>
    <x v="1"/>
    <n v="6.5"/>
    <x v="1"/>
    <n v="6.4"/>
    <n v="-9.9999999999999645E-2"/>
    <n v="1.1000000000000001"/>
    <x v="65"/>
    <x v="9"/>
    <x v="0"/>
    <x v="0"/>
    <n v="8"/>
    <n v="9"/>
    <n v="8"/>
    <x v="0"/>
  </r>
  <r>
    <x v="5"/>
    <x v="0"/>
    <x v="0"/>
    <n v="2"/>
    <x v="1"/>
    <n v="4.4000000000000004"/>
    <n v="2.4000000000000004"/>
    <n v="0.7"/>
    <x v="170"/>
    <x v="1"/>
    <x v="0"/>
    <x v="2"/>
    <n v="1"/>
    <n v="4"/>
    <n v="10"/>
    <x v="0"/>
  </r>
  <r>
    <x v="6"/>
    <x v="0"/>
    <x v="0"/>
    <n v="2.5"/>
    <x v="0"/>
    <n v="5.3"/>
    <n v="2.8"/>
    <n v="0.8"/>
    <x v="95"/>
    <x v="14"/>
    <x v="0"/>
    <x v="1"/>
    <n v="3"/>
    <n v="5"/>
    <n v="3"/>
    <x v="0"/>
  </r>
  <r>
    <x v="1"/>
    <x v="0"/>
    <x v="1"/>
    <n v="2.1"/>
    <x v="0"/>
    <n v="8.8000000000000007"/>
    <n v="6.7000000000000011"/>
    <n v="2.2999999999999998"/>
    <x v="40"/>
    <x v="9"/>
    <x v="0"/>
    <x v="1"/>
    <n v="5"/>
    <n v="5"/>
    <n v="3"/>
    <x v="0"/>
  </r>
  <r>
    <x v="5"/>
    <x v="1"/>
    <x v="0"/>
    <n v="7.1"/>
    <x v="1"/>
    <n v="8.8000000000000007"/>
    <n v="1.7000000000000011"/>
    <n v="1.8"/>
    <x v="87"/>
    <x v="1"/>
    <x v="0"/>
    <x v="0"/>
    <n v="6"/>
    <n v="10"/>
    <n v="8"/>
    <x v="0"/>
  </r>
  <r>
    <x v="1"/>
    <x v="1"/>
    <x v="1"/>
    <n v="6.8"/>
    <x v="2"/>
    <n v="4.4000000000000004"/>
    <n v="-2.3999999999999995"/>
    <n v="2.1"/>
    <x v="20"/>
    <x v="14"/>
    <x v="0"/>
    <x v="1"/>
    <n v="3"/>
    <n v="2"/>
    <n v="8"/>
    <x v="0"/>
  </r>
  <r>
    <x v="6"/>
    <x v="0"/>
    <x v="0"/>
    <n v="5.2"/>
    <x v="2"/>
    <n v="5.4"/>
    <n v="0.20000000000000018"/>
    <n v="0.8"/>
    <x v="67"/>
    <x v="20"/>
    <x v="1"/>
    <x v="0"/>
    <n v="8"/>
    <n v="3"/>
    <n v="10"/>
    <x v="0"/>
  </r>
  <r>
    <x v="1"/>
    <x v="0"/>
    <x v="1"/>
    <n v="7"/>
    <x v="1"/>
    <n v="4.5"/>
    <n v="-2.5"/>
    <n v="2.2999999999999998"/>
    <x v="25"/>
    <x v="10"/>
    <x v="0"/>
    <x v="1"/>
    <n v="9"/>
    <n v="10"/>
    <n v="3"/>
    <x v="1"/>
  </r>
  <r>
    <x v="1"/>
    <x v="0"/>
    <x v="1"/>
    <n v="6.8"/>
    <x v="1"/>
    <n v="8.4"/>
    <n v="1.6000000000000005"/>
    <n v="2"/>
    <x v="134"/>
    <x v="0"/>
    <x v="0"/>
    <x v="0"/>
    <n v="7"/>
    <n v="2"/>
    <n v="2"/>
    <x v="0"/>
  </r>
  <r>
    <x v="5"/>
    <x v="1"/>
    <x v="0"/>
    <n v="3.8"/>
    <x v="1"/>
    <n v="5.3"/>
    <n v="1.5"/>
    <n v="1.5"/>
    <x v="7"/>
    <x v="0"/>
    <x v="0"/>
    <x v="1"/>
    <n v="5"/>
    <n v="10"/>
    <n v="5"/>
    <x v="0"/>
  </r>
  <r>
    <x v="0"/>
    <x v="0"/>
    <x v="0"/>
    <n v="2.9"/>
    <x v="0"/>
    <n v="7.2"/>
    <n v="4.3000000000000007"/>
    <n v="2"/>
    <x v="32"/>
    <x v="0"/>
    <x v="0"/>
    <x v="2"/>
    <n v="9"/>
    <n v="10"/>
    <n v="4"/>
    <x v="0"/>
  </r>
  <r>
    <x v="5"/>
    <x v="0"/>
    <x v="0"/>
    <n v="3.6"/>
    <x v="0"/>
    <n v="6.6"/>
    <n v="2.9999999999999996"/>
    <n v="0.7"/>
    <x v="190"/>
    <x v="13"/>
    <x v="0"/>
    <x v="0"/>
    <n v="4"/>
    <n v="1"/>
    <n v="8"/>
    <x v="0"/>
  </r>
  <r>
    <x v="6"/>
    <x v="0"/>
    <x v="0"/>
    <n v="4"/>
    <x v="2"/>
    <n v="8.3000000000000007"/>
    <n v="4.3000000000000007"/>
    <n v="0.6"/>
    <x v="65"/>
    <x v="15"/>
    <x v="0"/>
    <x v="0"/>
    <n v="2"/>
    <n v="6"/>
    <n v="1"/>
    <x v="0"/>
  </r>
  <r>
    <x v="2"/>
    <x v="1"/>
    <x v="0"/>
    <n v="7.5"/>
    <x v="2"/>
    <n v="4.7"/>
    <n v="-2.8"/>
    <n v="2.1"/>
    <x v="63"/>
    <x v="15"/>
    <x v="0"/>
    <x v="1"/>
    <n v="3"/>
    <n v="9"/>
    <n v="1"/>
    <x v="0"/>
  </r>
  <r>
    <x v="5"/>
    <x v="1"/>
    <x v="0"/>
    <n v="6"/>
    <x v="2"/>
    <n v="8.6999999999999993"/>
    <n v="2.6999999999999993"/>
    <n v="1.5"/>
    <x v="191"/>
    <x v="15"/>
    <x v="0"/>
    <x v="2"/>
    <n v="2"/>
    <n v="5"/>
    <n v="4"/>
    <x v="0"/>
  </r>
  <r>
    <x v="5"/>
    <x v="1"/>
    <x v="0"/>
    <n v="3.6"/>
    <x v="0"/>
    <n v="6.1"/>
    <n v="2.4999999999999996"/>
    <n v="2.8"/>
    <x v="164"/>
    <x v="15"/>
    <x v="0"/>
    <x v="1"/>
    <n v="2"/>
    <n v="1"/>
    <n v="7"/>
    <x v="0"/>
  </r>
  <r>
    <x v="1"/>
    <x v="0"/>
    <x v="1"/>
    <n v="4.7"/>
    <x v="2"/>
    <n v="8.1999999999999993"/>
    <n v="3.4999999999999991"/>
    <n v="1.2"/>
    <x v="59"/>
    <x v="9"/>
    <x v="0"/>
    <x v="1"/>
    <n v="5"/>
    <n v="9"/>
    <n v="9"/>
    <x v="0"/>
  </r>
  <r>
    <x v="6"/>
    <x v="0"/>
    <x v="0"/>
    <n v="2"/>
    <x v="0"/>
    <n v="6.6"/>
    <n v="4.5999999999999996"/>
    <n v="0.9"/>
    <x v="155"/>
    <x v="0"/>
    <x v="0"/>
    <x v="1"/>
    <n v="5"/>
    <n v="9"/>
    <n v="4"/>
    <x v="0"/>
  </r>
  <r>
    <x v="6"/>
    <x v="0"/>
    <x v="0"/>
    <n v="7.8"/>
    <x v="1"/>
    <n v="7.2"/>
    <n v="-0.59999999999999964"/>
    <n v="1.3"/>
    <x v="131"/>
    <x v="1"/>
    <x v="0"/>
    <x v="1"/>
    <n v="9"/>
    <n v="2"/>
    <n v="4"/>
    <x v="0"/>
  </r>
  <r>
    <x v="1"/>
    <x v="0"/>
    <x v="1"/>
    <n v="5.9"/>
    <x v="1"/>
    <n v="7.4"/>
    <n v="1.5"/>
    <n v="0.7"/>
    <x v="30"/>
    <x v="10"/>
    <x v="0"/>
    <x v="1"/>
    <n v="1"/>
    <n v="9"/>
    <n v="9"/>
    <x v="0"/>
  </r>
  <r>
    <x v="1"/>
    <x v="0"/>
    <x v="1"/>
    <n v="7.7"/>
    <x v="1"/>
    <n v="8.4"/>
    <n v="0.70000000000000018"/>
    <n v="2.8"/>
    <x v="45"/>
    <x v="18"/>
    <x v="0"/>
    <x v="2"/>
    <n v="7"/>
    <n v="6"/>
    <n v="6"/>
    <x v="0"/>
  </r>
  <r>
    <x v="6"/>
    <x v="0"/>
    <x v="0"/>
    <n v="2.2000000000000002"/>
    <x v="1"/>
    <n v="5.4"/>
    <n v="3.2"/>
    <n v="1.2"/>
    <x v="179"/>
    <x v="1"/>
    <x v="0"/>
    <x v="2"/>
    <n v="10"/>
    <n v="3"/>
    <n v="4"/>
    <x v="0"/>
  </r>
  <r>
    <x v="4"/>
    <x v="1"/>
    <x v="0"/>
    <n v="7.7"/>
    <x v="1"/>
    <n v="7.6"/>
    <n v="-0.10000000000000053"/>
    <n v="2.9"/>
    <x v="36"/>
    <x v="12"/>
    <x v="0"/>
    <x v="1"/>
    <n v="10"/>
    <n v="3"/>
    <n v="6"/>
    <x v="0"/>
  </r>
  <r>
    <x v="4"/>
    <x v="0"/>
    <x v="0"/>
    <n v="3.2"/>
    <x v="0"/>
    <n v="6"/>
    <n v="2.8"/>
    <n v="1.5"/>
    <x v="86"/>
    <x v="0"/>
    <x v="0"/>
    <x v="1"/>
    <n v="9"/>
    <n v="7"/>
    <n v="10"/>
    <x v="0"/>
  </r>
  <r>
    <x v="5"/>
    <x v="0"/>
    <x v="0"/>
    <n v="2"/>
    <x v="1"/>
    <n v="7.8"/>
    <n v="5.8"/>
    <n v="0.5"/>
    <x v="171"/>
    <x v="3"/>
    <x v="0"/>
    <x v="1"/>
    <n v="10"/>
    <n v="2"/>
    <n v="4"/>
    <x v="0"/>
  </r>
  <r>
    <x v="3"/>
    <x v="1"/>
    <x v="0"/>
    <n v="6.2"/>
    <x v="2"/>
    <n v="5.2"/>
    <n v="-1"/>
    <n v="1"/>
    <x v="75"/>
    <x v="3"/>
    <x v="0"/>
    <x v="0"/>
    <n v="5"/>
    <n v="2"/>
    <n v="7"/>
    <x v="0"/>
  </r>
  <r>
    <x v="1"/>
    <x v="1"/>
    <x v="1"/>
    <n v="2.4"/>
    <x v="0"/>
    <n v="8.6999999999999993"/>
    <n v="6.2999999999999989"/>
    <n v="1.6"/>
    <x v="6"/>
    <x v="15"/>
    <x v="0"/>
    <x v="2"/>
    <n v="2"/>
    <n v="9"/>
    <n v="7"/>
    <x v="0"/>
  </r>
  <r>
    <x v="3"/>
    <x v="0"/>
    <x v="0"/>
    <n v="3.4"/>
    <x v="2"/>
    <n v="8"/>
    <n v="4.5999999999999996"/>
    <n v="1"/>
    <x v="29"/>
    <x v="19"/>
    <x v="0"/>
    <x v="1"/>
    <n v="4"/>
    <n v="7"/>
    <n v="6"/>
    <x v="0"/>
  </r>
  <r>
    <x v="1"/>
    <x v="0"/>
    <x v="1"/>
    <n v="6"/>
    <x v="0"/>
    <n v="4.2"/>
    <n v="-1.7999999999999998"/>
    <n v="0.9"/>
    <x v="103"/>
    <x v="1"/>
    <x v="0"/>
    <x v="2"/>
    <n v="7"/>
    <n v="9"/>
    <n v="9"/>
    <x v="1"/>
  </r>
  <r>
    <x v="5"/>
    <x v="1"/>
    <x v="0"/>
    <n v="5.3"/>
    <x v="2"/>
    <n v="5.6"/>
    <n v="0.29999999999999982"/>
    <n v="2.5"/>
    <x v="60"/>
    <x v="6"/>
    <x v="0"/>
    <x v="2"/>
    <n v="7"/>
    <n v="10"/>
    <n v="4"/>
    <x v="1"/>
  </r>
  <r>
    <x v="2"/>
    <x v="1"/>
    <x v="0"/>
    <n v="5.5"/>
    <x v="0"/>
    <n v="6.3"/>
    <n v="0.79999999999999982"/>
    <n v="0.8"/>
    <x v="14"/>
    <x v="16"/>
    <x v="0"/>
    <x v="1"/>
    <n v="6"/>
    <n v="8"/>
    <n v="7"/>
    <x v="0"/>
  </r>
  <r>
    <x v="2"/>
    <x v="0"/>
    <x v="0"/>
    <n v="3.6"/>
    <x v="2"/>
    <n v="6.1"/>
    <n v="2.4999999999999996"/>
    <n v="2.8"/>
    <x v="67"/>
    <x v="4"/>
    <x v="0"/>
    <x v="0"/>
    <n v="6"/>
    <n v="8"/>
    <n v="5"/>
    <x v="0"/>
  </r>
  <r>
    <x v="2"/>
    <x v="1"/>
    <x v="0"/>
    <n v="3.7"/>
    <x v="0"/>
    <n v="6.3"/>
    <n v="2.5999999999999996"/>
    <n v="1.3"/>
    <x v="109"/>
    <x v="8"/>
    <x v="0"/>
    <x v="2"/>
    <n v="2"/>
    <n v="6"/>
    <n v="9"/>
    <x v="0"/>
  </r>
  <r>
    <x v="5"/>
    <x v="1"/>
    <x v="0"/>
    <n v="7.4"/>
    <x v="0"/>
    <n v="7.4"/>
    <n v="0"/>
    <n v="0.9"/>
    <x v="76"/>
    <x v="6"/>
    <x v="0"/>
    <x v="2"/>
    <n v="10"/>
    <n v="6"/>
    <n v="2"/>
    <x v="0"/>
  </r>
  <r>
    <x v="6"/>
    <x v="0"/>
    <x v="0"/>
    <n v="5.3"/>
    <x v="0"/>
    <n v="6"/>
    <n v="0.70000000000000018"/>
    <n v="1"/>
    <x v="162"/>
    <x v="5"/>
    <x v="0"/>
    <x v="1"/>
    <n v="3"/>
    <n v="8"/>
    <n v="5"/>
    <x v="0"/>
  </r>
  <r>
    <x v="4"/>
    <x v="1"/>
    <x v="0"/>
    <n v="4.8"/>
    <x v="0"/>
    <n v="5.5"/>
    <n v="0.70000000000000018"/>
    <n v="1.8"/>
    <x v="194"/>
    <x v="4"/>
    <x v="0"/>
    <x v="0"/>
    <n v="6"/>
    <n v="2"/>
    <n v="5"/>
    <x v="0"/>
  </r>
  <r>
    <x v="6"/>
    <x v="0"/>
    <x v="0"/>
    <n v="3.4"/>
    <x v="1"/>
    <n v="4.5"/>
    <n v="1.1000000000000001"/>
    <n v="0.5"/>
    <x v="65"/>
    <x v="19"/>
    <x v="0"/>
    <x v="2"/>
    <n v="1"/>
    <n v="10"/>
    <n v="1"/>
    <x v="0"/>
  </r>
  <r>
    <x v="2"/>
    <x v="1"/>
    <x v="0"/>
    <n v="7"/>
    <x v="1"/>
    <n v="8.9"/>
    <n v="1.9000000000000004"/>
    <n v="0.6"/>
    <x v="129"/>
    <x v="18"/>
    <x v="0"/>
    <x v="2"/>
    <n v="9"/>
    <n v="2"/>
    <n v="4"/>
    <x v="0"/>
  </r>
  <r>
    <x v="3"/>
    <x v="0"/>
    <x v="0"/>
    <n v="5.4"/>
    <x v="0"/>
    <n v="7.2"/>
    <n v="1.7999999999999998"/>
    <n v="1.2"/>
    <x v="81"/>
    <x v="6"/>
    <x v="0"/>
    <x v="1"/>
    <n v="7"/>
    <n v="8"/>
    <n v="1"/>
    <x v="0"/>
  </r>
  <r>
    <x v="2"/>
    <x v="0"/>
    <x v="0"/>
    <n v="5.3"/>
    <x v="0"/>
    <n v="6.4"/>
    <n v="1.1000000000000005"/>
    <n v="2.9"/>
    <x v="156"/>
    <x v="8"/>
    <x v="0"/>
    <x v="0"/>
    <n v="3"/>
    <n v="8"/>
    <n v="3"/>
    <x v="0"/>
  </r>
  <r>
    <x v="0"/>
    <x v="0"/>
    <x v="0"/>
    <n v="1.8"/>
    <x v="2"/>
    <n v="5.0999999999999996"/>
    <n v="3.3"/>
    <n v="2.7"/>
    <x v="73"/>
    <x v="18"/>
    <x v="0"/>
    <x v="0"/>
    <n v="8"/>
    <n v="4"/>
    <n v="6"/>
    <x v="0"/>
  </r>
  <r>
    <x v="3"/>
    <x v="0"/>
    <x v="0"/>
    <n v="4.5"/>
    <x v="1"/>
    <n v="6.2"/>
    <n v="1.7000000000000002"/>
    <n v="2.8"/>
    <x v="160"/>
    <x v="15"/>
    <x v="0"/>
    <x v="1"/>
    <n v="2"/>
    <n v="3"/>
    <n v="5"/>
    <x v="0"/>
  </r>
  <r>
    <x v="2"/>
    <x v="1"/>
    <x v="0"/>
    <n v="5.4"/>
    <x v="1"/>
    <n v="7.1"/>
    <n v="1.6999999999999993"/>
    <n v="2.5"/>
    <x v="170"/>
    <x v="16"/>
    <x v="0"/>
    <x v="0"/>
    <n v="3"/>
    <n v="5"/>
    <n v="7"/>
    <x v="0"/>
  </r>
  <r>
    <x v="6"/>
    <x v="0"/>
    <x v="0"/>
    <n v="3.6"/>
    <x v="0"/>
    <n v="8.6"/>
    <n v="5"/>
    <n v="0.7"/>
    <x v="156"/>
    <x v="18"/>
    <x v="0"/>
    <x v="2"/>
    <n v="2"/>
    <n v="6"/>
    <n v="8"/>
    <x v="0"/>
  </r>
  <r>
    <x v="0"/>
    <x v="1"/>
    <x v="0"/>
    <n v="5.7"/>
    <x v="0"/>
    <n v="8.9"/>
    <n v="3.2"/>
    <n v="0.7"/>
    <x v="96"/>
    <x v="6"/>
    <x v="0"/>
    <x v="1"/>
    <n v="10"/>
    <n v="4"/>
    <n v="3"/>
    <x v="0"/>
  </r>
  <r>
    <x v="3"/>
    <x v="1"/>
    <x v="0"/>
    <n v="5.5"/>
    <x v="2"/>
    <n v="7.3"/>
    <n v="1.7999999999999998"/>
    <n v="2.5"/>
    <x v="129"/>
    <x v="12"/>
    <x v="0"/>
    <x v="0"/>
    <n v="4"/>
    <n v="3"/>
    <n v="6"/>
    <x v="0"/>
  </r>
  <r>
    <x v="0"/>
    <x v="1"/>
    <x v="0"/>
    <n v="5.3"/>
    <x v="2"/>
    <n v="4.7"/>
    <n v="-0.59999999999999964"/>
    <n v="1.1000000000000001"/>
    <x v="119"/>
    <x v="17"/>
    <x v="0"/>
    <x v="1"/>
    <n v="10"/>
    <n v="8"/>
    <n v="10"/>
    <x v="1"/>
  </r>
  <r>
    <x v="3"/>
    <x v="0"/>
    <x v="0"/>
    <n v="2.7"/>
    <x v="0"/>
    <n v="5.4"/>
    <n v="2.7"/>
    <n v="1.6"/>
    <x v="172"/>
    <x v="11"/>
    <x v="0"/>
    <x v="1"/>
    <n v="2"/>
    <n v="6"/>
    <n v="8"/>
    <x v="0"/>
  </r>
  <r>
    <x v="0"/>
    <x v="0"/>
    <x v="0"/>
    <n v="6.4"/>
    <x v="0"/>
    <n v="5.6"/>
    <n v="-0.80000000000000071"/>
    <n v="0.8"/>
    <x v="94"/>
    <x v="13"/>
    <x v="0"/>
    <x v="2"/>
    <n v="5"/>
    <n v="1"/>
    <n v="3"/>
    <x v="0"/>
  </r>
  <r>
    <x v="5"/>
    <x v="0"/>
    <x v="0"/>
    <n v="5"/>
    <x v="1"/>
    <n v="6.3"/>
    <n v="1.2999999999999998"/>
    <n v="3"/>
    <x v="82"/>
    <x v="16"/>
    <x v="0"/>
    <x v="2"/>
    <n v="5"/>
    <n v="10"/>
    <n v="3"/>
    <x v="0"/>
  </r>
  <r>
    <x v="6"/>
    <x v="1"/>
    <x v="0"/>
    <n v="2.5"/>
    <x v="0"/>
    <n v="4.5999999999999996"/>
    <n v="2.0999999999999996"/>
    <n v="1.6"/>
    <x v="1"/>
    <x v="7"/>
    <x v="0"/>
    <x v="2"/>
    <n v="6"/>
    <n v="4"/>
    <n v="3"/>
    <x v="0"/>
  </r>
  <r>
    <x v="4"/>
    <x v="0"/>
    <x v="0"/>
    <n v="2.2000000000000002"/>
    <x v="2"/>
    <n v="4.5"/>
    <n v="2.2999999999999998"/>
    <n v="2"/>
    <x v="163"/>
    <x v="1"/>
    <x v="0"/>
    <x v="1"/>
    <n v="1"/>
    <n v="7"/>
    <n v="6"/>
    <x v="0"/>
  </r>
  <r>
    <x v="5"/>
    <x v="0"/>
    <x v="0"/>
    <n v="4.0999999999999996"/>
    <x v="2"/>
    <n v="5.5"/>
    <n v="1.4000000000000004"/>
    <n v="1.9"/>
    <x v="49"/>
    <x v="0"/>
    <x v="0"/>
    <x v="0"/>
    <n v="5"/>
    <n v="7"/>
    <n v="9"/>
    <x v="0"/>
  </r>
  <r>
    <x v="5"/>
    <x v="1"/>
    <x v="0"/>
    <n v="2.8"/>
    <x v="1"/>
    <n v="7.4"/>
    <n v="4.6000000000000005"/>
    <n v="2"/>
    <x v="72"/>
    <x v="16"/>
    <x v="0"/>
    <x v="0"/>
    <n v="4"/>
    <n v="1"/>
    <n v="1"/>
    <x v="0"/>
  </r>
  <r>
    <x v="2"/>
    <x v="1"/>
    <x v="0"/>
    <n v="1.1000000000000001"/>
    <x v="1"/>
    <n v="8.1999999999999993"/>
    <n v="7.1"/>
    <n v="2.7"/>
    <x v="33"/>
    <x v="18"/>
    <x v="0"/>
    <x v="1"/>
    <n v="2"/>
    <n v="4"/>
    <n v="1"/>
    <x v="0"/>
  </r>
  <r>
    <x v="6"/>
    <x v="0"/>
    <x v="0"/>
    <n v="7"/>
    <x v="2"/>
    <n v="5.7"/>
    <n v="-1.2999999999999998"/>
    <n v="1.6"/>
    <x v="133"/>
    <x v="9"/>
    <x v="0"/>
    <x v="2"/>
    <n v="7"/>
    <n v="1"/>
    <n v="10"/>
    <x v="0"/>
  </r>
  <r>
    <x v="4"/>
    <x v="0"/>
    <x v="0"/>
    <n v="2.6"/>
    <x v="1"/>
    <n v="7.9"/>
    <n v="5.3000000000000007"/>
    <n v="2.2999999999999998"/>
    <x v="34"/>
    <x v="15"/>
    <x v="0"/>
    <x v="1"/>
    <n v="5"/>
    <n v="1"/>
    <n v="6"/>
    <x v="0"/>
  </r>
  <r>
    <x v="6"/>
    <x v="1"/>
    <x v="0"/>
    <n v="2.6"/>
    <x v="1"/>
    <n v="6.1"/>
    <n v="3.4999999999999996"/>
    <n v="1.4"/>
    <x v="15"/>
    <x v="14"/>
    <x v="0"/>
    <x v="1"/>
    <n v="7"/>
    <n v="5"/>
    <n v="10"/>
    <x v="0"/>
  </r>
  <r>
    <x v="0"/>
    <x v="0"/>
    <x v="0"/>
    <n v="3.4"/>
    <x v="0"/>
    <n v="4.5999999999999996"/>
    <n v="1.1999999999999997"/>
    <n v="2"/>
    <x v="42"/>
    <x v="13"/>
    <x v="0"/>
    <x v="1"/>
    <n v="7"/>
    <n v="10"/>
    <n v="6"/>
    <x v="0"/>
  </r>
  <r>
    <x v="0"/>
    <x v="0"/>
    <x v="0"/>
    <n v="7.9"/>
    <x v="0"/>
    <n v="5.7"/>
    <n v="-2.2000000000000002"/>
    <n v="1.6"/>
    <x v="129"/>
    <x v="4"/>
    <x v="0"/>
    <x v="2"/>
    <n v="4"/>
    <n v="3"/>
    <n v="4"/>
    <x v="0"/>
  </r>
  <r>
    <x v="6"/>
    <x v="0"/>
    <x v="0"/>
    <n v="5.0999999999999996"/>
    <x v="1"/>
    <n v="5.3"/>
    <n v="0.20000000000000018"/>
    <n v="2.6"/>
    <x v="70"/>
    <x v="9"/>
    <x v="0"/>
    <x v="2"/>
    <n v="2"/>
    <n v="6"/>
    <n v="10"/>
    <x v="0"/>
  </r>
  <r>
    <x v="6"/>
    <x v="1"/>
    <x v="0"/>
    <n v="2.8"/>
    <x v="2"/>
    <n v="6.4"/>
    <n v="3.6000000000000005"/>
    <n v="1.4"/>
    <x v="19"/>
    <x v="3"/>
    <x v="0"/>
    <x v="2"/>
    <n v="4"/>
    <n v="8"/>
    <n v="10"/>
    <x v="0"/>
  </r>
  <r>
    <x v="1"/>
    <x v="1"/>
    <x v="1"/>
    <n v="3.4"/>
    <x v="1"/>
    <n v="4.3"/>
    <n v="0.89999999999999991"/>
    <n v="0.7"/>
    <x v="96"/>
    <x v="5"/>
    <x v="0"/>
    <x v="1"/>
    <n v="3"/>
    <n v="1"/>
    <n v="4"/>
    <x v="0"/>
  </r>
  <r>
    <x v="4"/>
    <x v="0"/>
    <x v="0"/>
    <n v="6.3"/>
    <x v="2"/>
    <n v="6.9"/>
    <n v="0.60000000000000053"/>
    <n v="1"/>
    <x v="1"/>
    <x v="1"/>
    <x v="0"/>
    <x v="2"/>
    <n v="4"/>
    <n v="6"/>
    <n v="1"/>
    <x v="0"/>
  </r>
  <r>
    <x v="2"/>
    <x v="1"/>
    <x v="0"/>
    <n v="1.1000000000000001"/>
    <x v="1"/>
    <n v="4.5999999999999996"/>
    <n v="3.4999999999999996"/>
    <n v="2.5"/>
    <x v="165"/>
    <x v="11"/>
    <x v="0"/>
    <x v="1"/>
    <n v="10"/>
    <n v="6"/>
    <n v="2"/>
    <x v="0"/>
  </r>
  <r>
    <x v="1"/>
    <x v="0"/>
    <x v="1"/>
    <n v="3.8"/>
    <x v="0"/>
    <n v="7.1"/>
    <n v="3.3"/>
    <n v="2.5"/>
    <x v="36"/>
    <x v="7"/>
    <x v="0"/>
    <x v="0"/>
    <n v="6"/>
    <n v="9"/>
    <n v="4"/>
    <x v="0"/>
  </r>
  <r>
    <x v="6"/>
    <x v="0"/>
    <x v="0"/>
    <n v="2.1"/>
    <x v="0"/>
    <n v="4.0999999999999996"/>
    <n v="1.9999999999999996"/>
    <n v="1.6"/>
    <x v="168"/>
    <x v="17"/>
    <x v="0"/>
    <x v="1"/>
    <n v="10"/>
    <n v="9"/>
    <n v="6"/>
    <x v="0"/>
  </r>
  <r>
    <x v="2"/>
    <x v="1"/>
    <x v="0"/>
    <n v="6.2"/>
    <x v="2"/>
    <n v="6.1"/>
    <n v="-0.10000000000000053"/>
    <n v="2.4"/>
    <x v="28"/>
    <x v="17"/>
    <x v="0"/>
    <x v="1"/>
    <n v="3"/>
    <n v="6"/>
    <n v="8"/>
    <x v="0"/>
  </r>
  <r>
    <x v="1"/>
    <x v="0"/>
    <x v="1"/>
    <n v="6.8"/>
    <x v="0"/>
    <n v="8.4"/>
    <n v="1.6000000000000005"/>
    <n v="2.1"/>
    <x v="54"/>
    <x v="20"/>
    <x v="1"/>
    <x v="2"/>
    <n v="4"/>
    <n v="10"/>
    <n v="1"/>
    <x v="0"/>
  </r>
  <r>
    <x v="0"/>
    <x v="0"/>
    <x v="0"/>
    <n v="5.2"/>
    <x v="0"/>
    <n v="5.5"/>
    <n v="0.29999999999999982"/>
    <n v="1.6"/>
    <x v="16"/>
    <x v="12"/>
    <x v="0"/>
    <x v="2"/>
    <n v="3"/>
    <n v="8"/>
    <n v="1"/>
    <x v="0"/>
  </r>
  <r>
    <x v="3"/>
    <x v="0"/>
    <x v="0"/>
    <n v="3.7"/>
    <x v="2"/>
    <n v="4"/>
    <n v="0.29999999999999982"/>
    <n v="0.9"/>
    <x v="61"/>
    <x v="3"/>
    <x v="0"/>
    <x v="2"/>
    <n v="1"/>
    <n v="8"/>
    <n v="10"/>
    <x v="0"/>
  </r>
  <r>
    <x v="1"/>
    <x v="0"/>
    <x v="1"/>
    <n v="2.4"/>
    <x v="2"/>
    <n v="7.5"/>
    <n v="5.0999999999999996"/>
    <n v="1.8"/>
    <x v="188"/>
    <x v="3"/>
    <x v="0"/>
    <x v="0"/>
    <n v="3"/>
    <n v="8"/>
    <n v="6"/>
    <x v="0"/>
  </r>
  <r>
    <x v="6"/>
    <x v="0"/>
    <x v="0"/>
    <n v="2.1"/>
    <x v="1"/>
    <n v="5.8"/>
    <n v="3.6999999999999997"/>
    <n v="2.7"/>
    <x v="26"/>
    <x v="13"/>
    <x v="0"/>
    <x v="0"/>
    <n v="4"/>
    <n v="6"/>
    <n v="6"/>
    <x v="0"/>
  </r>
  <r>
    <x v="2"/>
    <x v="1"/>
    <x v="0"/>
    <n v="2.6"/>
    <x v="1"/>
    <n v="4.2"/>
    <n v="1.6"/>
    <n v="0.7"/>
    <x v="195"/>
    <x v="16"/>
    <x v="0"/>
    <x v="0"/>
    <n v="7"/>
    <n v="4"/>
    <n v="7"/>
    <x v="0"/>
  </r>
  <r>
    <x v="1"/>
    <x v="0"/>
    <x v="1"/>
    <n v="6.5"/>
    <x v="0"/>
    <n v="6"/>
    <n v="-0.5"/>
    <n v="1.5"/>
    <x v="168"/>
    <x v="10"/>
    <x v="0"/>
    <x v="2"/>
    <n v="8"/>
    <n v="5"/>
    <n v="7"/>
    <x v="0"/>
  </r>
  <r>
    <x v="5"/>
    <x v="1"/>
    <x v="0"/>
    <n v="3.4"/>
    <x v="0"/>
    <n v="5.3"/>
    <n v="1.9"/>
    <n v="1.8"/>
    <x v="122"/>
    <x v="11"/>
    <x v="0"/>
    <x v="0"/>
    <n v="9"/>
    <n v="2"/>
    <n v="4"/>
    <x v="0"/>
  </r>
  <r>
    <x v="5"/>
    <x v="0"/>
    <x v="0"/>
    <n v="1.7"/>
    <x v="2"/>
    <n v="4.3"/>
    <n v="2.5999999999999996"/>
    <n v="1.4"/>
    <x v="30"/>
    <x v="9"/>
    <x v="0"/>
    <x v="2"/>
    <n v="10"/>
    <n v="4"/>
    <n v="10"/>
    <x v="0"/>
  </r>
  <r>
    <x v="6"/>
    <x v="0"/>
    <x v="0"/>
    <n v="5.6"/>
    <x v="2"/>
    <n v="4.4000000000000004"/>
    <n v="-1.1999999999999993"/>
    <n v="2.9"/>
    <x v="102"/>
    <x v="7"/>
    <x v="0"/>
    <x v="2"/>
    <n v="6"/>
    <n v="3"/>
    <n v="4"/>
    <x v="0"/>
  </r>
  <r>
    <x v="3"/>
    <x v="1"/>
    <x v="0"/>
    <n v="8"/>
    <x v="2"/>
    <n v="5.7"/>
    <n v="-2.2999999999999998"/>
    <n v="1.3"/>
    <x v="146"/>
    <x v="15"/>
    <x v="0"/>
    <x v="1"/>
    <n v="9"/>
    <n v="7"/>
    <n v="5"/>
    <x v="1"/>
  </r>
  <r>
    <x v="3"/>
    <x v="1"/>
    <x v="0"/>
    <n v="5.7"/>
    <x v="0"/>
    <n v="8.4"/>
    <n v="2.7"/>
    <n v="1.3"/>
    <x v="142"/>
    <x v="7"/>
    <x v="0"/>
    <x v="1"/>
    <n v="5"/>
    <n v="2"/>
    <n v="4"/>
    <x v="0"/>
  </r>
  <r>
    <x v="5"/>
    <x v="1"/>
    <x v="0"/>
    <n v="4"/>
    <x v="1"/>
    <n v="5.4"/>
    <n v="1.4000000000000004"/>
    <n v="2.7"/>
    <x v="182"/>
    <x v="9"/>
    <x v="0"/>
    <x v="2"/>
    <n v="4"/>
    <n v="10"/>
    <n v="1"/>
    <x v="0"/>
  </r>
  <r>
    <x v="6"/>
    <x v="1"/>
    <x v="0"/>
    <n v="3.5"/>
    <x v="0"/>
    <n v="5.3"/>
    <n v="1.7999999999999998"/>
    <n v="1.7"/>
    <x v="150"/>
    <x v="1"/>
    <x v="0"/>
    <x v="1"/>
    <n v="6"/>
    <n v="10"/>
    <n v="8"/>
    <x v="0"/>
  </r>
  <r>
    <x v="3"/>
    <x v="1"/>
    <x v="0"/>
    <n v="4.2"/>
    <x v="1"/>
    <n v="5.5"/>
    <n v="1.2999999999999998"/>
    <n v="1.3"/>
    <x v="159"/>
    <x v="12"/>
    <x v="0"/>
    <x v="0"/>
    <n v="2"/>
    <n v="5"/>
    <n v="2"/>
    <x v="0"/>
  </r>
  <r>
    <x v="1"/>
    <x v="1"/>
    <x v="1"/>
    <n v="3.9"/>
    <x v="1"/>
    <n v="7.4"/>
    <n v="3.5000000000000004"/>
    <n v="2.5"/>
    <x v="196"/>
    <x v="11"/>
    <x v="0"/>
    <x v="2"/>
    <n v="5"/>
    <n v="8"/>
    <n v="3"/>
    <x v="0"/>
  </r>
  <r>
    <x v="2"/>
    <x v="1"/>
    <x v="0"/>
    <n v="6.7"/>
    <x v="0"/>
    <n v="4.3"/>
    <n v="-2.4000000000000004"/>
    <n v="0.6"/>
    <x v="191"/>
    <x v="2"/>
    <x v="0"/>
    <x v="0"/>
    <n v="2"/>
    <n v="1"/>
    <n v="7"/>
    <x v="0"/>
  </r>
  <r>
    <x v="3"/>
    <x v="0"/>
    <x v="0"/>
    <n v="6.7"/>
    <x v="2"/>
    <n v="4.3"/>
    <n v="-2.4000000000000004"/>
    <n v="1.8"/>
    <x v="20"/>
    <x v="5"/>
    <x v="0"/>
    <x v="1"/>
    <n v="2"/>
    <n v="8"/>
    <n v="7"/>
    <x v="0"/>
  </r>
  <r>
    <x v="0"/>
    <x v="1"/>
    <x v="0"/>
    <n v="3.4"/>
    <x v="0"/>
    <n v="5.6"/>
    <n v="2.1999999999999997"/>
    <n v="1.7"/>
    <x v="193"/>
    <x v="11"/>
    <x v="0"/>
    <x v="1"/>
    <n v="9"/>
    <n v="3"/>
    <n v="1"/>
    <x v="0"/>
  </r>
  <r>
    <x v="5"/>
    <x v="0"/>
    <x v="0"/>
    <n v="5"/>
    <x v="1"/>
    <n v="4.3"/>
    <n v="-0.70000000000000018"/>
    <n v="0.7"/>
    <x v="119"/>
    <x v="9"/>
    <x v="0"/>
    <x v="0"/>
    <n v="6"/>
    <n v="2"/>
    <n v="4"/>
    <x v="0"/>
  </r>
  <r>
    <x v="4"/>
    <x v="1"/>
    <x v="0"/>
    <n v="3.8"/>
    <x v="0"/>
    <n v="5.9"/>
    <n v="2.1000000000000005"/>
    <n v="1"/>
    <x v="40"/>
    <x v="4"/>
    <x v="0"/>
    <x v="0"/>
    <n v="9"/>
    <n v="10"/>
    <n v="9"/>
    <x v="0"/>
  </r>
  <r>
    <x v="3"/>
    <x v="1"/>
    <x v="0"/>
    <n v="7.3"/>
    <x v="1"/>
    <n v="7.3"/>
    <n v="0"/>
    <n v="2.8"/>
    <x v="132"/>
    <x v="11"/>
    <x v="0"/>
    <x v="0"/>
    <n v="2"/>
    <n v="7"/>
    <n v="5"/>
    <x v="0"/>
  </r>
  <r>
    <x v="4"/>
    <x v="1"/>
    <x v="0"/>
    <n v="7.2"/>
    <x v="1"/>
    <n v="5"/>
    <n v="-2.2000000000000002"/>
    <n v="1.4"/>
    <x v="44"/>
    <x v="8"/>
    <x v="0"/>
    <x v="0"/>
    <n v="8"/>
    <n v="8"/>
    <n v="4"/>
    <x v="1"/>
  </r>
  <r>
    <x v="3"/>
    <x v="1"/>
    <x v="0"/>
    <n v="3.1"/>
    <x v="2"/>
    <n v="4.2"/>
    <n v="1.1000000000000001"/>
    <n v="2.1"/>
    <x v="123"/>
    <x v="8"/>
    <x v="0"/>
    <x v="2"/>
    <n v="8"/>
    <n v="2"/>
    <n v="10"/>
    <x v="0"/>
  </r>
  <r>
    <x v="3"/>
    <x v="1"/>
    <x v="0"/>
    <n v="8"/>
    <x v="0"/>
    <n v="4.4000000000000004"/>
    <n v="-3.5999999999999996"/>
    <n v="0.7"/>
    <x v="104"/>
    <x v="16"/>
    <x v="0"/>
    <x v="1"/>
    <n v="6"/>
    <n v="7"/>
    <n v="2"/>
    <x v="0"/>
  </r>
  <r>
    <x v="3"/>
    <x v="0"/>
    <x v="0"/>
    <n v="4.3"/>
    <x v="0"/>
    <n v="7.5"/>
    <n v="3.2"/>
    <n v="1.1000000000000001"/>
    <x v="35"/>
    <x v="17"/>
    <x v="0"/>
    <x v="2"/>
    <n v="5"/>
    <n v="7"/>
    <n v="2"/>
    <x v="0"/>
  </r>
  <r>
    <x v="0"/>
    <x v="1"/>
    <x v="0"/>
    <n v="4"/>
    <x v="1"/>
    <n v="5.0999999999999996"/>
    <n v="1.0999999999999996"/>
    <n v="1.1000000000000001"/>
    <x v="185"/>
    <x v="6"/>
    <x v="0"/>
    <x v="2"/>
    <n v="5"/>
    <n v="4"/>
    <n v="9"/>
    <x v="0"/>
  </r>
  <r>
    <x v="3"/>
    <x v="0"/>
    <x v="0"/>
    <n v="6.9"/>
    <x v="1"/>
    <n v="5.6"/>
    <n v="-1.3000000000000007"/>
    <n v="1.4"/>
    <x v="141"/>
    <x v="5"/>
    <x v="0"/>
    <x v="0"/>
    <n v="9"/>
    <n v="5"/>
    <n v="9"/>
    <x v="0"/>
  </r>
  <r>
    <x v="6"/>
    <x v="0"/>
    <x v="0"/>
    <n v="7"/>
    <x v="1"/>
    <n v="4.4000000000000004"/>
    <n v="-2.5999999999999996"/>
    <n v="0.9"/>
    <x v="129"/>
    <x v="14"/>
    <x v="0"/>
    <x v="0"/>
    <n v="5"/>
    <n v="3"/>
    <n v="6"/>
    <x v="0"/>
  </r>
  <r>
    <x v="6"/>
    <x v="0"/>
    <x v="0"/>
    <n v="6.2"/>
    <x v="0"/>
    <n v="8.6"/>
    <n v="2.3999999999999995"/>
    <n v="1.8"/>
    <x v="69"/>
    <x v="5"/>
    <x v="0"/>
    <x v="1"/>
    <n v="8"/>
    <n v="4"/>
    <n v="7"/>
    <x v="0"/>
  </r>
  <r>
    <x v="3"/>
    <x v="0"/>
    <x v="0"/>
    <n v="7.7"/>
    <x v="0"/>
    <n v="8"/>
    <n v="0.29999999999999982"/>
    <n v="1.3"/>
    <x v="197"/>
    <x v="8"/>
    <x v="0"/>
    <x v="2"/>
    <n v="1"/>
    <n v="6"/>
    <n v="5"/>
    <x v="0"/>
  </r>
  <r>
    <x v="1"/>
    <x v="1"/>
    <x v="1"/>
    <n v="5.0999999999999996"/>
    <x v="2"/>
    <n v="6.3"/>
    <n v="1.2000000000000002"/>
    <n v="2.2999999999999998"/>
    <x v="63"/>
    <x v="20"/>
    <x v="1"/>
    <x v="2"/>
    <n v="6"/>
    <n v="9"/>
    <n v="7"/>
    <x v="0"/>
  </r>
  <r>
    <x v="3"/>
    <x v="0"/>
    <x v="0"/>
    <n v="1"/>
    <x v="1"/>
    <n v="8.5"/>
    <n v="7.5"/>
    <n v="2"/>
    <x v="8"/>
    <x v="13"/>
    <x v="0"/>
    <x v="1"/>
    <n v="4"/>
    <n v="1"/>
    <n v="7"/>
    <x v="0"/>
  </r>
  <r>
    <x v="3"/>
    <x v="1"/>
    <x v="0"/>
    <n v="1.1000000000000001"/>
    <x v="0"/>
    <n v="4.5999999999999996"/>
    <n v="3.4999999999999996"/>
    <n v="1.8"/>
    <x v="188"/>
    <x v="8"/>
    <x v="0"/>
    <x v="2"/>
    <n v="10"/>
    <n v="6"/>
    <n v="6"/>
    <x v="0"/>
  </r>
  <r>
    <x v="6"/>
    <x v="1"/>
    <x v="0"/>
    <n v="7"/>
    <x v="0"/>
    <n v="4.9000000000000004"/>
    <n v="-2.0999999999999996"/>
    <n v="1.2"/>
    <x v="117"/>
    <x v="18"/>
    <x v="0"/>
    <x v="2"/>
    <n v="2"/>
    <n v="3"/>
    <n v="5"/>
    <x v="0"/>
  </r>
  <r>
    <x v="3"/>
    <x v="1"/>
    <x v="0"/>
    <n v="2.7"/>
    <x v="2"/>
    <n v="7.8"/>
    <n v="5.0999999999999996"/>
    <n v="1.8"/>
    <x v="62"/>
    <x v="3"/>
    <x v="0"/>
    <x v="0"/>
    <n v="5"/>
    <n v="8"/>
    <n v="9"/>
    <x v="0"/>
  </r>
  <r>
    <x v="4"/>
    <x v="0"/>
    <x v="0"/>
    <n v="2.5"/>
    <x v="0"/>
    <n v="4.2"/>
    <n v="1.7000000000000002"/>
    <n v="1.4"/>
    <x v="62"/>
    <x v="5"/>
    <x v="0"/>
    <x v="1"/>
    <n v="5"/>
    <n v="2"/>
    <n v="3"/>
    <x v="0"/>
  </r>
  <r>
    <x v="4"/>
    <x v="1"/>
    <x v="0"/>
    <n v="2.2999999999999998"/>
    <x v="1"/>
    <n v="4.3"/>
    <n v="2"/>
    <n v="0.9"/>
    <x v="30"/>
    <x v="15"/>
    <x v="0"/>
    <x v="1"/>
    <n v="5"/>
    <n v="9"/>
    <n v="10"/>
    <x v="0"/>
  </r>
  <r>
    <x v="2"/>
    <x v="1"/>
    <x v="0"/>
    <n v="2.7"/>
    <x v="1"/>
    <n v="6.6"/>
    <n v="3.8999999999999995"/>
    <n v="1.6"/>
    <x v="86"/>
    <x v="16"/>
    <x v="0"/>
    <x v="1"/>
    <n v="3"/>
    <n v="1"/>
    <n v="2"/>
    <x v="0"/>
  </r>
  <r>
    <x v="0"/>
    <x v="0"/>
    <x v="0"/>
    <n v="3.2"/>
    <x v="0"/>
    <n v="5.4"/>
    <n v="2.2000000000000002"/>
    <n v="2.6"/>
    <x v="100"/>
    <x v="7"/>
    <x v="0"/>
    <x v="0"/>
    <n v="9"/>
    <n v="1"/>
    <n v="7"/>
    <x v="0"/>
  </r>
  <r>
    <x v="4"/>
    <x v="1"/>
    <x v="0"/>
    <n v="3.8"/>
    <x v="2"/>
    <n v="5.3"/>
    <n v="1.5"/>
    <n v="2.2999999999999998"/>
    <x v="37"/>
    <x v="14"/>
    <x v="0"/>
    <x v="0"/>
    <n v="4"/>
    <n v="8"/>
    <n v="2"/>
    <x v="0"/>
  </r>
  <r>
    <x v="0"/>
    <x v="1"/>
    <x v="0"/>
    <n v="4.0999999999999996"/>
    <x v="1"/>
    <n v="5.4"/>
    <n v="1.3000000000000007"/>
    <n v="2.4"/>
    <x v="127"/>
    <x v="6"/>
    <x v="0"/>
    <x v="0"/>
    <n v="9"/>
    <n v="5"/>
    <n v="10"/>
    <x v="0"/>
  </r>
  <r>
    <x v="6"/>
    <x v="1"/>
    <x v="0"/>
    <n v="2.2999999999999998"/>
    <x v="1"/>
    <n v="6.6"/>
    <n v="4.3"/>
    <n v="1.4"/>
    <x v="196"/>
    <x v="0"/>
    <x v="0"/>
    <x v="2"/>
    <n v="6"/>
    <n v="10"/>
    <n v="1"/>
    <x v="0"/>
  </r>
  <r>
    <x v="3"/>
    <x v="0"/>
    <x v="0"/>
    <n v="8"/>
    <x v="0"/>
    <n v="4.7"/>
    <n v="-3.3"/>
    <n v="0.6"/>
    <x v="0"/>
    <x v="17"/>
    <x v="0"/>
    <x v="2"/>
    <n v="2"/>
    <n v="9"/>
    <n v="10"/>
    <x v="0"/>
  </r>
  <r>
    <x v="3"/>
    <x v="1"/>
    <x v="0"/>
    <n v="2.9"/>
    <x v="1"/>
    <n v="6.4"/>
    <n v="3.5000000000000004"/>
    <n v="0.7"/>
    <x v="64"/>
    <x v="16"/>
    <x v="0"/>
    <x v="0"/>
    <n v="3"/>
    <n v="10"/>
    <n v="7"/>
    <x v="0"/>
  </r>
  <r>
    <x v="1"/>
    <x v="1"/>
    <x v="1"/>
    <n v="4.4000000000000004"/>
    <x v="2"/>
    <n v="5"/>
    <n v="0.59999999999999964"/>
    <n v="2.8"/>
    <x v="101"/>
    <x v="14"/>
    <x v="0"/>
    <x v="1"/>
    <n v="3"/>
    <n v="8"/>
    <n v="8"/>
    <x v="0"/>
  </r>
  <r>
    <x v="4"/>
    <x v="1"/>
    <x v="0"/>
    <n v="3.1"/>
    <x v="2"/>
    <n v="6.8"/>
    <n v="3.6999999999999997"/>
    <n v="2"/>
    <x v="8"/>
    <x v="3"/>
    <x v="0"/>
    <x v="0"/>
    <n v="1"/>
    <n v="3"/>
    <n v="4"/>
    <x v="0"/>
  </r>
  <r>
    <x v="4"/>
    <x v="0"/>
    <x v="0"/>
    <n v="7.9"/>
    <x v="1"/>
    <n v="7.5"/>
    <n v="-0.40000000000000036"/>
    <n v="2"/>
    <x v="74"/>
    <x v="7"/>
    <x v="0"/>
    <x v="0"/>
    <n v="10"/>
    <n v="4"/>
    <n v="4"/>
    <x v="0"/>
  </r>
  <r>
    <x v="0"/>
    <x v="1"/>
    <x v="0"/>
    <n v="1.2"/>
    <x v="2"/>
    <n v="7"/>
    <n v="5.8"/>
    <n v="2.2000000000000002"/>
    <x v="26"/>
    <x v="1"/>
    <x v="0"/>
    <x v="0"/>
    <n v="6"/>
    <n v="10"/>
    <n v="5"/>
    <x v="0"/>
  </r>
  <r>
    <x v="1"/>
    <x v="1"/>
    <x v="1"/>
    <n v="4"/>
    <x v="2"/>
    <n v="7.4"/>
    <n v="3.4000000000000004"/>
    <n v="2.7"/>
    <x v="64"/>
    <x v="3"/>
    <x v="0"/>
    <x v="2"/>
    <n v="9"/>
    <n v="4"/>
    <n v="7"/>
    <x v="0"/>
  </r>
  <r>
    <x v="4"/>
    <x v="0"/>
    <x v="0"/>
    <n v="1"/>
    <x v="0"/>
    <n v="7.1"/>
    <n v="6.1"/>
    <n v="0.8"/>
    <x v="108"/>
    <x v="13"/>
    <x v="0"/>
    <x v="1"/>
    <n v="4"/>
    <n v="2"/>
    <n v="4"/>
    <x v="0"/>
  </r>
  <r>
    <x v="1"/>
    <x v="1"/>
    <x v="1"/>
    <n v="7.9"/>
    <x v="0"/>
    <n v="5.7"/>
    <n v="-2.2000000000000002"/>
    <n v="2.4"/>
    <x v="38"/>
    <x v="13"/>
    <x v="0"/>
    <x v="1"/>
    <n v="1"/>
    <n v="9"/>
    <n v="9"/>
    <x v="0"/>
  </r>
  <r>
    <x v="0"/>
    <x v="0"/>
    <x v="0"/>
    <n v="6.2"/>
    <x v="1"/>
    <n v="4.4000000000000004"/>
    <n v="-1.7999999999999998"/>
    <n v="0.7"/>
    <x v="133"/>
    <x v="12"/>
    <x v="0"/>
    <x v="2"/>
    <n v="9"/>
    <n v="10"/>
    <n v="3"/>
    <x v="1"/>
  </r>
  <r>
    <x v="5"/>
    <x v="1"/>
    <x v="0"/>
    <n v="2.5"/>
    <x v="0"/>
    <n v="5.4"/>
    <n v="2.9000000000000004"/>
    <n v="2.2999999999999998"/>
    <x v="45"/>
    <x v="12"/>
    <x v="0"/>
    <x v="1"/>
    <n v="9"/>
    <n v="1"/>
    <n v="2"/>
    <x v="0"/>
  </r>
  <r>
    <x v="5"/>
    <x v="0"/>
    <x v="0"/>
    <n v="4.7"/>
    <x v="2"/>
    <n v="8.1999999999999993"/>
    <n v="3.4999999999999991"/>
    <n v="2.6"/>
    <x v="28"/>
    <x v="19"/>
    <x v="0"/>
    <x v="2"/>
    <n v="4"/>
    <n v="7"/>
    <n v="2"/>
    <x v="0"/>
  </r>
  <r>
    <x v="5"/>
    <x v="0"/>
    <x v="0"/>
    <n v="6.3"/>
    <x v="0"/>
    <n v="6.5"/>
    <n v="0.20000000000000018"/>
    <n v="1"/>
    <x v="120"/>
    <x v="14"/>
    <x v="0"/>
    <x v="0"/>
    <n v="1"/>
    <n v="10"/>
    <n v="6"/>
    <x v="0"/>
  </r>
  <r>
    <x v="2"/>
    <x v="1"/>
    <x v="0"/>
    <n v="7.5"/>
    <x v="1"/>
    <n v="5.4"/>
    <n v="-2.0999999999999996"/>
    <n v="2.2999999999999998"/>
    <x v="189"/>
    <x v="14"/>
    <x v="0"/>
    <x v="2"/>
    <n v="7"/>
    <n v="9"/>
    <n v="7"/>
    <x v="1"/>
  </r>
  <r>
    <x v="4"/>
    <x v="0"/>
    <x v="0"/>
    <n v="2"/>
    <x v="1"/>
    <n v="8.4"/>
    <n v="6.4"/>
    <n v="1.5"/>
    <x v="59"/>
    <x v="9"/>
    <x v="0"/>
    <x v="0"/>
    <n v="9"/>
    <n v="4"/>
    <n v="5"/>
    <x v="0"/>
  </r>
  <r>
    <x v="6"/>
    <x v="1"/>
    <x v="0"/>
    <n v="6.3"/>
    <x v="0"/>
    <n v="8.4"/>
    <n v="2.1000000000000005"/>
    <n v="1.6"/>
    <x v="50"/>
    <x v="0"/>
    <x v="0"/>
    <x v="2"/>
    <n v="5"/>
    <n v="3"/>
    <n v="9"/>
    <x v="0"/>
  </r>
  <r>
    <x v="5"/>
    <x v="0"/>
    <x v="0"/>
    <n v="6.6"/>
    <x v="2"/>
    <n v="8.9"/>
    <n v="2.3000000000000007"/>
    <n v="2"/>
    <x v="189"/>
    <x v="10"/>
    <x v="0"/>
    <x v="0"/>
    <n v="10"/>
    <n v="9"/>
    <n v="3"/>
    <x v="0"/>
  </r>
  <r>
    <x v="1"/>
    <x v="1"/>
    <x v="1"/>
    <n v="3.6"/>
    <x v="2"/>
    <n v="5.6"/>
    <n v="1.9999999999999996"/>
    <n v="1.7"/>
    <x v="52"/>
    <x v="0"/>
    <x v="0"/>
    <x v="0"/>
    <n v="10"/>
    <n v="4"/>
    <n v="3"/>
    <x v="0"/>
  </r>
  <r>
    <x v="5"/>
    <x v="1"/>
    <x v="0"/>
    <n v="3.2"/>
    <x v="2"/>
    <n v="4.5999999999999996"/>
    <n v="1.3999999999999995"/>
    <n v="2.5"/>
    <x v="104"/>
    <x v="17"/>
    <x v="0"/>
    <x v="0"/>
    <n v="9"/>
    <n v="5"/>
    <n v="1"/>
    <x v="0"/>
  </r>
  <r>
    <x v="6"/>
    <x v="1"/>
    <x v="0"/>
    <n v="3.1"/>
    <x v="0"/>
    <n v="6.4"/>
    <n v="3.3000000000000003"/>
    <n v="1.6"/>
    <x v="20"/>
    <x v="7"/>
    <x v="0"/>
    <x v="2"/>
    <n v="1"/>
    <n v="2"/>
    <n v="1"/>
    <x v="0"/>
  </r>
  <r>
    <x v="4"/>
    <x v="0"/>
    <x v="0"/>
    <n v="6.7"/>
    <x v="0"/>
    <n v="8.8000000000000007"/>
    <n v="2.1000000000000005"/>
    <n v="1.9"/>
    <x v="63"/>
    <x v="19"/>
    <x v="0"/>
    <x v="0"/>
    <n v="5"/>
    <n v="8"/>
    <n v="3"/>
    <x v="0"/>
  </r>
  <r>
    <x v="2"/>
    <x v="0"/>
    <x v="0"/>
    <n v="6.6"/>
    <x v="1"/>
    <n v="8.1999999999999993"/>
    <n v="1.5999999999999996"/>
    <n v="0.7"/>
    <x v="182"/>
    <x v="1"/>
    <x v="0"/>
    <x v="0"/>
    <n v="1"/>
    <n v="7"/>
    <n v="7"/>
    <x v="0"/>
  </r>
  <r>
    <x v="0"/>
    <x v="1"/>
    <x v="0"/>
    <n v="7"/>
    <x v="0"/>
    <n v="4.5"/>
    <n v="-2.5"/>
    <n v="1.6"/>
    <x v="59"/>
    <x v="14"/>
    <x v="0"/>
    <x v="2"/>
    <n v="8"/>
    <n v="1"/>
    <n v="7"/>
    <x v="0"/>
  </r>
  <r>
    <x v="5"/>
    <x v="1"/>
    <x v="0"/>
    <n v="4.8"/>
    <x v="2"/>
    <n v="5.0999999999999996"/>
    <n v="0.29999999999999982"/>
    <n v="2.1"/>
    <x v="163"/>
    <x v="16"/>
    <x v="0"/>
    <x v="0"/>
    <n v="4"/>
    <n v="9"/>
    <n v="1"/>
    <x v="0"/>
  </r>
  <r>
    <x v="6"/>
    <x v="1"/>
    <x v="0"/>
    <n v="5.8"/>
    <x v="0"/>
    <n v="6.3"/>
    <n v="0.5"/>
    <n v="1.1000000000000001"/>
    <x v="181"/>
    <x v="7"/>
    <x v="0"/>
    <x v="2"/>
    <n v="8"/>
    <n v="4"/>
    <n v="9"/>
    <x v="0"/>
  </r>
  <r>
    <x v="1"/>
    <x v="1"/>
    <x v="1"/>
    <n v="6"/>
    <x v="2"/>
    <n v="6.3"/>
    <n v="0.29999999999999982"/>
    <n v="2.8"/>
    <x v="185"/>
    <x v="20"/>
    <x v="1"/>
    <x v="2"/>
    <n v="2"/>
    <n v="6"/>
    <n v="2"/>
    <x v="0"/>
  </r>
  <r>
    <x v="3"/>
    <x v="0"/>
    <x v="0"/>
    <n v="4"/>
    <x v="2"/>
    <n v="5.2"/>
    <n v="1.2000000000000002"/>
    <n v="1.8"/>
    <x v="46"/>
    <x v="5"/>
    <x v="0"/>
    <x v="2"/>
    <n v="10"/>
    <n v="5"/>
    <n v="1"/>
    <x v="0"/>
  </r>
  <r>
    <x v="0"/>
    <x v="1"/>
    <x v="0"/>
    <n v="5.8"/>
    <x v="2"/>
    <n v="4.8"/>
    <n v="-1"/>
    <n v="2.6"/>
    <x v="186"/>
    <x v="1"/>
    <x v="0"/>
    <x v="2"/>
    <n v="6"/>
    <n v="4"/>
    <n v="9"/>
    <x v="0"/>
  </r>
  <r>
    <x v="1"/>
    <x v="0"/>
    <x v="1"/>
    <n v="5.2"/>
    <x v="0"/>
    <n v="7.6"/>
    <n v="2.3999999999999995"/>
    <n v="1.3"/>
    <x v="90"/>
    <x v="0"/>
    <x v="0"/>
    <x v="1"/>
    <n v="4"/>
    <n v="5"/>
    <n v="8"/>
    <x v="0"/>
  </r>
  <r>
    <x v="2"/>
    <x v="0"/>
    <x v="0"/>
    <n v="2.9"/>
    <x v="2"/>
    <n v="6.7"/>
    <n v="3.8000000000000003"/>
    <n v="1.5"/>
    <x v="161"/>
    <x v="1"/>
    <x v="0"/>
    <x v="2"/>
    <n v="10"/>
    <n v="6"/>
    <n v="4"/>
    <x v="0"/>
  </r>
  <r>
    <x v="4"/>
    <x v="1"/>
    <x v="0"/>
    <n v="7.5"/>
    <x v="1"/>
    <n v="7.5"/>
    <n v="0"/>
    <n v="1.4"/>
    <x v="198"/>
    <x v="20"/>
    <x v="1"/>
    <x v="0"/>
    <n v="2"/>
    <n v="9"/>
    <n v="2"/>
    <x v="0"/>
  </r>
  <r>
    <x v="6"/>
    <x v="1"/>
    <x v="0"/>
    <n v="5.8"/>
    <x v="0"/>
    <n v="6.1"/>
    <n v="0.29999999999999982"/>
    <n v="1.2"/>
    <x v="36"/>
    <x v="17"/>
    <x v="0"/>
    <x v="2"/>
    <n v="6"/>
    <n v="10"/>
    <n v="6"/>
    <x v="0"/>
  </r>
  <r>
    <x v="0"/>
    <x v="0"/>
    <x v="0"/>
    <n v="7.6"/>
    <x v="0"/>
    <n v="5.8"/>
    <n v="-1.7999999999999998"/>
    <n v="1.9"/>
    <x v="159"/>
    <x v="10"/>
    <x v="0"/>
    <x v="1"/>
    <n v="10"/>
    <n v="1"/>
    <n v="3"/>
    <x v="0"/>
  </r>
  <r>
    <x v="3"/>
    <x v="1"/>
    <x v="0"/>
    <n v="1.3"/>
    <x v="1"/>
    <n v="7.6"/>
    <n v="6.3"/>
    <n v="0.6"/>
    <x v="176"/>
    <x v="13"/>
    <x v="0"/>
    <x v="0"/>
    <n v="1"/>
    <n v="1"/>
    <n v="4"/>
    <x v="0"/>
  </r>
  <r>
    <x v="3"/>
    <x v="0"/>
    <x v="0"/>
    <n v="3.7"/>
    <x v="2"/>
    <n v="5.7"/>
    <n v="2"/>
    <n v="1.3"/>
    <x v="43"/>
    <x v="18"/>
    <x v="0"/>
    <x v="0"/>
    <n v="4"/>
    <n v="9"/>
    <n v="10"/>
    <x v="0"/>
  </r>
  <r>
    <x v="4"/>
    <x v="0"/>
    <x v="0"/>
    <n v="3.6"/>
    <x v="0"/>
    <n v="4.7"/>
    <n v="1.1000000000000001"/>
    <n v="2.5"/>
    <x v="60"/>
    <x v="9"/>
    <x v="0"/>
    <x v="2"/>
    <n v="9"/>
    <n v="7"/>
    <n v="6"/>
    <x v="0"/>
  </r>
  <r>
    <x v="3"/>
    <x v="0"/>
    <x v="0"/>
    <n v="6.4"/>
    <x v="1"/>
    <n v="6.9"/>
    <n v="0.5"/>
    <n v="2.9"/>
    <x v="142"/>
    <x v="7"/>
    <x v="0"/>
    <x v="0"/>
    <n v="8"/>
    <n v="4"/>
    <n v="8"/>
    <x v="0"/>
  </r>
  <r>
    <x v="6"/>
    <x v="0"/>
    <x v="0"/>
    <n v="6"/>
    <x v="1"/>
    <n v="4.8"/>
    <n v="-1.2000000000000002"/>
    <n v="2.6"/>
    <x v="160"/>
    <x v="16"/>
    <x v="0"/>
    <x v="1"/>
    <n v="6"/>
    <n v="10"/>
    <n v="8"/>
    <x v="0"/>
  </r>
  <r>
    <x v="0"/>
    <x v="1"/>
    <x v="0"/>
    <n v="1.3"/>
    <x v="1"/>
    <n v="7.7"/>
    <n v="6.4"/>
    <n v="1.9"/>
    <x v="42"/>
    <x v="0"/>
    <x v="0"/>
    <x v="0"/>
    <n v="7"/>
    <n v="2"/>
    <n v="2"/>
    <x v="0"/>
  </r>
  <r>
    <x v="4"/>
    <x v="0"/>
    <x v="0"/>
    <n v="3.7"/>
    <x v="0"/>
    <n v="7"/>
    <n v="3.3"/>
    <n v="1.4"/>
    <x v="167"/>
    <x v="14"/>
    <x v="0"/>
    <x v="2"/>
    <n v="10"/>
    <n v="9"/>
    <n v="5"/>
    <x v="0"/>
  </r>
  <r>
    <x v="4"/>
    <x v="1"/>
    <x v="0"/>
    <n v="8"/>
    <x v="1"/>
    <n v="4.3"/>
    <n v="-3.7"/>
    <n v="0.8"/>
    <x v="189"/>
    <x v="1"/>
    <x v="0"/>
    <x v="2"/>
    <n v="3"/>
    <n v="4"/>
    <n v="4"/>
    <x v="0"/>
  </r>
  <r>
    <x v="1"/>
    <x v="1"/>
    <x v="1"/>
    <n v="4.0999999999999996"/>
    <x v="2"/>
    <n v="7.5"/>
    <n v="3.4000000000000004"/>
    <n v="2.7"/>
    <x v="130"/>
    <x v="16"/>
    <x v="0"/>
    <x v="1"/>
    <n v="5"/>
    <n v="10"/>
    <n v="5"/>
    <x v="0"/>
  </r>
  <r>
    <x v="6"/>
    <x v="0"/>
    <x v="0"/>
    <n v="3.9"/>
    <x v="2"/>
    <n v="8.6999999999999993"/>
    <n v="4.7999999999999989"/>
    <n v="1.5"/>
    <x v="127"/>
    <x v="5"/>
    <x v="0"/>
    <x v="0"/>
    <n v="7"/>
    <n v="1"/>
    <n v="4"/>
    <x v="0"/>
  </r>
  <r>
    <x v="3"/>
    <x v="1"/>
    <x v="0"/>
    <n v="6.4"/>
    <x v="0"/>
    <n v="5.9"/>
    <n v="-0.5"/>
    <n v="1.6"/>
    <x v="97"/>
    <x v="19"/>
    <x v="0"/>
    <x v="1"/>
    <n v="10"/>
    <n v="2"/>
    <n v="6"/>
    <x v="0"/>
  </r>
  <r>
    <x v="1"/>
    <x v="1"/>
    <x v="1"/>
    <n v="1.3"/>
    <x v="1"/>
    <n v="6.5"/>
    <n v="5.2"/>
    <n v="2.1"/>
    <x v="119"/>
    <x v="8"/>
    <x v="0"/>
    <x v="1"/>
    <n v="7"/>
    <n v="1"/>
    <n v="9"/>
    <x v="0"/>
  </r>
  <r>
    <x v="4"/>
    <x v="1"/>
    <x v="0"/>
    <n v="5"/>
    <x v="0"/>
    <n v="6.6"/>
    <n v="1.5999999999999996"/>
    <n v="1.8"/>
    <x v="107"/>
    <x v="9"/>
    <x v="0"/>
    <x v="1"/>
    <n v="3"/>
    <n v="4"/>
    <n v="2"/>
    <x v="0"/>
  </r>
  <r>
    <x v="4"/>
    <x v="0"/>
    <x v="0"/>
    <n v="5.5"/>
    <x v="2"/>
    <n v="5.2"/>
    <n v="-0.29999999999999982"/>
    <n v="1.4"/>
    <x v="43"/>
    <x v="7"/>
    <x v="0"/>
    <x v="2"/>
    <n v="10"/>
    <n v="5"/>
    <n v="7"/>
    <x v="0"/>
  </r>
  <r>
    <x v="6"/>
    <x v="1"/>
    <x v="0"/>
    <n v="7.6"/>
    <x v="0"/>
    <n v="7.9"/>
    <n v="0.30000000000000071"/>
    <n v="3"/>
    <x v="144"/>
    <x v="9"/>
    <x v="0"/>
    <x v="1"/>
    <n v="8"/>
    <n v="8"/>
    <n v="1"/>
    <x v="0"/>
  </r>
  <r>
    <x v="1"/>
    <x v="1"/>
    <x v="1"/>
    <n v="6.3"/>
    <x v="2"/>
    <n v="5.7"/>
    <n v="-0.59999999999999964"/>
    <n v="2.2999999999999998"/>
    <x v="51"/>
    <x v="13"/>
    <x v="0"/>
    <x v="1"/>
    <n v="6"/>
    <n v="3"/>
    <n v="6"/>
    <x v="0"/>
  </r>
  <r>
    <x v="4"/>
    <x v="1"/>
    <x v="0"/>
    <n v="2"/>
    <x v="0"/>
    <n v="5.9"/>
    <n v="3.9000000000000004"/>
    <n v="2.9"/>
    <x v="136"/>
    <x v="8"/>
    <x v="0"/>
    <x v="1"/>
    <n v="8"/>
    <n v="6"/>
    <n v="10"/>
    <x v="0"/>
  </r>
  <r>
    <x v="3"/>
    <x v="0"/>
    <x v="0"/>
    <n v="4"/>
    <x v="1"/>
    <n v="4.5"/>
    <n v="0.5"/>
    <n v="1.9"/>
    <x v="1"/>
    <x v="18"/>
    <x v="0"/>
    <x v="2"/>
    <n v="4"/>
    <n v="5"/>
    <n v="3"/>
    <x v="0"/>
  </r>
  <r>
    <x v="0"/>
    <x v="0"/>
    <x v="0"/>
    <n v="4.9000000000000004"/>
    <x v="0"/>
    <n v="5.5"/>
    <n v="0.59999999999999964"/>
    <n v="1.6"/>
    <x v="154"/>
    <x v="14"/>
    <x v="0"/>
    <x v="0"/>
    <n v="8"/>
    <n v="1"/>
    <n v="8"/>
    <x v="0"/>
  </r>
  <r>
    <x v="0"/>
    <x v="1"/>
    <x v="0"/>
    <n v="6.9"/>
    <x v="1"/>
    <n v="8"/>
    <n v="1.0999999999999996"/>
    <n v="1.6"/>
    <x v="24"/>
    <x v="15"/>
    <x v="0"/>
    <x v="2"/>
    <n v="3"/>
    <n v="3"/>
    <n v="3"/>
    <x v="0"/>
  </r>
  <r>
    <x v="3"/>
    <x v="0"/>
    <x v="0"/>
    <n v="5.4"/>
    <x v="1"/>
    <n v="4.2"/>
    <n v="-1.2000000000000002"/>
    <n v="1.8"/>
    <x v="23"/>
    <x v="11"/>
    <x v="0"/>
    <x v="2"/>
    <n v="1"/>
    <n v="10"/>
    <n v="5"/>
    <x v="0"/>
  </r>
  <r>
    <x v="6"/>
    <x v="1"/>
    <x v="0"/>
    <n v="3.8"/>
    <x v="2"/>
    <n v="8.9"/>
    <n v="5.1000000000000005"/>
    <n v="2.5"/>
    <x v="89"/>
    <x v="4"/>
    <x v="0"/>
    <x v="1"/>
    <n v="9"/>
    <n v="9"/>
    <n v="7"/>
    <x v="0"/>
  </r>
  <r>
    <x v="3"/>
    <x v="0"/>
    <x v="0"/>
    <n v="7.8"/>
    <x v="2"/>
    <n v="6.8"/>
    <n v="-1"/>
    <n v="0.6"/>
    <x v="121"/>
    <x v="10"/>
    <x v="0"/>
    <x v="2"/>
    <n v="1"/>
    <n v="7"/>
    <n v="5"/>
    <x v="0"/>
  </r>
  <r>
    <x v="3"/>
    <x v="0"/>
    <x v="0"/>
    <n v="3.5"/>
    <x v="2"/>
    <n v="8.8000000000000007"/>
    <n v="5.3000000000000007"/>
    <n v="1.8"/>
    <x v="12"/>
    <x v="1"/>
    <x v="0"/>
    <x v="0"/>
    <n v="3"/>
    <n v="6"/>
    <n v="3"/>
    <x v="0"/>
  </r>
  <r>
    <x v="1"/>
    <x v="1"/>
    <x v="1"/>
    <n v="5.4"/>
    <x v="0"/>
    <n v="7.3"/>
    <n v="1.8999999999999995"/>
    <n v="2"/>
    <x v="185"/>
    <x v="7"/>
    <x v="0"/>
    <x v="2"/>
    <n v="6"/>
    <n v="6"/>
    <n v="1"/>
    <x v="0"/>
  </r>
  <r>
    <x v="2"/>
    <x v="0"/>
    <x v="0"/>
    <n v="3.8"/>
    <x v="2"/>
    <n v="5.7"/>
    <n v="1.9000000000000004"/>
    <n v="2"/>
    <x v="0"/>
    <x v="19"/>
    <x v="0"/>
    <x v="0"/>
    <n v="1"/>
    <n v="3"/>
    <n v="1"/>
    <x v="0"/>
  </r>
  <r>
    <x v="2"/>
    <x v="0"/>
    <x v="0"/>
    <n v="8"/>
    <x v="0"/>
    <n v="6.9"/>
    <n v="-1.0999999999999996"/>
    <n v="2.2000000000000002"/>
    <x v="41"/>
    <x v="16"/>
    <x v="0"/>
    <x v="0"/>
    <n v="4"/>
    <n v="2"/>
    <n v="8"/>
    <x v="0"/>
  </r>
  <r>
    <x v="0"/>
    <x v="1"/>
    <x v="0"/>
    <n v="3.7"/>
    <x v="1"/>
    <n v="5.7"/>
    <n v="2"/>
    <n v="1.7"/>
    <x v="182"/>
    <x v="18"/>
    <x v="0"/>
    <x v="0"/>
    <n v="9"/>
    <n v="10"/>
    <n v="3"/>
    <x v="0"/>
  </r>
  <r>
    <x v="1"/>
    <x v="1"/>
    <x v="1"/>
    <n v="5"/>
    <x v="0"/>
    <n v="6.3"/>
    <n v="1.2999999999999998"/>
    <n v="2.9"/>
    <x v="7"/>
    <x v="12"/>
    <x v="0"/>
    <x v="2"/>
    <n v="5"/>
    <n v="2"/>
    <n v="2"/>
    <x v="0"/>
  </r>
  <r>
    <x v="1"/>
    <x v="1"/>
    <x v="1"/>
    <n v="4.2"/>
    <x v="0"/>
    <n v="7.1"/>
    <n v="2.8999999999999995"/>
    <n v="2.5"/>
    <x v="84"/>
    <x v="0"/>
    <x v="0"/>
    <x v="1"/>
    <n v="6"/>
    <n v="8"/>
    <n v="9"/>
    <x v="0"/>
  </r>
  <r>
    <x v="5"/>
    <x v="0"/>
    <x v="0"/>
    <n v="4.5999999999999996"/>
    <x v="0"/>
    <n v="8.1999999999999993"/>
    <n v="3.5999999999999996"/>
    <n v="1.5"/>
    <x v="145"/>
    <x v="19"/>
    <x v="0"/>
    <x v="0"/>
    <n v="3"/>
    <n v="2"/>
    <n v="2"/>
    <x v="0"/>
  </r>
  <r>
    <x v="4"/>
    <x v="0"/>
    <x v="0"/>
    <n v="5.5"/>
    <x v="0"/>
    <n v="5"/>
    <n v="-0.5"/>
    <n v="0.9"/>
    <x v="148"/>
    <x v="8"/>
    <x v="0"/>
    <x v="0"/>
    <n v="4"/>
    <n v="10"/>
    <n v="10"/>
    <x v="0"/>
  </r>
  <r>
    <x v="1"/>
    <x v="1"/>
    <x v="1"/>
    <n v="1.8"/>
    <x v="0"/>
    <n v="4.5"/>
    <n v="2.7"/>
    <n v="2.8"/>
    <x v="1"/>
    <x v="16"/>
    <x v="0"/>
    <x v="2"/>
    <n v="5"/>
    <n v="3"/>
    <n v="10"/>
    <x v="0"/>
  </r>
  <r>
    <x v="0"/>
    <x v="1"/>
    <x v="0"/>
    <n v="6.6"/>
    <x v="1"/>
    <n v="6.2"/>
    <n v="-0.39999999999999947"/>
    <n v="1.8"/>
    <x v="41"/>
    <x v="10"/>
    <x v="0"/>
    <x v="1"/>
    <n v="4"/>
    <n v="1"/>
    <n v="8"/>
    <x v="0"/>
  </r>
  <r>
    <x v="3"/>
    <x v="1"/>
    <x v="0"/>
    <n v="4.4000000000000004"/>
    <x v="1"/>
    <n v="5.3"/>
    <n v="0.89999999999999947"/>
    <n v="0.9"/>
    <x v="91"/>
    <x v="12"/>
    <x v="0"/>
    <x v="1"/>
    <n v="10"/>
    <n v="5"/>
    <n v="5"/>
    <x v="0"/>
  </r>
  <r>
    <x v="0"/>
    <x v="1"/>
    <x v="0"/>
    <n v="4.7"/>
    <x v="1"/>
    <n v="4.4000000000000004"/>
    <n v="-0.29999999999999982"/>
    <n v="2.1"/>
    <x v="2"/>
    <x v="7"/>
    <x v="0"/>
    <x v="0"/>
    <n v="10"/>
    <n v="1"/>
    <n v="4"/>
    <x v="0"/>
  </r>
  <r>
    <x v="4"/>
    <x v="1"/>
    <x v="0"/>
    <n v="7.1"/>
    <x v="0"/>
    <n v="5.7"/>
    <n v="-1.3999999999999995"/>
    <n v="0.6"/>
    <x v="194"/>
    <x v="10"/>
    <x v="0"/>
    <x v="2"/>
    <n v="3"/>
    <n v="1"/>
    <n v="6"/>
    <x v="0"/>
  </r>
  <r>
    <x v="2"/>
    <x v="0"/>
    <x v="0"/>
    <n v="4"/>
    <x v="2"/>
    <n v="8.5"/>
    <n v="4.5"/>
    <n v="1"/>
    <x v="51"/>
    <x v="15"/>
    <x v="0"/>
    <x v="0"/>
    <n v="1"/>
    <n v="7"/>
    <n v="5"/>
    <x v="0"/>
  </r>
  <r>
    <x v="4"/>
    <x v="1"/>
    <x v="0"/>
    <n v="5.5"/>
    <x v="0"/>
    <n v="5.3"/>
    <n v="-0.20000000000000018"/>
    <n v="2.6"/>
    <x v="181"/>
    <x v="20"/>
    <x v="1"/>
    <x v="0"/>
    <n v="8"/>
    <n v="6"/>
    <n v="3"/>
    <x v="0"/>
  </r>
  <r>
    <x v="1"/>
    <x v="0"/>
    <x v="1"/>
    <n v="5.6"/>
    <x v="1"/>
    <n v="6.5"/>
    <n v="0.90000000000000036"/>
    <n v="1.4"/>
    <x v="102"/>
    <x v="2"/>
    <x v="0"/>
    <x v="1"/>
    <n v="9"/>
    <n v="9"/>
    <n v="7"/>
    <x v="0"/>
  </r>
  <r>
    <x v="0"/>
    <x v="1"/>
    <x v="0"/>
    <n v="3.7"/>
    <x v="2"/>
    <n v="7.1"/>
    <n v="3.3999999999999995"/>
    <n v="1.7"/>
    <x v="114"/>
    <x v="17"/>
    <x v="0"/>
    <x v="2"/>
    <n v="10"/>
    <n v="4"/>
    <n v="5"/>
    <x v="0"/>
  </r>
  <r>
    <x v="5"/>
    <x v="0"/>
    <x v="0"/>
    <n v="1.8"/>
    <x v="1"/>
    <n v="7.4"/>
    <n v="5.6000000000000005"/>
    <n v="2.2999999999999998"/>
    <x v="191"/>
    <x v="1"/>
    <x v="0"/>
    <x v="0"/>
    <n v="9"/>
    <n v="5"/>
    <n v="8"/>
    <x v="0"/>
  </r>
  <r>
    <x v="5"/>
    <x v="1"/>
    <x v="0"/>
    <n v="7.6"/>
    <x v="1"/>
    <n v="4.2"/>
    <n v="-3.3999999999999995"/>
    <n v="2.8"/>
    <x v="107"/>
    <x v="5"/>
    <x v="0"/>
    <x v="1"/>
    <n v="10"/>
    <n v="2"/>
    <n v="9"/>
    <x v="0"/>
  </r>
  <r>
    <x v="4"/>
    <x v="0"/>
    <x v="0"/>
    <n v="5.7"/>
    <x v="1"/>
    <n v="8"/>
    <n v="2.2999999999999998"/>
    <n v="2.5"/>
    <x v="72"/>
    <x v="15"/>
    <x v="0"/>
    <x v="0"/>
    <n v="5"/>
    <n v="2"/>
    <n v="1"/>
    <x v="0"/>
  </r>
  <r>
    <x v="0"/>
    <x v="1"/>
    <x v="0"/>
    <n v="6.1"/>
    <x v="0"/>
    <n v="7"/>
    <n v="0.90000000000000036"/>
    <n v="2.7"/>
    <x v="97"/>
    <x v="19"/>
    <x v="0"/>
    <x v="2"/>
    <n v="1"/>
    <n v="8"/>
    <n v="8"/>
    <x v="0"/>
  </r>
  <r>
    <x v="6"/>
    <x v="1"/>
    <x v="0"/>
    <n v="6"/>
    <x v="0"/>
    <n v="7.2"/>
    <n v="1.2000000000000002"/>
    <n v="0.6"/>
    <x v="15"/>
    <x v="8"/>
    <x v="0"/>
    <x v="0"/>
    <n v="1"/>
    <n v="3"/>
    <n v="6"/>
    <x v="0"/>
  </r>
  <r>
    <x v="3"/>
    <x v="1"/>
    <x v="0"/>
    <n v="3.1"/>
    <x v="1"/>
    <n v="4.2"/>
    <n v="1.1000000000000001"/>
    <n v="2.4"/>
    <x v="64"/>
    <x v="18"/>
    <x v="0"/>
    <x v="0"/>
    <n v="3"/>
    <n v="7"/>
    <n v="5"/>
    <x v="0"/>
  </r>
  <r>
    <x v="2"/>
    <x v="0"/>
    <x v="0"/>
    <n v="7.6"/>
    <x v="0"/>
    <n v="6"/>
    <n v="-1.5999999999999996"/>
    <n v="2"/>
    <x v="53"/>
    <x v="0"/>
    <x v="0"/>
    <x v="0"/>
    <n v="8"/>
    <n v="9"/>
    <n v="7"/>
    <x v="0"/>
  </r>
  <r>
    <x v="2"/>
    <x v="0"/>
    <x v="0"/>
    <n v="6"/>
    <x v="2"/>
    <n v="5.3"/>
    <n v="-0.70000000000000018"/>
    <n v="2.7"/>
    <x v="121"/>
    <x v="3"/>
    <x v="0"/>
    <x v="2"/>
    <n v="8"/>
    <n v="2"/>
    <n v="4"/>
    <x v="0"/>
  </r>
  <r>
    <x v="6"/>
    <x v="1"/>
    <x v="0"/>
    <n v="3.5"/>
    <x v="0"/>
    <n v="5.3"/>
    <n v="1.7999999999999998"/>
    <n v="2.7"/>
    <x v="76"/>
    <x v="12"/>
    <x v="0"/>
    <x v="0"/>
    <n v="3"/>
    <n v="7"/>
    <n v="2"/>
    <x v="0"/>
  </r>
  <r>
    <x v="0"/>
    <x v="1"/>
    <x v="0"/>
    <n v="1.3"/>
    <x v="1"/>
    <n v="7.5"/>
    <n v="6.2"/>
    <n v="1.4"/>
    <x v="17"/>
    <x v="16"/>
    <x v="0"/>
    <x v="2"/>
    <n v="10"/>
    <n v="8"/>
    <n v="7"/>
    <x v="0"/>
  </r>
  <r>
    <x v="4"/>
    <x v="1"/>
    <x v="0"/>
    <n v="2.8"/>
    <x v="1"/>
    <n v="7"/>
    <n v="4.2"/>
    <n v="2.9"/>
    <x v="84"/>
    <x v="8"/>
    <x v="0"/>
    <x v="2"/>
    <n v="9"/>
    <n v="9"/>
    <n v="1"/>
    <x v="0"/>
  </r>
  <r>
    <x v="0"/>
    <x v="0"/>
    <x v="0"/>
    <n v="3.9"/>
    <x v="2"/>
    <n v="4.8"/>
    <n v="0.89999999999999991"/>
    <n v="0.8"/>
    <x v="81"/>
    <x v="11"/>
    <x v="0"/>
    <x v="1"/>
    <n v="5"/>
    <n v="2"/>
    <n v="5"/>
    <x v="0"/>
  </r>
  <r>
    <x v="1"/>
    <x v="0"/>
    <x v="1"/>
    <n v="3.9"/>
    <x v="2"/>
    <n v="4.8"/>
    <n v="0.89999999999999991"/>
    <n v="2.8"/>
    <x v="185"/>
    <x v="13"/>
    <x v="0"/>
    <x v="2"/>
    <n v="7"/>
    <n v="5"/>
    <n v="3"/>
    <x v="0"/>
  </r>
  <r>
    <x v="0"/>
    <x v="0"/>
    <x v="0"/>
    <n v="7.4"/>
    <x v="0"/>
    <n v="8.9"/>
    <n v="1.5"/>
    <n v="2.4"/>
    <x v="89"/>
    <x v="8"/>
    <x v="0"/>
    <x v="0"/>
    <n v="10"/>
    <n v="4"/>
    <n v="8"/>
    <x v="0"/>
  </r>
  <r>
    <x v="1"/>
    <x v="1"/>
    <x v="1"/>
    <n v="5.4"/>
    <x v="1"/>
    <n v="7.4"/>
    <n v="2"/>
    <n v="1.7"/>
    <x v="182"/>
    <x v="4"/>
    <x v="0"/>
    <x v="0"/>
    <n v="6"/>
    <n v="10"/>
    <n v="9"/>
    <x v="0"/>
  </r>
  <r>
    <x v="1"/>
    <x v="1"/>
    <x v="1"/>
    <n v="6.6"/>
    <x v="2"/>
    <n v="6.8"/>
    <n v="0.20000000000000018"/>
    <n v="0.8"/>
    <x v="24"/>
    <x v="0"/>
    <x v="0"/>
    <x v="0"/>
    <n v="5"/>
    <n v="4"/>
    <n v="6"/>
    <x v="0"/>
  </r>
  <r>
    <x v="2"/>
    <x v="0"/>
    <x v="0"/>
    <n v="5.9"/>
    <x v="0"/>
    <n v="7.4"/>
    <n v="1.5"/>
    <n v="1.7"/>
    <x v="114"/>
    <x v="5"/>
    <x v="0"/>
    <x v="1"/>
    <n v="6"/>
    <n v="7"/>
    <n v="1"/>
    <x v="0"/>
  </r>
  <r>
    <x v="2"/>
    <x v="0"/>
    <x v="0"/>
    <n v="3.3"/>
    <x v="2"/>
    <n v="5.2"/>
    <n v="1.9000000000000004"/>
    <n v="1.8"/>
    <x v="128"/>
    <x v="9"/>
    <x v="0"/>
    <x v="0"/>
    <n v="2"/>
    <n v="3"/>
    <n v="9"/>
    <x v="0"/>
  </r>
  <r>
    <x v="3"/>
    <x v="1"/>
    <x v="0"/>
    <n v="2.8"/>
    <x v="0"/>
    <n v="7.7"/>
    <n v="4.9000000000000004"/>
    <n v="1"/>
    <x v="178"/>
    <x v="12"/>
    <x v="0"/>
    <x v="2"/>
    <n v="6"/>
    <n v="10"/>
    <n v="1"/>
    <x v="0"/>
  </r>
  <r>
    <x v="0"/>
    <x v="1"/>
    <x v="0"/>
    <n v="7.3"/>
    <x v="1"/>
    <n v="8.8000000000000007"/>
    <n v="1.5000000000000009"/>
    <n v="2.5"/>
    <x v="168"/>
    <x v="12"/>
    <x v="0"/>
    <x v="1"/>
    <n v="10"/>
    <n v="10"/>
    <n v="1"/>
    <x v="0"/>
  </r>
  <r>
    <x v="4"/>
    <x v="0"/>
    <x v="0"/>
    <n v="2.8"/>
    <x v="0"/>
    <n v="6.9"/>
    <n v="4.1000000000000005"/>
    <n v="2.2999999999999998"/>
    <x v="135"/>
    <x v="15"/>
    <x v="0"/>
    <x v="2"/>
    <n v="7"/>
    <n v="1"/>
    <n v="9"/>
    <x v="0"/>
  </r>
  <r>
    <x v="4"/>
    <x v="1"/>
    <x v="0"/>
    <n v="7.2"/>
    <x v="1"/>
    <n v="7.7"/>
    <n v="0.5"/>
    <n v="1.2"/>
    <x v="76"/>
    <x v="15"/>
    <x v="0"/>
    <x v="0"/>
    <n v="6"/>
    <n v="3"/>
    <n v="9"/>
    <x v="0"/>
  </r>
  <r>
    <x v="1"/>
    <x v="1"/>
    <x v="1"/>
    <n v="7.1"/>
    <x v="1"/>
    <n v="6.3"/>
    <n v="-0.79999999999999982"/>
    <n v="0.8"/>
    <x v="78"/>
    <x v="12"/>
    <x v="0"/>
    <x v="1"/>
    <n v="3"/>
    <n v="7"/>
    <n v="7"/>
    <x v="0"/>
  </r>
  <r>
    <x v="6"/>
    <x v="1"/>
    <x v="0"/>
    <n v="4.3"/>
    <x v="1"/>
    <n v="4.4000000000000004"/>
    <n v="0.10000000000000053"/>
    <n v="0.9"/>
    <x v="188"/>
    <x v="0"/>
    <x v="0"/>
    <x v="1"/>
    <n v="3"/>
    <n v="1"/>
    <n v="7"/>
    <x v="0"/>
  </r>
  <r>
    <x v="1"/>
    <x v="0"/>
    <x v="1"/>
    <n v="1.6"/>
    <x v="2"/>
    <n v="4.4000000000000004"/>
    <n v="2.8000000000000003"/>
    <n v="1.4"/>
    <x v="50"/>
    <x v="8"/>
    <x v="0"/>
    <x v="1"/>
    <n v="2"/>
    <n v="9"/>
    <n v="5"/>
    <x v="0"/>
  </r>
  <r>
    <x v="1"/>
    <x v="1"/>
    <x v="1"/>
    <n v="1.4"/>
    <x v="2"/>
    <n v="8"/>
    <n v="6.6"/>
    <n v="2.5"/>
    <x v="146"/>
    <x v="17"/>
    <x v="0"/>
    <x v="0"/>
    <n v="4"/>
    <n v="8"/>
    <n v="3"/>
    <x v="0"/>
  </r>
  <r>
    <x v="4"/>
    <x v="1"/>
    <x v="0"/>
    <n v="3.2"/>
    <x v="0"/>
    <n v="6.8"/>
    <n v="3.5999999999999996"/>
    <n v="2.2999999999999998"/>
    <x v="9"/>
    <x v="17"/>
    <x v="0"/>
    <x v="0"/>
    <n v="4"/>
    <n v="8"/>
    <n v="5"/>
    <x v="0"/>
  </r>
  <r>
    <x v="2"/>
    <x v="0"/>
    <x v="0"/>
    <n v="1.5"/>
    <x v="2"/>
    <n v="8"/>
    <n v="6.5"/>
    <n v="0.5"/>
    <x v="0"/>
    <x v="14"/>
    <x v="0"/>
    <x v="2"/>
    <n v="10"/>
    <n v="2"/>
    <n v="3"/>
    <x v="0"/>
  </r>
  <r>
    <x v="4"/>
    <x v="0"/>
    <x v="0"/>
    <n v="7.5"/>
    <x v="1"/>
    <n v="5.0999999999999996"/>
    <n v="-2.4000000000000004"/>
    <n v="2.6"/>
    <x v="53"/>
    <x v="5"/>
    <x v="0"/>
    <x v="0"/>
    <n v="7"/>
    <n v="3"/>
    <n v="8"/>
    <x v="0"/>
  </r>
  <r>
    <x v="0"/>
    <x v="1"/>
    <x v="0"/>
    <n v="3.5"/>
    <x v="0"/>
    <n v="4.5999999999999996"/>
    <n v="1.0999999999999996"/>
    <n v="0.7"/>
    <x v="160"/>
    <x v="19"/>
    <x v="0"/>
    <x v="0"/>
    <n v="2"/>
    <n v="7"/>
    <n v="8"/>
    <x v="0"/>
  </r>
  <r>
    <x v="2"/>
    <x v="0"/>
    <x v="0"/>
    <n v="4.4000000000000004"/>
    <x v="2"/>
    <n v="8.1999999999999993"/>
    <n v="3.7999999999999989"/>
    <n v="2.7"/>
    <x v="66"/>
    <x v="11"/>
    <x v="0"/>
    <x v="2"/>
    <n v="3"/>
    <n v="1"/>
    <n v="2"/>
    <x v="0"/>
  </r>
  <r>
    <x v="2"/>
    <x v="0"/>
    <x v="0"/>
    <n v="4.5999999999999996"/>
    <x v="1"/>
    <n v="5.0999999999999996"/>
    <n v="0.5"/>
    <n v="2.5"/>
    <x v="145"/>
    <x v="19"/>
    <x v="0"/>
    <x v="2"/>
    <n v="2"/>
    <n v="5"/>
    <n v="6"/>
    <x v="0"/>
  </r>
  <r>
    <x v="6"/>
    <x v="0"/>
    <x v="0"/>
    <n v="5.9"/>
    <x v="1"/>
    <n v="6.6"/>
    <n v="0.69999999999999929"/>
    <n v="2.6"/>
    <x v="126"/>
    <x v="16"/>
    <x v="0"/>
    <x v="2"/>
    <n v="7"/>
    <n v="7"/>
    <n v="10"/>
    <x v="0"/>
  </r>
  <r>
    <x v="5"/>
    <x v="1"/>
    <x v="0"/>
    <n v="7.8"/>
    <x v="1"/>
    <n v="4.7"/>
    <n v="-3.0999999999999996"/>
    <n v="1.1000000000000001"/>
    <x v="57"/>
    <x v="20"/>
    <x v="1"/>
    <x v="2"/>
    <n v="9"/>
    <n v="3"/>
    <n v="8"/>
    <x v="0"/>
  </r>
  <r>
    <x v="3"/>
    <x v="1"/>
    <x v="0"/>
    <n v="4.8"/>
    <x v="1"/>
    <n v="7.3"/>
    <n v="2.5"/>
    <n v="1.9"/>
    <x v="140"/>
    <x v="7"/>
    <x v="0"/>
    <x v="1"/>
    <n v="2"/>
    <n v="10"/>
    <n v="1"/>
    <x v="0"/>
  </r>
  <r>
    <x v="5"/>
    <x v="1"/>
    <x v="0"/>
    <n v="7.4"/>
    <x v="1"/>
    <n v="4.5999999999999996"/>
    <n v="-2.8000000000000007"/>
    <n v="1"/>
    <x v="143"/>
    <x v="8"/>
    <x v="0"/>
    <x v="0"/>
    <n v="2"/>
    <n v="4"/>
    <n v="5"/>
    <x v="0"/>
  </r>
  <r>
    <x v="4"/>
    <x v="0"/>
    <x v="0"/>
    <n v="2.7"/>
    <x v="0"/>
    <n v="7.9"/>
    <n v="5.2"/>
    <n v="1.2"/>
    <x v="83"/>
    <x v="13"/>
    <x v="0"/>
    <x v="2"/>
    <n v="5"/>
    <n v="8"/>
    <n v="3"/>
    <x v="0"/>
  </r>
  <r>
    <x v="6"/>
    <x v="1"/>
    <x v="0"/>
    <n v="5.3"/>
    <x v="1"/>
    <n v="6.4"/>
    <n v="1.1000000000000005"/>
    <n v="1.1000000000000001"/>
    <x v="81"/>
    <x v="13"/>
    <x v="0"/>
    <x v="2"/>
    <n v="8"/>
    <n v="5"/>
    <n v="10"/>
    <x v="0"/>
  </r>
  <r>
    <x v="5"/>
    <x v="1"/>
    <x v="0"/>
    <n v="3.6"/>
    <x v="2"/>
    <n v="4.4000000000000004"/>
    <n v="0.80000000000000027"/>
    <n v="2.4"/>
    <x v="22"/>
    <x v="5"/>
    <x v="0"/>
    <x v="2"/>
    <n v="1"/>
    <n v="7"/>
    <n v="5"/>
    <x v="0"/>
  </r>
  <r>
    <x v="4"/>
    <x v="0"/>
    <x v="0"/>
    <n v="2.5"/>
    <x v="2"/>
    <n v="5.7"/>
    <n v="3.2"/>
    <n v="2.1"/>
    <x v="122"/>
    <x v="4"/>
    <x v="0"/>
    <x v="0"/>
    <n v="8"/>
    <n v="4"/>
    <n v="6"/>
    <x v="0"/>
  </r>
  <r>
    <x v="3"/>
    <x v="0"/>
    <x v="0"/>
    <n v="4.5"/>
    <x v="2"/>
    <n v="7"/>
    <n v="2.5"/>
    <n v="1.5"/>
    <x v="9"/>
    <x v="10"/>
    <x v="0"/>
    <x v="2"/>
    <n v="4"/>
    <n v="7"/>
    <n v="10"/>
    <x v="0"/>
  </r>
  <r>
    <x v="4"/>
    <x v="1"/>
    <x v="0"/>
    <n v="1.9"/>
    <x v="2"/>
    <n v="5.0999999999999996"/>
    <n v="3.1999999999999997"/>
    <n v="2.9"/>
    <x v="104"/>
    <x v="19"/>
    <x v="0"/>
    <x v="0"/>
    <n v="4"/>
    <n v="3"/>
    <n v="2"/>
    <x v="0"/>
  </r>
  <r>
    <x v="2"/>
    <x v="0"/>
    <x v="0"/>
    <n v="3.8"/>
    <x v="0"/>
    <n v="7.7"/>
    <n v="3.9000000000000004"/>
    <n v="0.7"/>
    <x v="133"/>
    <x v="19"/>
    <x v="0"/>
    <x v="0"/>
    <n v="2"/>
    <n v="8"/>
    <n v="9"/>
    <x v="0"/>
  </r>
  <r>
    <x v="4"/>
    <x v="1"/>
    <x v="0"/>
    <n v="3.9"/>
    <x v="2"/>
    <n v="4"/>
    <n v="0.10000000000000009"/>
    <n v="1.8"/>
    <x v="69"/>
    <x v="3"/>
    <x v="0"/>
    <x v="1"/>
    <n v="1"/>
    <n v="2"/>
    <n v="5"/>
    <x v="0"/>
  </r>
  <r>
    <x v="2"/>
    <x v="1"/>
    <x v="0"/>
    <n v="1.1000000000000001"/>
    <x v="2"/>
    <n v="8.6999999999999993"/>
    <n v="7.6"/>
    <n v="2.1"/>
    <x v="0"/>
    <x v="5"/>
    <x v="0"/>
    <x v="2"/>
    <n v="1"/>
    <n v="1"/>
    <n v="3"/>
    <x v="0"/>
  </r>
  <r>
    <x v="3"/>
    <x v="1"/>
    <x v="0"/>
    <n v="3.9"/>
    <x v="2"/>
    <n v="8.6999999999999993"/>
    <n v="4.7999999999999989"/>
    <n v="1.1000000000000001"/>
    <x v="169"/>
    <x v="11"/>
    <x v="0"/>
    <x v="1"/>
    <n v="5"/>
    <n v="10"/>
    <n v="6"/>
    <x v="0"/>
  </r>
  <r>
    <x v="5"/>
    <x v="0"/>
    <x v="0"/>
    <n v="8"/>
    <x v="0"/>
    <n v="8.1"/>
    <n v="9.9999999999999645E-2"/>
    <n v="2.5"/>
    <x v="109"/>
    <x v="10"/>
    <x v="0"/>
    <x v="2"/>
    <n v="4"/>
    <n v="5"/>
    <n v="7"/>
    <x v="0"/>
  </r>
  <r>
    <x v="0"/>
    <x v="1"/>
    <x v="0"/>
    <n v="1.2"/>
    <x v="1"/>
    <n v="8.5"/>
    <n v="7.3"/>
    <n v="2.2999999999999998"/>
    <x v="84"/>
    <x v="17"/>
    <x v="0"/>
    <x v="1"/>
    <n v="1"/>
    <n v="8"/>
    <n v="1"/>
    <x v="0"/>
  </r>
  <r>
    <x v="3"/>
    <x v="0"/>
    <x v="0"/>
    <n v="2.2000000000000002"/>
    <x v="0"/>
    <n v="6.1"/>
    <n v="3.8999999999999995"/>
    <n v="0.9"/>
    <x v="36"/>
    <x v="15"/>
    <x v="0"/>
    <x v="1"/>
    <n v="2"/>
    <n v="7"/>
    <n v="3"/>
    <x v="0"/>
  </r>
  <r>
    <x v="3"/>
    <x v="1"/>
    <x v="0"/>
    <n v="4.2"/>
    <x v="1"/>
    <n v="6.8"/>
    <n v="2.5999999999999996"/>
    <n v="1.4"/>
    <x v="31"/>
    <x v="19"/>
    <x v="0"/>
    <x v="0"/>
    <n v="6"/>
    <n v="6"/>
    <n v="4"/>
    <x v="0"/>
  </r>
  <r>
    <x v="1"/>
    <x v="0"/>
    <x v="1"/>
    <n v="6"/>
    <x v="2"/>
    <n v="5.6"/>
    <n v="-0.40000000000000036"/>
    <n v="1.1000000000000001"/>
    <x v="34"/>
    <x v="10"/>
    <x v="0"/>
    <x v="2"/>
    <n v="1"/>
    <n v="3"/>
    <n v="3"/>
    <x v="0"/>
  </r>
  <r>
    <x v="1"/>
    <x v="0"/>
    <x v="1"/>
    <n v="5.4"/>
    <x v="0"/>
    <n v="4.9000000000000004"/>
    <n v="-0.5"/>
    <n v="0.6"/>
    <x v="158"/>
    <x v="2"/>
    <x v="0"/>
    <x v="0"/>
    <n v="5"/>
    <n v="6"/>
    <n v="10"/>
    <x v="0"/>
  </r>
  <r>
    <x v="3"/>
    <x v="1"/>
    <x v="0"/>
    <n v="2.7"/>
    <x v="1"/>
    <n v="7.6"/>
    <n v="4.8999999999999995"/>
    <n v="2.5"/>
    <x v="4"/>
    <x v="13"/>
    <x v="0"/>
    <x v="1"/>
    <n v="1"/>
    <n v="8"/>
    <n v="7"/>
    <x v="0"/>
  </r>
  <r>
    <x v="1"/>
    <x v="1"/>
    <x v="1"/>
    <n v="1.9"/>
    <x v="2"/>
    <n v="6.2"/>
    <n v="4.3000000000000007"/>
    <n v="0.9"/>
    <x v="108"/>
    <x v="3"/>
    <x v="0"/>
    <x v="0"/>
    <n v="5"/>
    <n v="6"/>
    <n v="7"/>
    <x v="0"/>
  </r>
  <r>
    <x v="0"/>
    <x v="0"/>
    <x v="0"/>
    <n v="1.5"/>
    <x v="2"/>
    <n v="6.8"/>
    <n v="5.3"/>
    <n v="0.8"/>
    <x v="198"/>
    <x v="2"/>
    <x v="0"/>
    <x v="2"/>
    <n v="4"/>
    <n v="5"/>
    <n v="8"/>
    <x v="0"/>
  </r>
  <r>
    <x v="2"/>
    <x v="1"/>
    <x v="0"/>
    <n v="2.6"/>
    <x v="1"/>
    <n v="4.8"/>
    <n v="2.1999999999999997"/>
    <n v="0.7"/>
    <x v="120"/>
    <x v="17"/>
    <x v="0"/>
    <x v="2"/>
    <n v="9"/>
    <n v="6"/>
    <n v="6"/>
    <x v="0"/>
  </r>
  <r>
    <x v="5"/>
    <x v="0"/>
    <x v="0"/>
    <n v="1.2"/>
    <x v="0"/>
    <n v="7.3"/>
    <n v="6.1"/>
    <n v="1"/>
    <x v="41"/>
    <x v="8"/>
    <x v="0"/>
    <x v="2"/>
    <n v="5"/>
    <n v="3"/>
    <n v="6"/>
    <x v="0"/>
  </r>
  <r>
    <x v="4"/>
    <x v="1"/>
    <x v="0"/>
    <n v="1.8"/>
    <x v="2"/>
    <n v="7.8"/>
    <n v="6"/>
    <n v="2"/>
    <x v="27"/>
    <x v="1"/>
    <x v="0"/>
    <x v="0"/>
    <n v="4"/>
    <n v="6"/>
    <n v="3"/>
    <x v="0"/>
  </r>
  <r>
    <x v="1"/>
    <x v="0"/>
    <x v="1"/>
    <n v="4.8"/>
    <x v="2"/>
    <n v="7.5"/>
    <n v="2.7"/>
    <n v="1"/>
    <x v="170"/>
    <x v="0"/>
    <x v="0"/>
    <x v="0"/>
    <n v="9"/>
    <n v="4"/>
    <n v="6"/>
    <x v="0"/>
  </r>
  <r>
    <x v="1"/>
    <x v="0"/>
    <x v="1"/>
    <n v="2.1"/>
    <x v="2"/>
    <n v="5.6"/>
    <n v="3.4999999999999996"/>
    <n v="2.4"/>
    <x v="85"/>
    <x v="19"/>
    <x v="0"/>
    <x v="1"/>
    <n v="9"/>
    <n v="3"/>
    <n v="4"/>
    <x v="0"/>
  </r>
  <r>
    <x v="3"/>
    <x v="0"/>
    <x v="0"/>
    <n v="4.4000000000000004"/>
    <x v="0"/>
    <n v="6"/>
    <n v="1.5999999999999996"/>
    <n v="0.5"/>
    <x v="122"/>
    <x v="5"/>
    <x v="0"/>
    <x v="2"/>
    <n v="1"/>
    <n v="6"/>
    <n v="10"/>
    <x v="0"/>
  </r>
  <r>
    <x v="0"/>
    <x v="0"/>
    <x v="0"/>
    <n v="2.8"/>
    <x v="2"/>
    <n v="4.3"/>
    <n v="1.5"/>
    <n v="3"/>
    <x v="111"/>
    <x v="13"/>
    <x v="0"/>
    <x v="2"/>
    <n v="9"/>
    <n v="3"/>
    <n v="7"/>
    <x v="0"/>
  </r>
  <r>
    <x v="3"/>
    <x v="0"/>
    <x v="0"/>
    <n v="3.5"/>
    <x v="1"/>
    <n v="4.5"/>
    <n v="1"/>
    <n v="2.7"/>
    <x v="108"/>
    <x v="3"/>
    <x v="0"/>
    <x v="0"/>
    <n v="1"/>
    <n v="5"/>
    <n v="10"/>
    <x v="0"/>
  </r>
  <r>
    <x v="3"/>
    <x v="0"/>
    <x v="0"/>
    <n v="6.8"/>
    <x v="2"/>
    <n v="6.6"/>
    <n v="-0.20000000000000018"/>
    <n v="2.1"/>
    <x v="45"/>
    <x v="10"/>
    <x v="0"/>
    <x v="0"/>
    <n v="10"/>
    <n v="10"/>
    <n v="8"/>
    <x v="0"/>
  </r>
  <r>
    <x v="0"/>
    <x v="0"/>
    <x v="0"/>
    <n v="7"/>
    <x v="0"/>
    <n v="5.2"/>
    <n v="-1.7999999999999998"/>
    <n v="1.4"/>
    <x v="30"/>
    <x v="10"/>
    <x v="0"/>
    <x v="2"/>
    <n v="5"/>
    <n v="7"/>
    <n v="8"/>
    <x v="0"/>
  </r>
  <r>
    <x v="2"/>
    <x v="1"/>
    <x v="0"/>
    <n v="7.5"/>
    <x v="2"/>
    <n v="8.1"/>
    <n v="0.59999999999999964"/>
    <n v="2.8"/>
    <x v="137"/>
    <x v="12"/>
    <x v="0"/>
    <x v="2"/>
    <n v="2"/>
    <n v="2"/>
    <n v="3"/>
    <x v="0"/>
  </r>
  <r>
    <x v="2"/>
    <x v="1"/>
    <x v="0"/>
    <n v="2.5"/>
    <x v="0"/>
    <n v="4.4000000000000004"/>
    <n v="1.9000000000000004"/>
    <n v="2"/>
    <x v="11"/>
    <x v="5"/>
    <x v="0"/>
    <x v="0"/>
    <n v="4"/>
    <n v="6"/>
    <n v="5"/>
    <x v="0"/>
  </r>
  <r>
    <x v="3"/>
    <x v="0"/>
    <x v="0"/>
    <n v="6.5"/>
    <x v="1"/>
    <n v="5.4"/>
    <n v="-1.0999999999999996"/>
    <n v="2.1"/>
    <x v="189"/>
    <x v="17"/>
    <x v="0"/>
    <x v="0"/>
    <n v="7"/>
    <n v="3"/>
    <n v="6"/>
    <x v="0"/>
  </r>
  <r>
    <x v="6"/>
    <x v="0"/>
    <x v="0"/>
    <n v="7.7"/>
    <x v="0"/>
    <n v="4.4000000000000004"/>
    <n v="-3.3"/>
    <n v="2"/>
    <x v="181"/>
    <x v="19"/>
    <x v="0"/>
    <x v="1"/>
    <n v="8"/>
    <n v="7"/>
    <n v="8"/>
    <x v="1"/>
  </r>
  <r>
    <x v="4"/>
    <x v="1"/>
    <x v="0"/>
    <n v="3.2"/>
    <x v="2"/>
    <n v="7.8"/>
    <n v="4.5999999999999996"/>
    <n v="0.7"/>
    <x v="176"/>
    <x v="6"/>
    <x v="0"/>
    <x v="0"/>
    <n v="5"/>
    <n v="10"/>
    <n v="6"/>
    <x v="0"/>
  </r>
  <r>
    <x v="5"/>
    <x v="1"/>
    <x v="0"/>
    <n v="5.3"/>
    <x v="1"/>
    <n v="4.3"/>
    <n v="-1"/>
    <n v="1.5"/>
    <x v="144"/>
    <x v="11"/>
    <x v="0"/>
    <x v="1"/>
    <n v="7"/>
    <n v="7"/>
    <n v="10"/>
    <x v="1"/>
  </r>
  <r>
    <x v="0"/>
    <x v="0"/>
    <x v="0"/>
    <n v="5"/>
    <x v="1"/>
    <n v="5.2"/>
    <n v="0.20000000000000018"/>
    <n v="0.5"/>
    <x v="113"/>
    <x v="14"/>
    <x v="0"/>
    <x v="0"/>
    <n v="10"/>
    <n v="6"/>
    <n v="8"/>
    <x v="0"/>
  </r>
  <r>
    <x v="1"/>
    <x v="0"/>
    <x v="1"/>
    <n v="6.1"/>
    <x v="0"/>
    <n v="7.1"/>
    <n v="1"/>
    <n v="2.2999999999999998"/>
    <x v="1"/>
    <x v="12"/>
    <x v="0"/>
    <x v="0"/>
    <n v="4"/>
    <n v="3"/>
    <n v="7"/>
    <x v="0"/>
  </r>
  <r>
    <x v="2"/>
    <x v="0"/>
    <x v="0"/>
    <n v="4.2"/>
    <x v="1"/>
    <n v="7.3"/>
    <n v="3.0999999999999996"/>
    <n v="2.6"/>
    <x v="121"/>
    <x v="18"/>
    <x v="0"/>
    <x v="1"/>
    <n v="7"/>
    <n v="1"/>
    <n v="3"/>
    <x v="0"/>
  </r>
  <r>
    <x v="3"/>
    <x v="0"/>
    <x v="0"/>
    <n v="4.7"/>
    <x v="0"/>
    <n v="8.1999999999999993"/>
    <n v="3.4999999999999991"/>
    <n v="2.2999999999999998"/>
    <x v="124"/>
    <x v="4"/>
    <x v="0"/>
    <x v="0"/>
    <n v="6"/>
    <n v="2"/>
    <n v="5"/>
    <x v="0"/>
  </r>
  <r>
    <x v="4"/>
    <x v="0"/>
    <x v="0"/>
    <n v="1.6"/>
    <x v="1"/>
    <n v="5.8"/>
    <n v="4.1999999999999993"/>
    <n v="0.6"/>
    <x v="192"/>
    <x v="8"/>
    <x v="0"/>
    <x v="1"/>
    <n v="6"/>
    <n v="9"/>
    <n v="7"/>
    <x v="0"/>
  </r>
  <r>
    <x v="0"/>
    <x v="1"/>
    <x v="0"/>
    <n v="1.7"/>
    <x v="1"/>
    <n v="6.5"/>
    <n v="4.8"/>
    <n v="2.7"/>
    <x v="35"/>
    <x v="15"/>
    <x v="0"/>
    <x v="2"/>
    <n v="9"/>
    <n v="5"/>
    <n v="9"/>
    <x v="0"/>
  </r>
  <r>
    <x v="4"/>
    <x v="0"/>
    <x v="0"/>
    <n v="4.5999999999999996"/>
    <x v="0"/>
    <n v="4.0999999999999996"/>
    <n v="-0.5"/>
    <n v="1.4"/>
    <x v="139"/>
    <x v="14"/>
    <x v="0"/>
    <x v="2"/>
    <n v="4"/>
    <n v="10"/>
    <n v="10"/>
    <x v="0"/>
  </r>
  <r>
    <x v="6"/>
    <x v="1"/>
    <x v="0"/>
    <n v="2.5"/>
    <x v="1"/>
    <n v="6.8"/>
    <n v="4.3"/>
    <n v="2.8"/>
    <x v="74"/>
    <x v="12"/>
    <x v="0"/>
    <x v="0"/>
    <n v="2"/>
    <n v="6"/>
    <n v="10"/>
    <x v="0"/>
  </r>
  <r>
    <x v="5"/>
    <x v="1"/>
    <x v="0"/>
    <n v="4.2"/>
    <x v="1"/>
    <n v="6.3"/>
    <n v="2.0999999999999996"/>
    <n v="1.2"/>
    <x v="82"/>
    <x v="13"/>
    <x v="0"/>
    <x v="0"/>
    <n v="5"/>
    <n v="3"/>
    <n v="7"/>
    <x v="0"/>
  </r>
  <r>
    <x v="1"/>
    <x v="1"/>
    <x v="1"/>
    <n v="1.2"/>
    <x v="1"/>
    <n v="4.8"/>
    <n v="3.5999999999999996"/>
    <n v="1.7"/>
    <x v="51"/>
    <x v="4"/>
    <x v="0"/>
    <x v="2"/>
    <n v="10"/>
    <n v="10"/>
    <n v="10"/>
    <x v="0"/>
  </r>
  <r>
    <x v="3"/>
    <x v="0"/>
    <x v="0"/>
    <n v="2.7"/>
    <x v="0"/>
    <n v="7.2"/>
    <n v="4.5"/>
    <n v="2.9"/>
    <x v="30"/>
    <x v="1"/>
    <x v="0"/>
    <x v="2"/>
    <n v="5"/>
    <n v="2"/>
    <n v="9"/>
    <x v="0"/>
  </r>
  <r>
    <x v="6"/>
    <x v="0"/>
    <x v="0"/>
    <n v="1.5"/>
    <x v="2"/>
    <n v="5.2"/>
    <n v="3.7"/>
    <n v="0.8"/>
    <x v="51"/>
    <x v="7"/>
    <x v="0"/>
    <x v="2"/>
    <n v="10"/>
    <n v="6"/>
    <n v="8"/>
    <x v="0"/>
  </r>
  <r>
    <x v="3"/>
    <x v="0"/>
    <x v="0"/>
    <n v="3.2"/>
    <x v="0"/>
    <n v="5.6"/>
    <n v="2.3999999999999995"/>
    <n v="0.7"/>
    <x v="98"/>
    <x v="0"/>
    <x v="0"/>
    <x v="1"/>
    <n v="6"/>
    <n v="3"/>
    <n v="1"/>
    <x v="0"/>
  </r>
  <r>
    <x v="1"/>
    <x v="1"/>
    <x v="1"/>
    <n v="7.3"/>
    <x v="2"/>
    <n v="7.4"/>
    <n v="0.10000000000000053"/>
    <n v="1.5"/>
    <x v="33"/>
    <x v="19"/>
    <x v="0"/>
    <x v="2"/>
    <n v="9"/>
    <n v="8"/>
    <n v="5"/>
    <x v="0"/>
  </r>
  <r>
    <x v="5"/>
    <x v="0"/>
    <x v="0"/>
    <n v="2"/>
    <x v="0"/>
    <n v="8.1999999999999993"/>
    <n v="6.1999999999999993"/>
    <n v="1"/>
    <x v="54"/>
    <x v="7"/>
    <x v="0"/>
    <x v="2"/>
    <n v="9"/>
    <n v="7"/>
    <n v="10"/>
    <x v="0"/>
  </r>
  <r>
    <x v="1"/>
    <x v="0"/>
    <x v="1"/>
    <n v="2.5"/>
    <x v="1"/>
    <n v="7.1"/>
    <n v="4.5999999999999996"/>
    <n v="1.9"/>
    <x v="188"/>
    <x v="8"/>
    <x v="0"/>
    <x v="0"/>
    <n v="4"/>
    <n v="4"/>
    <n v="8"/>
    <x v="0"/>
  </r>
  <r>
    <x v="5"/>
    <x v="1"/>
    <x v="0"/>
    <n v="7.7"/>
    <x v="0"/>
    <n v="4.7"/>
    <n v="-3"/>
    <n v="2.9"/>
    <x v="96"/>
    <x v="9"/>
    <x v="0"/>
    <x v="2"/>
    <n v="5"/>
    <n v="7"/>
    <n v="6"/>
    <x v="0"/>
  </r>
  <r>
    <x v="1"/>
    <x v="1"/>
    <x v="1"/>
    <n v="3.9"/>
    <x v="2"/>
    <n v="7.9"/>
    <n v="4"/>
    <n v="2.1"/>
    <x v="136"/>
    <x v="4"/>
    <x v="0"/>
    <x v="1"/>
    <n v="3"/>
    <n v="2"/>
    <n v="4"/>
    <x v="0"/>
  </r>
  <r>
    <x v="5"/>
    <x v="1"/>
    <x v="0"/>
    <n v="3.5"/>
    <x v="1"/>
    <n v="6.1"/>
    <n v="2.5999999999999996"/>
    <n v="2.7"/>
    <x v="26"/>
    <x v="15"/>
    <x v="0"/>
    <x v="2"/>
    <n v="4"/>
    <n v="5"/>
    <n v="10"/>
    <x v="0"/>
  </r>
  <r>
    <x v="2"/>
    <x v="0"/>
    <x v="0"/>
    <n v="4.9000000000000004"/>
    <x v="0"/>
    <n v="6.4"/>
    <n v="1.5"/>
    <n v="2.5"/>
    <x v="24"/>
    <x v="13"/>
    <x v="0"/>
    <x v="2"/>
    <n v="6"/>
    <n v="2"/>
    <n v="10"/>
    <x v="0"/>
  </r>
  <r>
    <x v="0"/>
    <x v="0"/>
    <x v="0"/>
    <n v="3.4"/>
    <x v="2"/>
    <n v="5.8"/>
    <n v="2.4"/>
    <n v="3"/>
    <x v="81"/>
    <x v="4"/>
    <x v="0"/>
    <x v="2"/>
    <n v="1"/>
    <n v="4"/>
    <n v="4"/>
    <x v="0"/>
  </r>
  <r>
    <x v="4"/>
    <x v="0"/>
    <x v="0"/>
    <n v="2.5"/>
    <x v="1"/>
    <n v="4.5999999999999996"/>
    <n v="2.0999999999999996"/>
    <n v="2.2000000000000002"/>
    <x v="167"/>
    <x v="5"/>
    <x v="0"/>
    <x v="2"/>
    <n v="9"/>
    <n v="5"/>
    <n v="10"/>
    <x v="0"/>
  </r>
  <r>
    <x v="5"/>
    <x v="0"/>
    <x v="0"/>
    <n v="4.8"/>
    <x v="2"/>
    <n v="5.4"/>
    <n v="0.60000000000000053"/>
    <n v="0.9"/>
    <x v="35"/>
    <x v="13"/>
    <x v="0"/>
    <x v="0"/>
    <n v="8"/>
    <n v="3"/>
    <n v="2"/>
    <x v="0"/>
  </r>
  <r>
    <x v="1"/>
    <x v="0"/>
    <x v="1"/>
    <n v="7.4"/>
    <x v="1"/>
    <n v="6.1"/>
    <n v="-1.3000000000000007"/>
    <n v="1.1000000000000001"/>
    <x v="23"/>
    <x v="16"/>
    <x v="0"/>
    <x v="1"/>
    <n v="4"/>
    <n v="4"/>
    <n v="1"/>
    <x v="0"/>
  </r>
  <r>
    <x v="5"/>
    <x v="1"/>
    <x v="0"/>
    <n v="2.1"/>
    <x v="0"/>
    <n v="4.8"/>
    <n v="2.6999999999999997"/>
    <n v="1.3"/>
    <x v="89"/>
    <x v="17"/>
    <x v="0"/>
    <x v="1"/>
    <n v="6"/>
    <n v="9"/>
    <n v="2"/>
    <x v="0"/>
  </r>
  <r>
    <x v="1"/>
    <x v="0"/>
    <x v="1"/>
    <n v="2.1"/>
    <x v="1"/>
    <n v="6.8"/>
    <n v="4.6999999999999993"/>
    <n v="2.2000000000000002"/>
    <x v="179"/>
    <x v="19"/>
    <x v="0"/>
    <x v="2"/>
    <n v="7"/>
    <n v="6"/>
    <n v="7"/>
    <x v="0"/>
  </r>
  <r>
    <x v="5"/>
    <x v="0"/>
    <x v="0"/>
    <n v="1.8"/>
    <x v="0"/>
    <n v="4.9000000000000004"/>
    <n v="3.1000000000000005"/>
    <n v="2.2999999999999998"/>
    <x v="27"/>
    <x v="3"/>
    <x v="0"/>
    <x v="2"/>
    <n v="3"/>
    <n v="8"/>
    <n v="6"/>
    <x v="0"/>
  </r>
  <r>
    <x v="4"/>
    <x v="0"/>
    <x v="0"/>
    <n v="6.8"/>
    <x v="2"/>
    <n v="5.4"/>
    <n v="-1.3999999999999995"/>
    <n v="0.9"/>
    <x v="24"/>
    <x v="11"/>
    <x v="0"/>
    <x v="1"/>
    <n v="9"/>
    <n v="1"/>
    <n v="8"/>
    <x v="0"/>
  </r>
  <r>
    <x v="4"/>
    <x v="0"/>
    <x v="0"/>
    <n v="7.9"/>
    <x v="0"/>
    <n v="4.0999999999999996"/>
    <n v="-3.8000000000000007"/>
    <n v="2.8"/>
    <x v="112"/>
    <x v="3"/>
    <x v="0"/>
    <x v="1"/>
    <n v="4"/>
    <n v="2"/>
    <n v="4"/>
    <x v="0"/>
  </r>
  <r>
    <x v="3"/>
    <x v="0"/>
    <x v="0"/>
    <n v="7.6"/>
    <x v="2"/>
    <n v="6"/>
    <n v="-1.5999999999999996"/>
    <n v="2.9"/>
    <x v="157"/>
    <x v="17"/>
    <x v="0"/>
    <x v="1"/>
    <n v="1"/>
    <n v="9"/>
    <n v="6"/>
    <x v="0"/>
  </r>
  <r>
    <x v="4"/>
    <x v="0"/>
    <x v="0"/>
    <n v="6.1"/>
    <x v="1"/>
    <n v="5.8"/>
    <n v="-0.29999999999999982"/>
    <n v="1.8"/>
    <x v="38"/>
    <x v="18"/>
    <x v="0"/>
    <x v="0"/>
    <n v="2"/>
    <n v="5"/>
    <n v="4"/>
    <x v="0"/>
  </r>
  <r>
    <x v="5"/>
    <x v="1"/>
    <x v="0"/>
    <n v="1.4"/>
    <x v="2"/>
    <n v="5.7"/>
    <n v="4.3000000000000007"/>
    <n v="1.8"/>
    <x v="199"/>
    <x v="3"/>
    <x v="0"/>
    <x v="0"/>
    <n v="4"/>
    <n v="8"/>
    <n v="7"/>
    <x v="0"/>
  </r>
  <r>
    <x v="1"/>
    <x v="0"/>
    <x v="1"/>
    <n v="6.3"/>
    <x v="1"/>
    <n v="5.7"/>
    <n v="-0.59999999999999964"/>
    <n v="1.4"/>
    <x v="50"/>
    <x v="8"/>
    <x v="0"/>
    <x v="0"/>
    <n v="4"/>
    <n v="6"/>
    <n v="1"/>
    <x v="0"/>
  </r>
  <r>
    <x v="6"/>
    <x v="0"/>
    <x v="0"/>
    <n v="1.3"/>
    <x v="0"/>
    <n v="5.7"/>
    <n v="4.4000000000000004"/>
    <n v="1.1000000000000001"/>
    <x v="196"/>
    <x v="6"/>
    <x v="0"/>
    <x v="0"/>
    <n v="9"/>
    <n v="5"/>
    <n v="10"/>
    <x v="0"/>
  </r>
  <r>
    <x v="2"/>
    <x v="0"/>
    <x v="0"/>
    <n v="5.0999999999999996"/>
    <x v="1"/>
    <n v="5.0999999999999996"/>
    <n v="0"/>
    <n v="2.9"/>
    <x v="87"/>
    <x v="4"/>
    <x v="0"/>
    <x v="2"/>
    <n v="4"/>
    <n v="2"/>
    <n v="9"/>
    <x v="0"/>
  </r>
  <r>
    <x v="1"/>
    <x v="1"/>
    <x v="1"/>
    <n v="4"/>
    <x v="0"/>
    <n v="8.1999999999999993"/>
    <n v="4.1999999999999993"/>
    <n v="1.4"/>
    <x v="192"/>
    <x v="6"/>
    <x v="0"/>
    <x v="0"/>
    <n v="5"/>
    <n v="3"/>
    <n v="10"/>
    <x v="0"/>
  </r>
  <r>
    <x v="2"/>
    <x v="1"/>
    <x v="0"/>
    <n v="7.6"/>
    <x v="0"/>
    <n v="7.3"/>
    <n v="-0.29999999999999982"/>
    <n v="1.9"/>
    <x v="28"/>
    <x v="8"/>
    <x v="0"/>
    <x v="2"/>
    <n v="10"/>
    <n v="8"/>
    <n v="1"/>
    <x v="0"/>
  </r>
  <r>
    <x v="1"/>
    <x v="0"/>
    <x v="1"/>
    <n v="3.8"/>
    <x v="1"/>
    <n v="7.4"/>
    <n v="3.6000000000000005"/>
    <n v="2.6"/>
    <x v="190"/>
    <x v="12"/>
    <x v="0"/>
    <x v="0"/>
    <n v="7"/>
    <n v="4"/>
    <n v="8"/>
    <x v="0"/>
  </r>
  <r>
    <x v="2"/>
    <x v="0"/>
    <x v="0"/>
    <n v="5.2"/>
    <x v="0"/>
    <n v="4.7"/>
    <n v="-0.5"/>
    <n v="2.4"/>
    <x v="74"/>
    <x v="6"/>
    <x v="0"/>
    <x v="1"/>
    <n v="9"/>
    <n v="6"/>
    <n v="9"/>
    <x v="0"/>
  </r>
  <r>
    <x v="6"/>
    <x v="0"/>
    <x v="0"/>
    <n v="5"/>
    <x v="2"/>
    <n v="8.6"/>
    <n v="3.5999999999999996"/>
    <n v="0.7"/>
    <x v="13"/>
    <x v="0"/>
    <x v="0"/>
    <x v="0"/>
    <n v="3"/>
    <n v="8"/>
    <n v="3"/>
    <x v="0"/>
  </r>
  <r>
    <x v="1"/>
    <x v="1"/>
    <x v="1"/>
    <n v="7.4"/>
    <x v="2"/>
    <n v="8.3000000000000007"/>
    <n v="0.90000000000000036"/>
    <n v="1.4"/>
    <x v="71"/>
    <x v="14"/>
    <x v="0"/>
    <x v="0"/>
    <n v="6"/>
    <n v="9"/>
    <n v="6"/>
    <x v="0"/>
  </r>
  <r>
    <x v="5"/>
    <x v="0"/>
    <x v="0"/>
    <n v="6.1"/>
    <x v="1"/>
    <n v="6.8"/>
    <n v="0.70000000000000018"/>
    <n v="0.8"/>
    <x v="68"/>
    <x v="7"/>
    <x v="0"/>
    <x v="0"/>
    <n v="10"/>
    <n v="10"/>
    <n v="4"/>
    <x v="0"/>
  </r>
  <r>
    <x v="6"/>
    <x v="1"/>
    <x v="0"/>
    <n v="7.4"/>
    <x v="2"/>
    <n v="6.7"/>
    <n v="-0.70000000000000018"/>
    <n v="2"/>
    <x v="156"/>
    <x v="0"/>
    <x v="0"/>
    <x v="0"/>
    <n v="10"/>
    <n v="1"/>
    <n v="1"/>
    <x v="0"/>
  </r>
  <r>
    <x v="5"/>
    <x v="0"/>
    <x v="0"/>
    <n v="3.5"/>
    <x v="2"/>
    <n v="4.4000000000000004"/>
    <n v="0.90000000000000036"/>
    <n v="1.5"/>
    <x v="109"/>
    <x v="1"/>
    <x v="0"/>
    <x v="1"/>
    <n v="2"/>
    <n v="10"/>
    <n v="8"/>
    <x v="0"/>
  </r>
  <r>
    <x v="0"/>
    <x v="0"/>
    <x v="0"/>
    <n v="5.0999999999999996"/>
    <x v="0"/>
    <n v="6.3"/>
    <n v="1.2000000000000002"/>
    <n v="1.6"/>
    <x v="109"/>
    <x v="15"/>
    <x v="0"/>
    <x v="2"/>
    <n v="7"/>
    <n v="2"/>
    <n v="7"/>
    <x v="0"/>
  </r>
  <r>
    <x v="2"/>
    <x v="0"/>
    <x v="0"/>
    <n v="4.8"/>
    <x v="1"/>
    <n v="6"/>
    <n v="1.2000000000000002"/>
    <n v="2.1"/>
    <x v="67"/>
    <x v="17"/>
    <x v="0"/>
    <x v="1"/>
    <n v="5"/>
    <n v="8"/>
    <n v="7"/>
    <x v="0"/>
  </r>
  <r>
    <x v="0"/>
    <x v="0"/>
    <x v="0"/>
    <n v="7.5"/>
    <x v="2"/>
    <n v="7.6"/>
    <n v="9.9999999999999645E-2"/>
    <n v="2.8"/>
    <x v="98"/>
    <x v="5"/>
    <x v="0"/>
    <x v="2"/>
    <n v="3"/>
    <n v="1"/>
    <n v="2"/>
    <x v="0"/>
  </r>
  <r>
    <x v="1"/>
    <x v="0"/>
    <x v="1"/>
    <n v="4.7"/>
    <x v="2"/>
    <n v="8.6999999999999993"/>
    <n v="3.9999999999999991"/>
    <n v="2"/>
    <x v="200"/>
    <x v="10"/>
    <x v="0"/>
    <x v="0"/>
    <n v="4"/>
    <n v="10"/>
    <n v="3"/>
    <x v="0"/>
  </r>
  <r>
    <x v="1"/>
    <x v="0"/>
    <x v="1"/>
    <n v="3.3"/>
    <x v="1"/>
    <n v="8.5"/>
    <n v="5.2"/>
    <n v="1.2"/>
    <x v="11"/>
    <x v="12"/>
    <x v="0"/>
    <x v="2"/>
    <n v="6"/>
    <n v="2"/>
    <n v="9"/>
    <x v="0"/>
  </r>
  <r>
    <x v="5"/>
    <x v="1"/>
    <x v="0"/>
    <n v="6.9"/>
    <x v="0"/>
    <n v="5.8"/>
    <n v="-1.1000000000000005"/>
    <n v="0.6"/>
    <x v="44"/>
    <x v="12"/>
    <x v="0"/>
    <x v="1"/>
    <n v="10"/>
    <n v="8"/>
    <n v="10"/>
    <x v="1"/>
  </r>
  <r>
    <x v="3"/>
    <x v="0"/>
    <x v="0"/>
    <n v="5.4"/>
    <x v="0"/>
    <n v="4.2"/>
    <n v="-1.2000000000000002"/>
    <n v="1.5"/>
    <x v="157"/>
    <x v="14"/>
    <x v="0"/>
    <x v="1"/>
    <n v="1"/>
    <n v="6"/>
    <n v="5"/>
    <x v="0"/>
  </r>
  <r>
    <x v="6"/>
    <x v="1"/>
    <x v="0"/>
    <n v="5.2"/>
    <x v="2"/>
    <n v="7.7"/>
    <n v="2.5"/>
    <n v="2.7"/>
    <x v="33"/>
    <x v="1"/>
    <x v="0"/>
    <x v="1"/>
    <n v="2"/>
    <n v="5"/>
    <n v="5"/>
    <x v="0"/>
  </r>
  <r>
    <x v="3"/>
    <x v="1"/>
    <x v="0"/>
    <n v="3.3"/>
    <x v="0"/>
    <n v="6.5"/>
    <n v="3.2"/>
    <n v="1.3"/>
    <x v="151"/>
    <x v="11"/>
    <x v="0"/>
    <x v="2"/>
    <n v="7"/>
    <n v="6"/>
    <n v="7"/>
    <x v="0"/>
  </r>
  <r>
    <x v="3"/>
    <x v="1"/>
    <x v="0"/>
    <n v="7.3"/>
    <x v="2"/>
    <n v="7.6"/>
    <n v="0.29999999999999982"/>
    <n v="1.9"/>
    <x v="29"/>
    <x v="1"/>
    <x v="0"/>
    <x v="2"/>
    <n v="8"/>
    <n v="7"/>
    <n v="5"/>
    <x v="0"/>
  </r>
  <r>
    <x v="2"/>
    <x v="0"/>
    <x v="0"/>
    <n v="7.6"/>
    <x v="2"/>
    <n v="4.9000000000000004"/>
    <n v="-2.6999999999999993"/>
    <n v="0.6"/>
    <x v="55"/>
    <x v="1"/>
    <x v="0"/>
    <x v="0"/>
    <n v="4"/>
    <n v="1"/>
    <n v="9"/>
    <x v="0"/>
  </r>
  <r>
    <x v="2"/>
    <x v="0"/>
    <x v="0"/>
    <n v="1.7"/>
    <x v="2"/>
    <n v="7"/>
    <n v="5.3"/>
    <n v="0.8"/>
    <x v="173"/>
    <x v="7"/>
    <x v="0"/>
    <x v="1"/>
    <n v="7"/>
    <n v="7"/>
    <n v="10"/>
    <x v="0"/>
  </r>
  <r>
    <x v="4"/>
    <x v="0"/>
    <x v="0"/>
    <n v="1.5"/>
    <x v="2"/>
    <n v="5.6"/>
    <n v="4.0999999999999996"/>
    <n v="2.9"/>
    <x v="79"/>
    <x v="4"/>
    <x v="0"/>
    <x v="1"/>
    <n v="5"/>
    <n v="8"/>
    <n v="4"/>
    <x v="0"/>
  </r>
  <r>
    <x v="2"/>
    <x v="0"/>
    <x v="0"/>
    <n v="7.3"/>
    <x v="2"/>
    <n v="8.5"/>
    <n v="1.2000000000000002"/>
    <n v="1.5"/>
    <x v="146"/>
    <x v="9"/>
    <x v="0"/>
    <x v="0"/>
    <n v="3"/>
    <n v="3"/>
    <n v="7"/>
    <x v="0"/>
  </r>
  <r>
    <x v="0"/>
    <x v="0"/>
    <x v="0"/>
    <n v="2.8"/>
    <x v="2"/>
    <n v="6.2"/>
    <n v="3.4000000000000004"/>
    <n v="1.2"/>
    <x v="123"/>
    <x v="19"/>
    <x v="0"/>
    <x v="0"/>
    <n v="3"/>
    <n v="10"/>
    <n v="6"/>
    <x v="0"/>
  </r>
  <r>
    <x v="3"/>
    <x v="0"/>
    <x v="0"/>
    <n v="1.2"/>
    <x v="2"/>
    <n v="7.4"/>
    <n v="6.2"/>
    <n v="2.7"/>
    <x v="162"/>
    <x v="3"/>
    <x v="0"/>
    <x v="0"/>
    <n v="3"/>
    <n v="7"/>
    <n v="4"/>
    <x v="0"/>
  </r>
  <r>
    <x v="5"/>
    <x v="1"/>
    <x v="0"/>
    <n v="2.5"/>
    <x v="1"/>
    <n v="8.9"/>
    <n v="6.4"/>
    <n v="1.2"/>
    <x v="122"/>
    <x v="0"/>
    <x v="0"/>
    <x v="1"/>
    <n v="4"/>
    <n v="4"/>
    <n v="10"/>
    <x v="0"/>
  </r>
  <r>
    <x v="2"/>
    <x v="0"/>
    <x v="0"/>
    <n v="4.8"/>
    <x v="1"/>
    <n v="5.6"/>
    <n v="0.79999999999999982"/>
    <n v="1.6"/>
    <x v="199"/>
    <x v="6"/>
    <x v="0"/>
    <x v="0"/>
    <n v="3"/>
    <n v="8"/>
    <n v="4"/>
    <x v="0"/>
  </r>
  <r>
    <x v="4"/>
    <x v="1"/>
    <x v="0"/>
    <n v="6.4"/>
    <x v="2"/>
    <n v="4.2"/>
    <n v="-2.2000000000000002"/>
    <n v="1.1000000000000001"/>
    <x v="170"/>
    <x v="11"/>
    <x v="0"/>
    <x v="1"/>
    <n v="10"/>
    <n v="9"/>
    <n v="4"/>
    <x v="1"/>
  </r>
  <r>
    <x v="5"/>
    <x v="1"/>
    <x v="0"/>
    <n v="6.6"/>
    <x v="0"/>
    <n v="6.1"/>
    <n v="-0.5"/>
    <n v="1.7"/>
    <x v="27"/>
    <x v="17"/>
    <x v="0"/>
    <x v="0"/>
    <n v="10"/>
    <n v="8"/>
    <n v="2"/>
    <x v="0"/>
  </r>
  <r>
    <x v="0"/>
    <x v="1"/>
    <x v="0"/>
    <n v="3.5"/>
    <x v="2"/>
    <n v="5.7"/>
    <n v="2.2000000000000002"/>
    <n v="2.4"/>
    <x v="176"/>
    <x v="7"/>
    <x v="0"/>
    <x v="0"/>
    <n v="8"/>
    <n v="4"/>
    <n v="10"/>
    <x v="0"/>
  </r>
  <r>
    <x v="0"/>
    <x v="1"/>
    <x v="0"/>
    <n v="2.4"/>
    <x v="1"/>
    <n v="6.3"/>
    <n v="3.9"/>
    <n v="2.8"/>
    <x v="103"/>
    <x v="5"/>
    <x v="0"/>
    <x v="0"/>
    <n v="9"/>
    <n v="5"/>
    <n v="2"/>
    <x v="0"/>
  </r>
  <r>
    <x v="6"/>
    <x v="0"/>
    <x v="0"/>
    <n v="5.9"/>
    <x v="0"/>
    <n v="4.3"/>
    <n v="-1.6000000000000005"/>
    <n v="0.8"/>
    <x v="64"/>
    <x v="8"/>
    <x v="0"/>
    <x v="2"/>
    <n v="4"/>
    <n v="3"/>
    <n v="2"/>
    <x v="0"/>
  </r>
  <r>
    <x v="1"/>
    <x v="1"/>
    <x v="1"/>
    <n v="7.4"/>
    <x v="0"/>
    <n v="5"/>
    <n v="-2.4000000000000004"/>
    <n v="2"/>
    <x v="170"/>
    <x v="9"/>
    <x v="0"/>
    <x v="0"/>
    <n v="1"/>
    <n v="6"/>
    <n v="8"/>
    <x v="0"/>
  </r>
  <r>
    <x v="3"/>
    <x v="1"/>
    <x v="0"/>
    <n v="4.5999999999999996"/>
    <x v="1"/>
    <n v="5.3"/>
    <n v="0.70000000000000018"/>
    <n v="3"/>
    <x v="112"/>
    <x v="18"/>
    <x v="0"/>
    <x v="0"/>
    <n v="1"/>
    <n v="8"/>
    <n v="7"/>
    <x v="0"/>
  </r>
  <r>
    <x v="2"/>
    <x v="0"/>
    <x v="0"/>
    <n v="7.3"/>
    <x v="0"/>
    <n v="5.8"/>
    <n v="-1.5"/>
    <n v="2.9"/>
    <x v="165"/>
    <x v="7"/>
    <x v="0"/>
    <x v="2"/>
    <n v="6"/>
    <n v="2"/>
    <n v="9"/>
    <x v="0"/>
  </r>
  <r>
    <x v="2"/>
    <x v="1"/>
    <x v="0"/>
    <n v="2.9"/>
    <x v="1"/>
    <n v="4.5"/>
    <n v="1.6"/>
    <n v="0.9"/>
    <x v="65"/>
    <x v="15"/>
    <x v="0"/>
    <x v="0"/>
    <n v="1"/>
    <n v="6"/>
    <n v="4"/>
    <x v="0"/>
  </r>
  <r>
    <x v="1"/>
    <x v="0"/>
    <x v="1"/>
    <n v="5.3"/>
    <x v="1"/>
    <n v="8.4"/>
    <n v="3.1000000000000005"/>
    <n v="0.6"/>
    <x v="16"/>
    <x v="14"/>
    <x v="0"/>
    <x v="2"/>
    <n v="9"/>
    <n v="4"/>
    <n v="6"/>
    <x v="0"/>
  </r>
  <r>
    <x v="2"/>
    <x v="1"/>
    <x v="0"/>
    <n v="7.2"/>
    <x v="1"/>
    <n v="8.1999999999999993"/>
    <n v="0.99999999999999911"/>
    <n v="2.9"/>
    <x v="20"/>
    <x v="19"/>
    <x v="0"/>
    <x v="1"/>
    <n v="6"/>
    <n v="2"/>
    <n v="5"/>
    <x v="0"/>
  </r>
  <r>
    <x v="3"/>
    <x v="1"/>
    <x v="0"/>
    <n v="2.6"/>
    <x v="2"/>
    <n v="7.9"/>
    <n v="5.3000000000000007"/>
    <n v="1.8"/>
    <x v="84"/>
    <x v="12"/>
    <x v="0"/>
    <x v="2"/>
    <n v="4"/>
    <n v="5"/>
    <n v="6"/>
    <x v="0"/>
  </r>
  <r>
    <x v="3"/>
    <x v="0"/>
    <x v="0"/>
    <n v="3.6"/>
    <x v="0"/>
    <n v="4.8"/>
    <n v="1.1999999999999997"/>
    <n v="1"/>
    <x v="65"/>
    <x v="8"/>
    <x v="0"/>
    <x v="2"/>
    <n v="5"/>
    <n v="7"/>
    <n v="4"/>
    <x v="0"/>
  </r>
  <r>
    <x v="1"/>
    <x v="0"/>
    <x v="1"/>
    <n v="3.6"/>
    <x v="0"/>
    <n v="6.5"/>
    <n v="2.9"/>
    <n v="1.1000000000000001"/>
    <x v="44"/>
    <x v="8"/>
    <x v="0"/>
    <x v="0"/>
    <n v="5"/>
    <n v="9"/>
    <n v="10"/>
    <x v="0"/>
  </r>
  <r>
    <x v="3"/>
    <x v="1"/>
    <x v="0"/>
    <n v="1.8"/>
    <x v="0"/>
    <n v="5.5"/>
    <n v="3.7"/>
    <n v="1.6"/>
    <x v="11"/>
    <x v="6"/>
    <x v="0"/>
    <x v="2"/>
    <n v="6"/>
    <n v="5"/>
    <n v="9"/>
    <x v="0"/>
  </r>
  <r>
    <x v="0"/>
    <x v="1"/>
    <x v="0"/>
    <n v="1.8"/>
    <x v="0"/>
    <n v="7.6"/>
    <n v="5.8"/>
    <n v="1.2"/>
    <x v="33"/>
    <x v="8"/>
    <x v="0"/>
    <x v="1"/>
    <n v="10"/>
    <n v="1"/>
    <n v="3"/>
    <x v="0"/>
  </r>
  <r>
    <x v="3"/>
    <x v="1"/>
    <x v="0"/>
    <n v="7.4"/>
    <x v="2"/>
    <n v="8.4"/>
    <n v="1"/>
    <n v="1.9"/>
    <x v="178"/>
    <x v="1"/>
    <x v="0"/>
    <x v="1"/>
    <n v="9"/>
    <n v="9"/>
    <n v="4"/>
    <x v="0"/>
  </r>
  <r>
    <x v="3"/>
    <x v="0"/>
    <x v="0"/>
    <n v="4.8"/>
    <x v="2"/>
    <n v="4.3"/>
    <n v="-0.5"/>
    <n v="2.2000000000000002"/>
    <x v="114"/>
    <x v="2"/>
    <x v="0"/>
    <x v="2"/>
    <n v="4"/>
    <n v="1"/>
    <n v="4"/>
    <x v="0"/>
  </r>
  <r>
    <x v="4"/>
    <x v="0"/>
    <x v="0"/>
    <n v="2.4"/>
    <x v="2"/>
    <n v="6.8"/>
    <n v="4.4000000000000004"/>
    <n v="1"/>
    <x v="184"/>
    <x v="0"/>
    <x v="0"/>
    <x v="1"/>
    <n v="9"/>
    <n v="10"/>
    <n v="8"/>
    <x v="0"/>
  </r>
  <r>
    <x v="3"/>
    <x v="0"/>
    <x v="0"/>
    <n v="5.4"/>
    <x v="1"/>
    <n v="5.2"/>
    <n v="-0.20000000000000018"/>
    <n v="0.6"/>
    <x v="44"/>
    <x v="0"/>
    <x v="0"/>
    <x v="0"/>
    <n v="7"/>
    <n v="9"/>
    <n v="10"/>
    <x v="1"/>
  </r>
  <r>
    <x v="2"/>
    <x v="1"/>
    <x v="0"/>
    <n v="3.5"/>
    <x v="2"/>
    <n v="8.5"/>
    <n v="5"/>
    <n v="2.2000000000000002"/>
    <x v="15"/>
    <x v="6"/>
    <x v="0"/>
    <x v="2"/>
    <n v="8"/>
    <n v="8"/>
    <n v="2"/>
    <x v="0"/>
  </r>
  <r>
    <x v="4"/>
    <x v="1"/>
    <x v="0"/>
    <n v="3"/>
    <x v="0"/>
    <n v="5"/>
    <n v="2"/>
    <n v="2"/>
    <x v="58"/>
    <x v="9"/>
    <x v="0"/>
    <x v="2"/>
    <n v="1"/>
    <n v="10"/>
    <n v="7"/>
    <x v="0"/>
  </r>
  <r>
    <x v="6"/>
    <x v="1"/>
    <x v="0"/>
    <n v="3.3"/>
    <x v="2"/>
    <n v="7.4"/>
    <n v="4.1000000000000005"/>
    <n v="0.9"/>
    <x v="22"/>
    <x v="18"/>
    <x v="0"/>
    <x v="2"/>
    <n v="4"/>
    <n v="10"/>
    <n v="6"/>
    <x v="0"/>
  </r>
  <r>
    <x v="1"/>
    <x v="0"/>
    <x v="1"/>
    <n v="5.5"/>
    <x v="1"/>
    <n v="5.0999999999999996"/>
    <n v="-0.40000000000000036"/>
    <n v="2.7"/>
    <x v="55"/>
    <x v="3"/>
    <x v="0"/>
    <x v="0"/>
    <n v="2"/>
    <n v="3"/>
    <n v="7"/>
    <x v="0"/>
  </r>
  <r>
    <x v="3"/>
    <x v="0"/>
    <x v="0"/>
    <n v="3.8"/>
    <x v="2"/>
    <n v="8.3000000000000007"/>
    <n v="4.5000000000000009"/>
    <n v="2.6"/>
    <x v="102"/>
    <x v="20"/>
    <x v="1"/>
    <x v="2"/>
    <n v="1"/>
    <n v="2"/>
    <n v="2"/>
    <x v="0"/>
  </r>
  <r>
    <x v="2"/>
    <x v="0"/>
    <x v="0"/>
    <n v="5.7"/>
    <x v="1"/>
    <n v="8.6999999999999993"/>
    <n v="2.9999999999999991"/>
    <n v="2"/>
    <x v="198"/>
    <x v="10"/>
    <x v="0"/>
    <x v="0"/>
    <n v="1"/>
    <n v="9"/>
    <n v="8"/>
    <x v="0"/>
  </r>
  <r>
    <x v="6"/>
    <x v="1"/>
    <x v="0"/>
    <n v="4.7"/>
    <x v="1"/>
    <n v="8"/>
    <n v="3.3"/>
    <n v="1.1000000000000001"/>
    <x v="4"/>
    <x v="18"/>
    <x v="0"/>
    <x v="0"/>
    <n v="5"/>
    <n v="10"/>
    <n v="6"/>
    <x v="0"/>
  </r>
  <r>
    <x v="2"/>
    <x v="1"/>
    <x v="0"/>
    <n v="4"/>
    <x v="0"/>
    <n v="6.7"/>
    <n v="2.7"/>
    <n v="0.6"/>
    <x v="110"/>
    <x v="0"/>
    <x v="0"/>
    <x v="1"/>
    <n v="9"/>
    <n v="8"/>
    <n v="5"/>
    <x v="0"/>
  </r>
  <r>
    <x v="5"/>
    <x v="0"/>
    <x v="0"/>
    <n v="5.3"/>
    <x v="1"/>
    <n v="6.8"/>
    <n v="1.5"/>
    <n v="0.7"/>
    <x v="62"/>
    <x v="0"/>
    <x v="0"/>
    <x v="0"/>
    <n v="5"/>
    <n v="8"/>
    <n v="3"/>
    <x v="0"/>
  </r>
  <r>
    <x v="2"/>
    <x v="0"/>
    <x v="0"/>
    <n v="3.8"/>
    <x v="0"/>
    <n v="4.7"/>
    <n v="0.90000000000000036"/>
    <n v="1.2"/>
    <x v="76"/>
    <x v="3"/>
    <x v="0"/>
    <x v="1"/>
    <n v="2"/>
    <n v="2"/>
    <n v="5"/>
    <x v="0"/>
  </r>
  <r>
    <x v="5"/>
    <x v="1"/>
    <x v="0"/>
    <n v="6"/>
    <x v="2"/>
    <n v="4.0999999999999996"/>
    <n v="-1.9000000000000004"/>
    <n v="2.4"/>
    <x v="68"/>
    <x v="8"/>
    <x v="0"/>
    <x v="1"/>
    <n v="1"/>
    <n v="6"/>
    <n v="3"/>
    <x v="0"/>
  </r>
  <r>
    <x v="3"/>
    <x v="0"/>
    <x v="0"/>
    <n v="2.2000000000000002"/>
    <x v="2"/>
    <n v="4.5"/>
    <n v="2.2999999999999998"/>
    <n v="1.3"/>
    <x v="5"/>
    <x v="10"/>
    <x v="0"/>
    <x v="0"/>
    <n v="10"/>
    <n v="2"/>
    <n v="6"/>
    <x v="0"/>
  </r>
  <r>
    <x v="4"/>
    <x v="0"/>
    <x v="0"/>
    <n v="4.3"/>
    <x v="1"/>
    <n v="8.4"/>
    <n v="4.1000000000000005"/>
    <n v="2.1"/>
    <x v="101"/>
    <x v="18"/>
    <x v="0"/>
    <x v="0"/>
    <n v="1"/>
    <n v="10"/>
    <n v="8"/>
    <x v="0"/>
  </r>
  <r>
    <x v="1"/>
    <x v="1"/>
    <x v="1"/>
    <n v="7.5"/>
    <x v="1"/>
    <n v="4.5"/>
    <n v="-3"/>
    <n v="2.7"/>
    <x v="103"/>
    <x v="19"/>
    <x v="0"/>
    <x v="1"/>
    <n v="3"/>
    <n v="2"/>
    <n v="6"/>
    <x v="0"/>
  </r>
  <r>
    <x v="0"/>
    <x v="0"/>
    <x v="0"/>
    <n v="5.3"/>
    <x v="0"/>
    <n v="6.8"/>
    <n v="1.5"/>
    <n v="2.9"/>
    <x v="177"/>
    <x v="1"/>
    <x v="0"/>
    <x v="2"/>
    <n v="10"/>
    <n v="1"/>
    <n v="6"/>
    <x v="0"/>
  </r>
  <r>
    <x v="0"/>
    <x v="1"/>
    <x v="0"/>
    <n v="7"/>
    <x v="0"/>
    <n v="6.9"/>
    <n v="-9.9999999999999645E-2"/>
    <n v="2.1"/>
    <x v="37"/>
    <x v="8"/>
    <x v="0"/>
    <x v="1"/>
    <n v="10"/>
    <n v="3"/>
    <n v="6"/>
    <x v="0"/>
  </r>
  <r>
    <x v="5"/>
    <x v="1"/>
    <x v="0"/>
    <n v="2.1"/>
    <x v="2"/>
    <n v="4.5999999999999996"/>
    <n v="2.4999999999999996"/>
    <n v="2"/>
    <x v="63"/>
    <x v="17"/>
    <x v="0"/>
    <x v="1"/>
    <n v="5"/>
    <n v="4"/>
    <n v="4"/>
    <x v="0"/>
  </r>
  <r>
    <x v="4"/>
    <x v="1"/>
    <x v="0"/>
    <n v="7.3"/>
    <x v="2"/>
    <n v="7.3"/>
    <n v="0"/>
    <n v="2.8"/>
    <x v="46"/>
    <x v="14"/>
    <x v="0"/>
    <x v="0"/>
    <n v="1"/>
    <n v="8"/>
    <n v="1"/>
    <x v="0"/>
  </r>
  <r>
    <x v="2"/>
    <x v="1"/>
    <x v="0"/>
    <n v="2.6"/>
    <x v="0"/>
    <n v="6.5"/>
    <n v="3.9"/>
    <n v="1.5"/>
    <x v="164"/>
    <x v="18"/>
    <x v="0"/>
    <x v="1"/>
    <n v="8"/>
    <n v="6"/>
    <n v="1"/>
    <x v="0"/>
  </r>
  <r>
    <x v="2"/>
    <x v="0"/>
    <x v="0"/>
    <n v="5.4"/>
    <x v="2"/>
    <n v="4.9000000000000004"/>
    <n v="-0.5"/>
    <n v="1.5"/>
    <x v="72"/>
    <x v="2"/>
    <x v="0"/>
    <x v="2"/>
    <n v="2"/>
    <n v="2"/>
    <n v="1"/>
    <x v="0"/>
  </r>
  <r>
    <x v="3"/>
    <x v="0"/>
    <x v="0"/>
    <n v="6.9"/>
    <x v="0"/>
    <n v="6.2"/>
    <n v="-0.70000000000000018"/>
    <n v="0.6"/>
    <x v="4"/>
    <x v="18"/>
    <x v="0"/>
    <x v="0"/>
    <n v="3"/>
    <n v="1"/>
    <n v="4"/>
    <x v="0"/>
  </r>
  <r>
    <x v="1"/>
    <x v="1"/>
    <x v="1"/>
    <n v="3"/>
    <x v="0"/>
    <n v="5.5"/>
    <n v="2.5"/>
    <n v="2.1"/>
    <x v="16"/>
    <x v="5"/>
    <x v="0"/>
    <x v="0"/>
    <n v="9"/>
    <n v="3"/>
    <n v="5"/>
    <x v="0"/>
  </r>
  <r>
    <x v="4"/>
    <x v="0"/>
    <x v="0"/>
    <n v="1.3"/>
    <x v="0"/>
    <n v="4.5"/>
    <n v="3.2"/>
    <n v="2.2999999999999998"/>
    <x v="139"/>
    <x v="19"/>
    <x v="0"/>
    <x v="0"/>
    <n v="2"/>
    <n v="7"/>
    <n v="8"/>
    <x v="0"/>
  </r>
  <r>
    <x v="3"/>
    <x v="0"/>
    <x v="0"/>
    <n v="6.2"/>
    <x v="2"/>
    <n v="6.4"/>
    <n v="0.20000000000000018"/>
    <n v="1.4"/>
    <x v="155"/>
    <x v="7"/>
    <x v="0"/>
    <x v="1"/>
    <n v="8"/>
    <n v="9"/>
    <n v="9"/>
    <x v="0"/>
  </r>
  <r>
    <x v="3"/>
    <x v="0"/>
    <x v="0"/>
    <n v="3.6"/>
    <x v="0"/>
    <n v="5.5"/>
    <n v="1.9"/>
    <n v="1.2"/>
    <x v="163"/>
    <x v="13"/>
    <x v="0"/>
    <x v="0"/>
    <n v="1"/>
    <n v="4"/>
    <n v="9"/>
    <x v="0"/>
  </r>
  <r>
    <x v="4"/>
    <x v="1"/>
    <x v="0"/>
    <n v="6.5"/>
    <x v="2"/>
    <n v="6.7"/>
    <n v="0.20000000000000018"/>
    <n v="2.5"/>
    <x v="88"/>
    <x v="15"/>
    <x v="0"/>
    <x v="1"/>
    <n v="9"/>
    <n v="7"/>
    <n v="7"/>
    <x v="0"/>
  </r>
  <r>
    <x v="2"/>
    <x v="1"/>
    <x v="0"/>
    <n v="5.3"/>
    <x v="0"/>
    <n v="6.6"/>
    <n v="1.2999999999999998"/>
    <n v="0.6"/>
    <x v="152"/>
    <x v="15"/>
    <x v="0"/>
    <x v="1"/>
    <n v="3"/>
    <n v="7"/>
    <n v="1"/>
    <x v="0"/>
  </r>
  <r>
    <x v="5"/>
    <x v="0"/>
    <x v="0"/>
    <n v="4.5999999999999996"/>
    <x v="2"/>
    <n v="5.3"/>
    <n v="0.70000000000000018"/>
    <n v="1.3"/>
    <x v="191"/>
    <x v="12"/>
    <x v="0"/>
    <x v="2"/>
    <n v="3"/>
    <n v="8"/>
    <n v="8"/>
    <x v="0"/>
  </r>
  <r>
    <x v="4"/>
    <x v="0"/>
    <x v="0"/>
    <n v="7.7"/>
    <x v="2"/>
    <n v="6.6"/>
    <n v="-1.1000000000000005"/>
    <n v="1.6"/>
    <x v="94"/>
    <x v="13"/>
    <x v="0"/>
    <x v="1"/>
    <n v="3"/>
    <n v="3"/>
    <n v="9"/>
    <x v="0"/>
  </r>
  <r>
    <x v="1"/>
    <x v="0"/>
    <x v="1"/>
    <n v="7.1"/>
    <x v="1"/>
    <n v="8.4"/>
    <n v="1.3000000000000007"/>
    <n v="1.8"/>
    <x v="148"/>
    <x v="6"/>
    <x v="0"/>
    <x v="2"/>
    <n v="1"/>
    <n v="6"/>
    <n v="8"/>
    <x v="0"/>
  </r>
  <r>
    <x v="5"/>
    <x v="0"/>
    <x v="0"/>
    <n v="3.9"/>
    <x v="1"/>
    <n v="7.5"/>
    <n v="3.6"/>
    <n v="2.1"/>
    <x v="43"/>
    <x v="7"/>
    <x v="0"/>
    <x v="0"/>
    <n v="4"/>
    <n v="3"/>
    <n v="2"/>
    <x v="0"/>
  </r>
  <r>
    <x v="1"/>
    <x v="1"/>
    <x v="1"/>
    <n v="7.5"/>
    <x v="1"/>
    <n v="8.6"/>
    <n v="1.0999999999999996"/>
    <n v="0.9"/>
    <x v="190"/>
    <x v="16"/>
    <x v="0"/>
    <x v="1"/>
    <n v="9"/>
    <n v="8"/>
    <n v="4"/>
    <x v="0"/>
  </r>
  <r>
    <x v="4"/>
    <x v="0"/>
    <x v="0"/>
    <n v="5.8"/>
    <x v="1"/>
    <n v="7.5"/>
    <n v="1.7000000000000002"/>
    <n v="2.2000000000000002"/>
    <x v="44"/>
    <x v="3"/>
    <x v="0"/>
    <x v="2"/>
    <n v="4"/>
    <n v="4"/>
    <n v="8"/>
    <x v="0"/>
  </r>
  <r>
    <x v="2"/>
    <x v="1"/>
    <x v="0"/>
    <n v="7.6"/>
    <x v="0"/>
    <n v="7.3"/>
    <n v="-0.29999999999999982"/>
    <n v="2.9"/>
    <x v="13"/>
    <x v="9"/>
    <x v="0"/>
    <x v="1"/>
    <n v="4"/>
    <n v="8"/>
    <n v="10"/>
    <x v="0"/>
  </r>
  <r>
    <x v="1"/>
    <x v="1"/>
    <x v="1"/>
    <n v="4.4000000000000004"/>
    <x v="0"/>
    <n v="7.4"/>
    <n v="3"/>
    <n v="2.8"/>
    <x v="149"/>
    <x v="0"/>
    <x v="0"/>
    <x v="2"/>
    <n v="7"/>
    <n v="5"/>
    <n v="4"/>
    <x v="0"/>
  </r>
  <r>
    <x v="1"/>
    <x v="0"/>
    <x v="1"/>
    <n v="4.5999999999999996"/>
    <x v="2"/>
    <n v="4.5999999999999996"/>
    <n v="0"/>
    <n v="2.5"/>
    <x v="6"/>
    <x v="19"/>
    <x v="0"/>
    <x v="1"/>
    <n v="10"/>
    <n v="10"/>
    <n v="8"/>
    <x v="0"/>
  </r>
  <r>
    <x v="4"/>
    <x v="1"/>
    <x v="0"/>
    <n v="7"/>
    <x v="2"/>
    <n v="8.9"/>
    <n v="1.9000000000000004"/>
    <n v="0.7"/>
    <x v="93"/>
    <x v="14"/>
    <x v="0"/>
    <x v="2"/>
    <n v="2"/>
    <n v="10"/>
    <n v="8"/>
    <x v="0"/>
  </r>
  <r>
    <x v="5"/>
    <x v="1"/>
    <x v="0"/>
    <n v="3.6"/>
    <x v="1"/>
    <n v="8.8000000000000007"/>
    <n v="5.2000000000000011"/>
    <n v="1.2"/>
    <x v="116"/>
    <x v="12"/>
    <x v="0"/>
    <x v="0"/>
    <n v="2"/>
    <n v="4"/>
    <n v="5"/>
    <x v="0"/>
  </r>
  <r>
    <x v="3"/>
    <x v="1"/>
    <x v="0"/>
    <n v="3"/>
    <x v="1"/>
    <n v="6.6"/>
    <n v="3.5999999999999996"/>
    <n v="0.9"/>
    <x v="101"/>
    <x v="17"/>
    <x v="0"/>
    <x v="2"/>
    <n v="1"/>
    <n v="2"/>
    <n v="2"/>
    <x v="0"/>
  </r>
  <r>
    <x v="1"/>
    <x v="1"/>
    <x v="1"/>
    <n v="7.2"/>
    <x v="0"/>
    <n v="6.4"/>
    <n v="-0.79999999999999982"/>
    <n v="2.9"/>
    <x v="53"/>
    <x v="19"/>
    <x v="0"/>
    <x v="2"/>
    <n v="5"/>
    <n v="4"/>
    <n v="5"/>
    <x v="0"/>
  </r>
  <r>
    <x v="3"/>
    <x v="1"/>
    <x v="0"/>
    <n v="5.6"/>
    <x v="2"/>
    <n v="5.9"/>
    <n v="0.30000000000000071"/>
    <n v="2"/>
    <x v="47"/>
    <x v="4"/>
    <x v="0"/>
    <x v="0"/>
    <n v="9"/>
    <n v="3"/>
    <n v="3"/>
    <x v="0"/>
  </r>
  <r>
    <x v="0"/>
    <x v="1"/>
    <x v="0"/>
    <n v="2"/>
    <x v="0"/>
    <n v="4.7"/>
    <n v="2.7"/>
    <n v="1.1000000000000001"/>
    <x v="110"/>
    <x v="2"/>
    <x v="0"/>
    <x v="1"/>
    <n v="2"/>
    <n v="9"/>
    <n v="4"/>
    <x v="0"/>
  </r>
  <r>
    <x v="0"/>
    <x v="1"/>
    <x v="0"/>
    <n v="4.4000000000000004"/>
    <x v="1"/>
    <n v="5.0999999999999996"/>
    <n v="0.69999999999999929"/>
    <n v="2.8"/>
    <x v="40"/>
    <x v="12"/>
    <x v="0"/>
    <x v="1"/>
    <n v="5"/>
    <n v="4"/>
    <n v="1"/>
    <x v="0"/>
  </r>
  <r>
    <x v="6"/>
    <x v="0"/>
    <x v="0"/>
    <n v="3.5"/>
    <x v="1"/>
    <n v="5.8"/>
    <n v="2.2999999999999998"/>
    <n v="1.2"/>
    <x v="151"/>
    <x v="0"/>
    <x v="0"/>
    <x v="2"/>
    <n v="4"/>
    <n v="1"/>
    <n v="8"/>
    <x v="0"/>
  </r>
  <r>
    <x v="6"/>
    <x v="0"/>
    <x v="0"/>
    <n v="6.5"/>
    <x v="0"/>
    <n v="6.5"/>
    <n v="0"/>
    <n v="1.5"/>
    <x v="167"/>
    <x v="12"/>
    <x v="0"/>
    <x v="0"/>
    <n v="3"/>
    <n v="9"/>
    <n v="4"/>
    <x v="0"/>
  </r>
  <r>
    <x v="0"/>
    <x v="0"/>
    <x v="0"/>
    <n v="4.4000000000000004"/>
    <x v="0"/>
    <n v="8.8000000000000007"/>
    <n v="4.4000000000000004"/>
    <n v="2.2999999999999998"/>
    <x v="60"/>
    <x v="11"/>
    <x v="0"/>
    <x v="2"/>
    <n v="9"/>
    <n v="2"/>
    <n v="2"/>
    <x v="0"/>
  </r>
  <r>
    <x v="2"/>
    <x v="1"/>
    <x v="0"/>
    <n v="3.1"/>
    <x v="1"/>
    <n v="4.2"/>
    <n v="1.1000000000000001"/>
    <n v="0.8"/>
    <x v="139"/>
    <x v="16"/>
    <x v="0"/>
    <x v="2"/>
    <n v="4"/>
    <n v="9"/>
    <n v="6"/>
    <x v="0"/>
  </r>
  <r>
    <x v="3"/>
    <x v="0"/>
    <x v="0"/>
    <n v="7.8"/>
    <x v="2"/>
    <n v="4.2"/>
    <n v="-3.5999999999999996"/>
    <n v="2.1"/>
    <x v="37"/>
    <x v="2"/>
    <x v="0"/>
    <x v="0"/>
    <n v="10"/>
    <n v="7"/>
    <n v="9"/>
    <x v="1"/>
  </r>
  <r>
    <x v="1"/>
    <x v="1"/>
    <x v="1"/>
    <n v="2.1"/>
    <x v="2"/>
    <n v="4.4000000000000004"/>
    <n v="2.3000000000000003"/>
    <n v="2.2000000000000002"/>
    <x v="108"/>
    <x v="5"/>
    <x v="0"/>
    <x v="1"/>
    <n v="9"/>
    <n v="5"/>
    <n v="6"/>
    <x v="0"/>
  </r>
  <r>
    <x v="0"/>
    <x v="1"/>
    <x v="0"/>
    <n v="5.5"/>
    <x v="2"/>
    <n v="5.7"/>
    <n v="0.20000000000000018"/>
    <n v="2.2999999999999998"/>
    <x v="28"/>
    <x v="6"/>
    <x v="0"/>
    <x v="2"/>
    <n v="7"/>
    <n v="8"/>
    <n v="5"/>
    <x v="1"/>
  </r>
  <r>
    <x v="3"/>
    <x v="1"/>
    <x v="0"/>
    <n v="5.7"/>
    <x v="0"/>
    <n v="7.2"/>
    <n v="1.5"/>
    <n v="2.4"/>
    <x v="177"/>
    <x v="16"/>
    <x v="0"/>
    <x v="2"/>
    <n v="5"/>
    <n v="1"/>
    <n v="7"/>
    <x v="0"/>
  </r>
  <r>
    <x v="3"/>
    <x v="1"/>
    <x v="0"/>
    <n v="5"/>
    <x v="1"/>
    <n v="6.3"/>
    <n v="1.2999999999999998"/>
    <n v="1.5"/>
    <x v="27"/>
    <x v="8"/>
    <x v="0"/>
    <x v="1"/>
    <n v="6"/>
    <n v="2"/>
    <n v="5"/>
    <x v="0"/>
  </r>
  <r>
    <x v="5"/>
    <x v="1"/>
    <x v="0"/>
    <n v="7.5"/>
    <x v="2"/>
    <n v="4"/>
    <n v="-3.5"/>
    <n v="0.5"/>
    <x v="82"/>
    <x v="8"/>
    <x v="0"/>
    <x v="2"/>
    <n v="4"/>
    <n v="5"/>
    <n v="7"/>
    <x v="0"/>
  </r>
  <r>
    <x v="2"/>
    <x v="0"/>
    <x v="0"/>
    <n v="2.2000000000000002"/>
    <x v="1"/>
    <n v="7.1"/>
    <n v="4.8999999999999995"/>
    <n v="1.1000000000000001"/>
    <x v="114"/>
    <x v="0"/>
    <x v="0"/>
    <x v="0"/>
    <n v="2"/>
    <n v="1"/>
    <n v="2"/>
    <x v="0"/>
  </r>
  <r>
    <x v="3"/>
    <x v="1"/>
    <x v="0"/>
    <n v="7.3"/>
    <x v="0"/>
    <n v="4.0999999999999996"/>
    <n v="-3.2"/>
    <n v="2.1"/>
    <x v="187"/>
    <x v="14"/>
    <x v="0"/>
    <x v="0"/>
    <n v="10"/>
    <n v="10"/>
    <n v="1"/>
    <x v="1"/>
  </r>
  <r>
    <x v="2"/>
    <x v="0"/>
    <x v="0"/>
    <n v="2.7"/>
    <x v="0"/>
    <n v="7.5"/>
    <n v="4.8"/>
    <n v="1.5"/>
    <x v="200"/>
    <x v="3"/>
    <x v="0"/>
    <x v="0"/>
    <n v="5"/>
    <n v="7"/>
    <n v="3"/>
    <x v="0"/>
  </r>
  <r>
    <x v="4"/>
    <x v="0"/>
    <x v="0"/>
    <n v="1.6"/>
    <x v="0"/>
    <n v="8.6"/>
    <n v="7"/>
    <n v="2.6"/>
    <x v="57"/>
    <x v="15"/>
    <x v="0"/>
    <x v="2"/>
    <n v="8"/>
    <n v="8"/>
    <n v="10"/>
    <x v="0"/>
  </r>
  <r>
    <x v="0"/>
    <x v="0"/>
    <x v="0"/>
    <n v="4"/>
    <x v="1"/>
    <n v="4.9000000000000004"/>
    <n v="0.90000000000000036"/>
    <n v="2.7"/>
    <x v="48"/>
    <x v="12"/>
    <x v="0"/>
    <x v="1"/>
    <n v="7"/>
    <n v="8"/>
    <n v="6"/>
    <x v="0"/>
  </r>
  <r>
    <x v="4"/>
    <x v="1"/>
    <x v="0"/>
    <n v="6.3"/>
    <x v="2"/>
    <n v="4.7"/>
    <n v="-1.5999999999999996"/>
    <n v="2.4"/>
    <x v="48"/>
    <x v="7"/>
    <x v="0"/>
    <x v="2"/>
    <n v="6"/>
    <n v="1"/>
    <n v="6"/>
    <x v="0"/>
  </r>
  <r>
    <x v="5"/>
    <x v="1"/>
    <x v="0"/>
    <n v="6.8"/>
    <x v="1"/>
    <n v="7.1"/>
    <n v="0.29999999999999982"/>
    <n v="2.9"/>
    <x v="25"/>
    <x v="4"/>
    <x v="0"/>
    <x v="0"/>
    <n v="6"/>
    <n v="10"/>
    <n v="4"/>
    <x v="0"/>
  </r>
  <r>
    <x v="4"/>
    <x v="1"/>
    <x v="0"/>
    <n v="6.6"/>
    <x v="2"/>
    <n v="8.1"/>
    <n v="1.5"/>
    <n v="2"/>
    <x v="38"/>
    <x v="16"/>
    <x v="0"/>
    <x v="0"/>
    <n v="9"/>
    <n v="4"/>
    <n v="3"/>
    <x v="0"/>
  </r>
  <r>
    <x v="6"/>
    <x v="0"/>
    <x v="0"/>
    <n v="4"/>
    <x v="0"/>
    <n v="4.2"/>
    <n v="0.20000000000000018"/>
    <n v="0.9"/>
    <x v="83"/>
    <x v="19"/>
    <x v="0"/>
    <x v="1"/>
    <n v="5"/>
    <n v="4"/>
    <n v="8"/>
    <x v="0"/>
  </r>
  <r>
    <x v="6"/>
    <x v="0"/>
    <x v="0"/>
    <n v="1.6"/>
    <x v="1"/>
    <n v="5"/>
    <n v="3.4"/>
    <n v="2.7"/>
    <x v="29"/>
    <x v="13"/>
    <x v="0"/>
    <x v="0"/>
    <n v="8"/>
    <n v="9"/>
    <n v="5"/>
    <x v="0"/>
  </r>
  <r>
    <x v="4"/>
    <x v="0"/>
    <x v="0"/>
    <n v="5.3"/>
    <x v="2"/>
    <n v="8.1999999999999993"/>
    <n v="2.8999999999999995"/>
    <n v="1.9"/>
    <x v="107"/>
    <x v="13"/>
    <x v="0"/>
    <x v="0"/>
    <n v="2"/>
    <n v="9"/>
    <n v="8"/>
    <x v="0"/>
  </r>
  <r>
    <x v="1"/>
    <x v="1"/>
    <x v="1"/>
    <n v="7.4"/>
    <x v="2"/>
    <n v="4.4000000000000004"/>
    <n v="-3"/>
    <n v="1.4"/>
    <x v="197"/>
    <x v="8"/>
    <x v="0"/>
    <x v="0"/>
    <n v="9"/>
    <n v="7"/>
    <n v="5"/>
    <x v="1"/>
  </r>
  <r>
    <x v="4"/>
    <x v="1"/>
    <x v="0"/>
    <n v="2.2999999999999998"/>
    <x v="0"/>
    <n v="8.6999999999999993"/>
    <n v="6.3999999999999995"/>
    <n v="0.6"/>
    <x v="140"/>
    <x v="13"/>
    <x v="0"/>
    <x v="1"/>
    <n v="4"/>
    <n v="8"/>
    <n v="7"/>
    <x v="0"/>
  </r>
  <r>
    <x v="5"/>
    <x v="0"/>
    <x v="0"/>
    <n v="7.6"/>
    <x v="2"/>
    <n v="6.1"/>
    <n v="-1.5"/>
    <n v="0.8"/>
    <x v="181"/>
    <x v="6"/>
    <x v="0"/>
    <x v="0"/>
    <n v="8"/>
    <n v="4"/>
    <n v="4"/>
    <x v="0"/>
  </r>
  <r>
    <x v="5"/>
    <x v="1"/>
    <x v="0"/>
    <n v="7.6"/>
    <x v="1"/>
    <n v="7.6"/>
    <n v="0"/>
    <n v="2.4"/>
    <x v="18"/>
    <x v="8"/>
    <x v="0"/>
    <x v="2"/>
    <n v="1"/>
    <n v="5"/>
    <n v="5"/>
    <x v="0"/>
  </r>
  <r>
    <x v="2"/>
    <x v="1"/>
    <x v="0"/>
    <n v="3.4"/>
    <x v="2"/>
    <n v="4.7"/>
    <n v="1.3000000000000003"/>
    <n v="0.5"/>
    <x v="115"/>
    <x v="20"/>
    <x v="1"/>
    <x v="1"/>
    <n v="2"/>
    <n v="8"/>
    <n v="1"/>
    <x v="0"/>
  </r>
  <r>
    <x v="4"/>
    <x v="1"/>
    <x v="0"/>
    <n v="2.2999999999999998"/>
    <x v="0"/>
    <n v="4.2"/>
    <n v="1.9000000000000004"/>
    <n v="0.9"/>
    <x v="105"/>
    <x v="6"/>
    <x v="0"/>
    <x v="1"/>
    <n v="6"/>
    <n v="6"/>
    <n v="10"/>
    <x v="0"/>
  </r>
  <r>
    <x v="4"/>
    <x v="0"/>
    <x v="0"/>
    <n v="5"/>
    <x v="0"/>
    <n v="4.3"/>
    <n v="-0.70000000000000018"/>
    <n v="1.1000000000000001"/>
    <x v="40"/>
    <x v="15"/>
    <x v="0"/>
    <x v="1"/>
    <n v="7"/>
    <n v="2"/>
    <n v="2"/>
    <x v="0"/>
  </r>
  <r>
    <x v="3"/>
    <x v="0"/>
    <x v="0"/>
    <n v="3.8"/>
    <x v="1"/>
    <n v="7.1"/>
    <n v="3.3"/>
    <n v="0.5"/>
    <x v="16"/>
    <x v="18"/>
    <x v="0"/>
    <x v="2"/>
    <n v="2"/>
    <n v="9"/>
    <n v="7"/>
    <x v="0"/>
  </r>
  <r>
    <x v="5"/>
    <x v="0"/>
    <x v="0"/>
    <n v="3.7"/>
    <x v="0"/>
    <n v="7.6"/>
    <n v="3.8999999999999995"/>
    <n v="1.2"/>
    <x v="121"/>
    <x v="19"/>
    <x v="0"/>
    <x v="2"/>
    <n v="4"/>
    <n v="8"/>
    <n v="6"/>
    <x v="0"/>
  </r>
  <r>
    <x v="6"/>
    <x v="0"/>
    <x v="0"/>
    <n v="1.4"/>
    <x v="2"/>
    <n v="8.6"/>
    <n v="7.1999999999999993"/>
    <n v="2.4"/>
    <x v="131"/>
    <x v="5"/>
    <x v="0"/>
    <x v="0"/>
    <n v="2"/>
    <n v="6"/>
    <n v="2"/>
    <x v="0"/>
  </r>
  <r>
    <x v="4"/>
    <x v="0"/>
    <x v="0"/>
    <n v="1.8"/>
    <x v="2"/>
    <n v="4.9000000000000004"/>
    <n v="3.1000000000000005"/>
    <n v="2.7"/>
    <x v="168"/>
    <x v="18"/>
    <x v="0"/>
    <x v="0"/>
    <n v="1"/>
    <n v="3"/>
    <n v="8"/>
    <x v="0"/>
  </r>
  <r>
    <x v="1"/>
    <x v="0"/>
    <x v="1"/>
    <n v="1.5"/>
    <x v="1"/>
    <n v="5.8"/>
    <n v="4.3"/>
    <n v="1.1000000000000001"/>
    <x v="11"/>
    <x v="10"/>
    <x v="0"/>
    <x v="1"/>
    <n v="6"/>
    <n v="4"/>
    <n v="2"/>
    <x v="0"/>
  </r>
  <r>
    <x v="4"/>
    <x v="1"/>
    <x v="0"/>
    <n v="5.5"/>
    <x v="2"/>
    <n v="5.5"/>
    <n v="0"/>
    <n v="1.8"/>
    <x v="18"/>
    <x v="2"/>
    <x v="0"/>
    <x v="1"/>
    <n v="3"/>
    <n v="4"/>
    <n v="10"/>
    <x v="0"/>
  </r>
  <r>
    <x v="3"/>
    <x v="0"/>
    <x v="0"/>
    <n v="4.9000000000000004"/>
    <x v="2"/>
    <n v="5.2"/>
    <n v="0.29999999999999982"/>
    <n v="0.7"/>
    <x v="63"/>
    <x v="15"/>
    <x v="0"/>
    <x v="0"/>
    <n v="10"/>
    <n v="6"/>
    <n v="4"/>
    <x v="0"/>
  </r>
  <r>
    <x v="0"/>
    <x v="1"/>
    <x v="0"/>
    <n v="7.2"/>
    <x v="2"/>
    <n v="7"/>
    <n v="-0.20000000000000018"/>
    <n v="2.2999999999999998"/>
    <x v="196"/>
    <x v="5"/>
    <x v="0"/>
    <x v="0"/>
    <n v="8"/>
    <n v="4"/>
    <n v="7"/>
    <x v="0"/>
  </r>
  <r>
    <x v="5"/>
    <x v="1"/>
    <x v="0"/>
    <n v="6.8"/>
    <x v="0"/>
    <n v="7.2"/>
    <n v="0.40000000000000036"/>
    <n v="1.1000000000000001"/>
    <x v="89"/>
    <x v="13"/>
    <x v="0"/>
    <x v="0"/>
    <n v="8"/>
    <n v="5"/>
    <n v="9"/>
    <x v="0"/>
  </r>
  <r>
    <x v="6"/>
    <x v="1"/>
    <x v="0"/>
    <n v="2.2000000000000002"/>
    <x v="2"/>
    <n v="7.7"/>
    <n v="5.5"/>
    <n v="2.1"/>
    <x v="179"/>
    <x v="10"/>
    <x v="0"/>
    <x v="0"/>
    <n v="2"/>
    <n v="8"/>
    <n v="7"/>
    <x v="0"/>
  </r>
  <r>
    <x v="5"/>
    <x v="1"/>
    <x v="0"/>
    <n v="5.9"/>
    <x v="1"/>
    <n v="7"/>
    <n v="1.0999999999999996"/>
    <n v="0.8"/>
    <x v="89"/>
    <x v="16"/>
    <x v="0"/>
    <x v="0"/>
    <n v="6"/>
    <n v="8"/>
    <n v="1"/>
    <x v="0"/>
  </r>
  <r>
    <x v="3"/>
    <x v="1"/>
    <x v="0"/>
    <n v="2.2000000000000002"/>
    <x v="0"/>
    <n v="7.5"/>
    <n v="5.3"/>
    <n v="1.4"/>
    <x v="102"/>
    <x v="17"/>
    <x v="0"/>
    <x v="0"/>
    <n v="6"/>
    <n v="1"/>
    <n v="7"/>
    <x v="0"/>
  </r>
  <r>
    <x v="1"/>
    <x v="1"/>
    <x v="1"/>
    <n v="2.4"/>
    <x v="0"/>
    <n v="4.2"/>
    <n v="1.8000000000000003"/>
    <n v="1.2"/>
    <x v="107"/>
    <x v="6"/>
    <x v="0"/>
    <x v="0"/>
    <n v="1"/>
    <n v="9"/>
    <n v="5"/>
    <x v="0"/>
  </r>
  <r>
    <x v="3"/>
    <x v="0"/>
    <x v="0"/>
    <n v="4.0999999999999996"/>
    <x v="0"/>
    <n v="7.6"/>
    <n v="3.5"/>
    <n v="1"/>
    <x v="96"/>
    <x v="8"/>
    <x v="0"/>
    <x v="0"/>
    <n v="4"/>
    <n v="5"/>
    <n v="1"/>
    <x v="0"/>
  </r>
  <r>
    <x v="4"/>
    <x v="1"/>
    <x v="0"/>
    <n v="4.5"/>
    <x v="0"/>
    <n v="7"/>
    <n v="2.5"/>
    <n v="2.7"/>
    <x v="183"/>
    <x v="17"/>
    <x v="0"/>
    <x v="1"/>
    <n v="1"/>
    <n v="1"/>
    <n v="2"/>
    <x v="0"/>
  </r>
  <r>
    <x v="0"/>
    <x v="1"/>
    <x v="0"/>
    <n v="4.5999999999999996"/>
    <x v="0"/>
    <n v="5.9"/>
    <n v="1.3000000000000007"/>
    <n v="1.4"/>
    <x v="23"/>
    <x v="11"/>
    <x v="0"/>
    <x v="1"/>
    <n v="3"/>
    <n v="10"/>
    <n v="2"/>
    <x v="0"/>
  </r>
  <r>
    <x v="2"/>
    <x v="1"/>
    <x v="0"/>
    <n v="4.5"/>
    <x v="2"/>
    <n v="6.1"/>
    <n v="1.5999999999999996"/>
    <n v="2.8"/>
    <x v="193"/>
    <x v="9"/>
    <x v="0"/>
    <x v="0"/>
    <n v="10"/>
    <n v="4"/>
    <n v="2"/>
    <x v="0"/>
  </r>
  <r>
    <x v="6"/>
    <x v="0"/>
    <x v="0"/>
    <n v="5"/>
    <x v="0"/>
    <n v="5.2"/>
    <n v="0.20000000000000018"/>
    <n v="2.6"/>
    <x v="7"/>
    <x v="10"/>
    <x v="0"/>
    <x v="2"/>
    <n v="4"/>
    <n v="4"/>
    <n v="5"/>
    <x v="0"/>
  </r>
  <r>
    <x v="1"/>
    <x v="1"/>
    <x v="1"/>
    <n v="4.0999999999999996"/>
    <x v="2"/>
    <n v="6.4"/>
    <n v="2.3000000000000007"/>
    <n v="1.4"/>
    <x v="125"/>
    <x v="16"/>
    <x v="0"/>
    <x v="1"/>
    <n v="2"/>
    <n v="3"/>
    <n v="6"/>
    <x v="0"/>
  </r>
  <r>
    <x v="4"/>
    <x v="0"/>
    <x v="0"/>
    <n v="7.5"/>
    <x v="1"/>
    <n v="7.6"/>
    <n v="9.9999999999999645E-2"/>
    <n v="1.8"/>
    <x v="102"/>
    <x v="10"/>
    <x v="0"/>
    <x v="1"/>
    <n v="2"/>
    <n v="6"/>
    <n v="6"/>
    <x v="0"/>
  </r>
  <r>
    <x v="4"/>
    <x v="0"/>
    <x v="0"/>
    <n v="4.2"/>
    <x v="0"/>
    <n v="5.5"/>
    <n v="1.2999999999999998"/>
    <n v="1.8"/>
    <x v="26"/>
    <x v="13"/>
    <x v="0"/>
    <x v="0"/>
    <n v="3"/>
    <n v="8"/>
    <n v="8"/>
    <x v="0"/>
  </r>
  <r>
    <x v="0"/>
    <x v="1"/>
    <x v="0"/>
    <n v="7.2"/>
    <x v="2"/>
    <n v="5"/>
    <n v="-2.2000000000000002"/>
    <n v="2.9"/>
    <x v="191"/>
    <x v="14"/>
    <x v="0"/>
    <x v="2"/>
    <n v="7"/>
    <n v="4"/>
    <n v="2"/>
    <x v="0"/>
  </r>
  <r>
    <x v="6"/>
    <x v="0"/>
    <x v="0"/>
    <n v="4.8"/>
    <x v="0"/>
    <n v="6"/>
    <n v="1.2000000000000002"/>
    <n v="0.6"/>
    <x v="103"/>
    <x v="2"/>
    <x v="0"/>
    <x v="1"/>
    <n v="3"/>
    <n v="6"/>
    <n v="9"/>
    <x v="0"/>
  </r>
  <r>
    <x v="2"/>
    <x v="1"/>
    <x v="0"/>
    <n v="7.3"/>
    <x v="0"/>
    <n v="6.7"/>
    <n v="-0.59999999999999964"/>
    <n v="1"/>
    <x v="64"/>
    <x v="10"/>
    <x v="0"/>
    <x v="2"/>
    <n v="6"/>
    <n v="5"/>
    <n v="2"/>
    <x v="0"/>
  </r>
  <r>
    <x v="6"/>
    <x v="0"/>
    <x v="0"/>
    <n v="3.9"/>
    <x v="2"/>
    <n v="4.5"/>
    <n v="0.60000000000000009"/>
    <n v="1.6"/>
    <x v="10"/>
    <x v="4"/>
    <x v="0"/>
    <x v="1"/>
    <n v="6"/>
    <n v="6"/>
    <n v="5"/>
    <x v="0"/>
  </r>
  <r>
    <x v="3"/>
    <x v="1"/>
    <x v="0"/>
    <n v="5.5"/>
    <x v="2"/>
    <n v="4"/>
    <n v="-1.5"/>
    <n v="2.4"/>
    <x v="0"/>
    <x v="7"/>
    <x v="0"/>
    <x v="0"/>
    <n v="10"/>
    <n v="3"/>
    <n v="2"/>
    <x v="0"/>
  </r>
  <r>
    <x v="3"/>
    <x v="0"/>
    <x v="0"/>
    <n v="7.5"/>
    <x v="2"/>
    <n v="6.3"/>
    <n v="-1.2000000000000002"/>
    <n v="2.8"/>
    <x v="152"/>
    <x v="17"/>
    <x v="0"/>
    <x v="0"/>
    <n v="1"/>
    <n v="5"/>
    <n v="8"/>
    <x v="0"/>
  </r>
  <r>
    <x v="2"/>
    <x v="0"/>
    <x v="0"/>
    <n v="1.8"/>
    <x v="0"/>
    <n v="6.9"/>
    <n v="5.1000000000000005"/>
    <n v="2.7"/>
    <x v="22"/>
    <x v="10"/>
    <x v="0"/>
    <x v="1"/>
    <n v="2"/>
    <n v="2"/>
    <n v="7"/>
    <x v="0"/>
  </r>
  <r>
    <x v="5"/>
    <x v="0"/>
    <x v="0"/>
    <n v="2.6"/>
    <x v="0"/>
    <n v="5.0999999999999996"/>
    <n v="2.4999999999999996"/>
    <n v="0.9"/>
    <x v="79"/>
    <x v="3"/>
    <x v="0"/>
    <x v="2"/>
    <n v="8"/>
    <n v="5"/>
    <n v="8"/>
    <x v="0"/>
  </r>
  <r>
    <x v="2"/>
    <x v="1"/>
    <x v="0"/>
    <n v="5.5"/>
    <x v="2"/>
    <n v="6"/>
    <n v="0.5"/>
    <n v="2.8"/>
    <x v="72"/>
    <x v="2"/>
    <x v="0"/>
    <x v="2"/>
    <n v="2"/>
    <n v="3"/>
    <n v="8"/>
    <x v="0"/>
  </r>
  <r>
    <x v="3"/>
    <x v="1"/>
    <x v="0"/>
    <n v="3.6"/>
    <x v="1"/>
    <n v="7.1"/>
    <n v="3.4999999999999996"/>
    <n v="0.9"/>
    <x v="33"/>
    <x v="11"/>
    <x v="0"/>
    <x v="0"/>
    <n v="1"/>
    <n v="9"/>
    <n v="4"/>
    <x v="0"/>
  </r>
  <r>
    <x v="1"/>
    <x v="1"/>
    <x v="1"/>
    <n v="7.6"/>
    <x v="2"/>
    <n v="5.4"/>
    <n v="-2.1999999999999993"/>
    <n v="1.9"/>
    <x v="55"/>
    <x v="3"/>
    <x v="0"/>
    <x v="0"/>
    <n v="2"/>
    <n v="7"/>
    <n v="9"/>
    <x v="0"/>
  </r>
  <r>
    <x v="6"/>
    <x v="0"/>
    <x v="0"/>
    <n v="7.9"/>
    <x v="0"/>
    <n v="7.1"/>
    <n v="-0.80000000000000071"/>
    <n v="0.7"/>
    <x v="56"/>
    <x v="11"/>
    <x v="0"/>
    <x v="2"/>
    <n v="6"/>
    <n v="8"/>
    <n v="8"/>
    <x v="0"/>
  </r>
  <r>
    <x v="3"/>
    <x v="0"/>
    <x v="0"/>
    <n v="2.6"/>
    <x v="2"/>
    <n v="6.8"/>
    <n v="4.1999999999999993"/>
    <n v="1.7"/>
    <x v="35"/>
    <x v="14"/>
    <x v="0"/>
    <x v="2"/>
    <n v="8"/>
    <n v="6"/>
    <n v="6"/>
    <x v="0"/>
  </r>
  <r>
    <x v="1"/>
    <x v="0"/>
    <x v="1"/>
    <n v="5.7"/>
    <x v="1"/>
    <n v="6.4"/>
    <n v="0.70000000000000018"/>
    <n v="0.9"/>
    <x v="52"/>
    <x v="0"/>
    <x v="0"/>
    <x v="1"/>
    <n v="3"/>
    <n v="7"/>
    <n v="2"/>
    <x v="0"/>
  </r>
  <r>
    <x v="6"/>
    <x v="1"/>
    <x v="0"/>
    <n v="7.1"/>
    <x v="0"/>
    <n v="5.7"/>
    <n v="-1.3999999999999995"/>
    <n v="1.2"/>
    <x v="26"/>
    <x v="20"/>
    <x v="1"/>
    <x v="2"/>
    <n v="2"/>
    <n v="8"/>
    <n v="7"/>
    <x v="0"/>
  </r>
  <r>
    <x v="6"/>
    <x v="1"/>
    <x v="0"/>
    <n v="1.3"/>
    <x v="1"/>
    <n v="8.6999999999999993"/>
    <n v="7.3999999999999995"/>
    <n v="0.9"/>
    <x v="94"/>
    <x v="15"/>
    <x v="0"/>
    <x v="0"/>
    <n v="10"/>
    <n v="9"/>
    <n v="9"/>
    <x v="0"/>
  </r>
  <r>
    <x v="6"/>
    <x v="1"/>
    <x v="0"/>
    <n v="1.1000000000000001"/>
    <x v="2"/>
    <n v="6.7"/>
    <n v="5.6"/>
    <n v="2"/>
    <x v="192"/>
    <x v="18"/>
    <x v="0"/>
    <x v="2"/>
    <n v="3"/>
    <n v="10"/>
    <n v="5"/>
    <x v="0"/>
  </r>
  <r>
    <x v="6"/>
    <x v="1"/>
    <x v="0"/>
    <n v="3.3"/>
    <x v="1"/>
    <n v="9"/>
    <n v="5.7"/>
    <n v="0.7"/>
    <x v="163"/>
    <x v="4"/>
    <x v="0"/>
    <x v="2"/>
    <n v="3"/>
    <n v="6"/>
    <n v="4"/>
    <x v="0"/>
  </r>
  <r>
    <x v="5"/>
    <x v="0"/>
    <x v="0"/>
    <n v="7.4"/>
    <x v="2"/>
    <n v="7.2"/>
    <n v="-0.20000000000000018"/>
    <n v="1.8"/>
    <x v="15"/>
    <x v="3"/>
    <x v="0"/>
    <x v="2"/>
    <n v="3"/>
    <n v="7"/>
    <n v="3"/>
    <x v="0"/>
  </r>
  <r>
    <x v="6"/>
    <x v="0"/>
    <x v="0"/>
    <n v="5.8"/>
    <x v="1"/>
    <n v="8.3000000000000007"/>
    <n v="2.5000000000000009"/>
    <n v="2.8"/>
    <x v="5"/>
    <x v="4"/>
    <x v="0"/>
    <x v="1"/>
    <n v="5"/>
    <n v="3"/>
    <n v="7"/>
    <x v="0"/>
  </r>
  <r>
    <x v="4"/>
    <x v="1"/>
    <x v="0"/>
    <n v="4.5999999999999996"/>
    <x v="1"/>
    <n v="6.8"/>
    <n v="2.2000000000000002"/>
    <n v="1.5"/>
    <x v="6"/>
    <x v="3"/>
    <x v="0"/>
    <x v="2"/>
    <n v="5"/>
    <n v="10"/>
    <n v="2"/>
    <x v="0"/>
  </r>
  <r>
    <x v="4"/>
    <x v="1"/>
    <x v="0"/>
    <n v="2.5"/>
    <x v="1"/>
    <n v="7.1"/>
    <n v="4.5999999999999996"/>
    <n v="1.6"/>
    <x v="97"/>
    <x v="5"/>
    <x v="0"/>
    <x v="2"/>
    <n v="10"/>
    <n v="7"/>
    <n v="3"/>
    <x v="0"/>
  </r>
  <r>
    <x v="4"/>
    <x v="0"/>
    <x v="0"/>
    <n v="4"/>
    <x v="2"/>
    <n v="8"/>
    <n v="4"/>
    <n v="2"/>
    <x v="152"/>
    <x v="3"/>
    <x v="0"/>
    <x v="1"/>
    <n v="3"/>
    <n v="1"/>
    <n v="8"/>
    <x v="0"/>
  </r>
  <r>
    <x v="2"/>
    <x v="1"/>
    <x v="0"/>
    <n v="6.6"/>
    <x v="2"/>
    <n v="8"/>
    <n v="1.4000000000000004"/>
    <n v="1.9"/>
    <x v="184"/>
    <x v="14"/>
    <x v="0"/>
    <x v="2"/>
    <n v="4"/>
    <n v="8"/>
    <n v="5"/>
    <x v="0"/>
  </r>
  <r>
    <x v="0"/>
    <x v="1"/>
    <x v="0"/>
    <n v="2.9"/>
    <x v="1"/>
    <n v="5.8"/>
    <n v="2.9"/>
    <n v="1.6"/>
    <x v="155"/>
    <x v="8"/>
    <x v="0"/>
    <x v="2"/>
    <n v="6"/>
    <n v="10"/>
    <n v="3"/>
    <x v="0"/>
  </r>
  <r>
    <x v="0"/>
    <x v="0"/>
    <x v="0"/>
    <n v="7.2"/>
    <x v="1"/>
    <n v="5.7"/>
    <n v="-1.5"/>
    <n v="2.7"/>
    <x v="140"/>
    <x v="14"/>
    <x v="0"/>
    <x v="0"/>
    <n v="7"/>
    <n v="3"/>
    <n v="7"/>
    <x v="0"/>
  </r>
  <r>
    <x v="6"/>
    <x v="1"/>
    <x v="0"/>
    <n v="2.9"/>
    <x v="0"/>
    <n v="5.3"/>
    <n v="2.4"/>
    <n v="1"/>
    <x v="90"/>
    <x v="10"/>
    <x v="0"/>
    <x v="1"/>
    <n v="9"/>
    <n v="2"/>
    <n v="4"/>
    <x v="0"/>
  </r>
  <r>
    <x v="3"/>
    <x v="1"/>
    <x v="0"/>
    <n v="7.3"/>
    <x v="2"/>
    <n v="5.7"/>
    <n v="-1.5999999999999996"/>
    <n v="2.9"/>
    <x v="3"/>
    <x v="17"/>
    <x v="0"/>
    <x v="2"/>
    <n v="2"/>
    <n v="7"/>
    <n v="8"/>
    <x v="0"/>
  </r>
  <r>
    <x v="5"/>
    <x v="1"/>
    <x v="0"/>
    <n v="3.7"/>
    <x v="1"/>
    <n v="9"/>
    <n v="5.3"/>
    <n v="1.5"/>
    <x v="175"/>
    <x v="13"/>
    <x v="0"/>
    <x v="0"/>
    <n v="4"/>
    <n v="3"/>
    <n v="1"/>
    <x v="0"/>
  </r>
  <r>
    <x v="5"/>
    <x v="0"/>
    <x v="0"/>
    <n v="7"/>
    <x v="0"/>
    <n v="4.8"/>
    <n v="-2.2000000000000002"/>
    <n v="1.7"/>
    <x v="194"/>
    <x v="11"/>
    <x v="0"/>
    <x v="0"/>
    <n v="4"/>
    <n v="1"/>
    <n v="8"/>
    <x v="0"/>
  </r>
  <r>
    <x v="3"/>
    <x v="0"/>
    <x v="0"/>
    <n v="4"/>
    <x v="1"/>
    <n v="8.4"/>
    <n v="4.4000000000000004"/>
    <n v="2.2999999999999998"/>
    <x v="120"/>
    <x v="7"/>
    <x v="0"/>
    <x v="0"/>
    <n v="4"/>
    <n v="5"/>
    <n v="3"/>
    <x v="0"/>
  </r>
  <r>
    <x v="5"/>
    <x v="0"/>
    <x v="0"/>
    <n v="2.7"/>
    <x v="2"/>
    <n v="7.5"/>
    <n v="4.8"/>
    <n v="2.8"/>
    <x v="57"/>
    <x v="7"/>
    <x v="0"/>
    <x v="2"/>
    <n v="3"/>
    <n v="1"/>
    <n v="5"/>
    <x v="0"/>
  </r>
  <r>
    <x v="3"/>
    <x v="0"/>
    <x v="0"/>
    <n v="7.2"/>
    <x v="2"/>
    <n v="5.7"/>
    <n v="-1.5"/>
    <n v="0.7"/>
    <x v="90"/>
    <x v="19"/>
    <x v="0"/>
    <x v="2"/>
    <n v="1"/>
    <n v="3"/>
    <n v="6"/>
    <x v="0"/>
  </r>
  <r>
    <x v="4"/>
    <x v="0"/>
    <x v="0"/>
    <n v="7.9"/>
    <x v="2"/>
    <n v="7"/>
    <n v="-0.90000000000000036"/>
    <n v="2.7"/>
    <x v="62"/>
    <x v="19"/>
    <x v="0"/>
    <x v="2"/>
    <n v="1"/>
    <n v="2"/>
    <n v="10"/>
    <x v="0"/>
  </r>
  <r>
    <x v="0"/>
    <x v="1"/>
    <x v="0"/>
    <n v="5.0999999999999996"/>
    <x v="0"/>
    <n v="5.3"/>
    <n v="0.20000000000000018"/>
    <n v="2.2999999999999998"/>
    <x v="29"/>
    <x v="18"/>
    <x v="0"/>
    <x v="1"/>
    <n v="3"/>
    <n v="3"/>
    <n v="6"/>
    <x v="0"/>
  </r>
  <r>
    <x v="3"/>
    <x v="1"/>
    <x v="0"/>
    <n v="6.4"/>
    <x v="2"/>
    <n v="7.7"/>
    <n v="1.2999999999999998"/>
    <n v="0.7"/>
    <x v="174"/>
    <x v="0"/>
    <x v="0"/>
    <x v="1"/>
    <n v="10"/>
    <n v="2"/>
    <n v="7"/>
    <x v="0"/>
  </r>
  <r>
    <x v="5"/>
    <x v="1"/>
    <x v="0"/>
    <n v="4.4000000000000004"/>
    <x v="2"/>
    <n v="4.2"/>
    <n v="-0.20000000000000018"/>
    <n v="2"/>
    <x v="90"/>
    <x v="8"/>
    <x v="0"/>
    <x v="2"/>
    <n v="2"/>
    <n v="9"/>
    <n v="8"/>
    <x v="0"/>
  </r>
  <r>
    <x v="5"/>
    <x v="0"/>
    <x v="0"/>
    <n v="7"/>
    <x v="1"/>
    <n v="7.4"/>
    <n v="0.40000000000000036"/>
    <n v="2.6"/>
    <x v="162"/>
    <x v="19"/>
    <x v="0"/>
    <x v="2"/>
    <n v="10"/>
    <n v="6"/>
    <n v="3"/>
    <x v="0"/>
  </r>
  <r>
    <x v="2"/>
    <x v="1"/>
    <x v="0"/>
    <n v="7.8"/>
    <x v="1"/>
    <n v="5.7"/>
    <n v="-2.0999999999999996"/>
    <n v="1.2"/>
    <x v="82"/>
    <x v="9"/>
    <x v="0"/>
    <x v="1"/>
    <n v="10"/>
    <n v="2"/>
    <n v="6"/>
    <x v="0"/>
  </r>
  <r>
    <x v="0"/>
    <x v="1"/>
    <x v="0"/>
    <n v="5"/>
    <x v="0"/>
    <n v="6.2"/>
    <n v="1.2000000000000002"/>
    <n v="1"/>
    <x v="199"/>
    <x v="0"/>
    <x v="0"/>
    <x v="0"/>
    <n v="5"/>
    <n v="6"/>
    <n v="1"/>
    <x v="0"/>
  </r>
  <r>
    <x v="2"/>
    <x v="0"/>
    <x v="0"/>
    <n v="6.6"/>
    <x v="1"/>
    <n v="5.3"/>
    <n v="-1.2999999999999998"/>
    <n v="1.1000000000000001"/>
    <x v="12"/>
    <x v="10"/>
    <x v="0"/>
    <x v="2"/>
    <n v="1"/>
    <n v="10"/>
    <n v="7"/>
    <x v="0"/>
  </r>
  <r>
    <x v="4"/>
    <x v="0"/>
    <x v="0"/>
    <n v="2.6"/>
    <x v="2"/>
    <n v="8.6"/>
    <n v="6"/>
    <n v="2.7"/>
    <x v="149"/>
    <x v="1"/>
    <x v="0"/>
    <x v="1"/>
    <n v="5"/>
    <n v="4"/>
    <n v="6"/>
    <x v="0"/>
  </r>
  <r>
    <x v="6"/>
    <x v="1"/>
    <x v="0"/>
    <n v="5.8"/>
    <x v="0"/>
    <n v="4.4000000000000004"/>
    <n v="-1.3999999999999995"/>
    <n v="1.8"/>
    <x v="164"/>
    <x v="19"/>
    <x v="0"/>
    <x v="1"/>
    <n v="2"/>
    <n v="2"/>
    <n v="1"/>
    <x v="0"/>
  </r>
  <r>
    <x v="0"/>
    <x v="1"/>
    <x v="0"/>
    <n v="5.6"/>
    <x v="1"/>
    <n v="6.8"/>
    <n v="1.2000000000000002"/>
    <n v="2.2999999999999998"/>
    <x v="130"/>
    <x v="8"/>
    <x v="0"/>
    <x v="1"/>
    <n v="7"/>
    <n v="6"/>
    <n v="2"/>
    <x v="0"/>
  </r>
  <r>
    <x v="4"/>
    <x v="0"/>
    <x v="0"/>
    <n v="4.5999999999999996"/>
    <x v="2"/>
    <n v="4.3"/>
    <n v="-0.29999999999999982"/>
    <n v="2.9"/>
    <x v="70"/>
    <x v="4"/>
    <x v="0"/>
    <x v="2"/>
    <n v="7"/>
    <n v="9"/>
    <n v="8"/>
    <x v="0"/>
  </r>
  <r>
    <x v="1"/>
    <x v="0"/>
    <x v="1"/>
    <n v="1.4"/>
    <x v="2"/>
    <n v="4.7"/>
    <n v="3.3000000000000003"/>
    <n v="0.5"/>
    <x v="52"/>
    <x v="10"/>
    <x v="0"/>
    <x v="1"/>
    <n v="1"/>
    <n v="5"/>
    <n v="6"/>
    <x v="0"/>
  </r>
  <r>
    <x v="6"/>
    <x v="1"/>
    <x v="0"/>
    <n v="2.9"/>
    <x v="2"/>
    <n v="8.1999999999999993"/>
    <n v="5.2999999999999989"/>
    <n v="2.2999999999999998"/>
    <x v="142"/>
    <x v="7"/>
    <x v="0"/>
    <x v="0"/>
    <n v="5"/>
    <n v="8"/>
    <n v="9"/>
    <x v="0"/>
  </r>
  <r>
    <x v="5"/>
    <x v="1"/>
    <x v="0"/>
    <n v="7.9"/>
    <x v="0"/>
    <n v="6.3"/>
    <n v="-1.6000000000000005"/>
    <n v="2.7"/>
    <x v="182"/>
    <x v="18"/>
    <x v="0"/>
    <x v="1"/>
    <n v="2"/>
    <n v="7"/>
    <n v="5"/>
    <x v="0"/>
  </r>
  <r>
    <x v="6"/>
    <x v="0"/>
    <x v="0"/>
    <n v="3.5"/>
    <x v="2"/>
    <n v="6.8"/>
    <n v="3.3"/>
    <n v="2.2999999999999998"/>
    <x v="139"/>
    <x v="19"/>
    <x v="0"/>
    <x v="0"/>
    <n v="7"/>
    <n v="2"/>
    <n v="6"/>
    <x v="0"/>
  </r>
  <r>
    <x v="0"/>
    <x v="1"/>
    <x v="0"/>
    <n v="3.8"/>
    <x v="0"/>
    <n v="7.9"/>
    <n v="4.1000000000000005"/>
    <n v="1.2"/>
    <x v="43"/>
    <x v="16"/>
    <x v="0"/>
    <x v="1"/>
    <n v="6"/>
    <n v="10"/>
    <n v="5"/>
    <x v="0"/>
  </r>
  <r>
    <x v="1"/>
    <x v="0"/>
    <x v="1"/>
    <n v="2.9"/>
    <x v="0"/>
    <n v="8.6999999999999993"/>
    <n v="5.7999999999999989"/>
    <n v="0.9"/>
    <x v="13"/>
    <x v="1"/>
    <x v="0"/>
    <x v="2"/>
    <n v="7"/>
    <n v="8"/>
    <n v="2"/>
    <x v="0"/>
  </r>
  <r>
    <x v="2"/>
    <x v="0"/>
    <x v="0"/>
    <n v="3.5"/>
    <x v="2"/>
    <n v="4.5999999999999996"/>
    <n v="1.0999999999999996"/>
    <n v="0.7"/>
    <x v="62"/>
    <x v="4"/>
    <x v="0"/>
    <x v="1"/>
    <n v="7"/>
    <n v="3"/>
    <n v="1"/>
    <x v="0"/>
  </r>
  <r>
    <x v="5"/>
    <x v="0"/>
    <x v="0"/>
    <n v="4.8"/>
    <x v="0"/>
    <n v="8.6"/>
    <n v="3.8"/>
    <n v="1.8"/>
    <x v="151"/>
    <x v="10"/>
    <x v="0"/>
    <x v="1"/>
    <n v="8"/>
    <n v="7"/>
    <n v="3"/>
    <x v="0"/>
  </r>
  <r>
    <x v="6"/>
    <x v="0"/>
    <x v="0"/>
    <n v="5.8"/>
    <x v="1"/>
    <n v="7.2"/>
    <n v="1.4000000000000004"/>
    <n v="1.1000000000000001"/>
    <x v="101"/>
    <x v="14"/>
    <x v="0"/>
    <x v="0"/>
    <n v="7"/>
    <n v="3"/>
    <n v="7"/>
    <x v="0"/>
  </r>
  <r>
    <x v="5"/>
    <x v="1"/>
    <x v="0"/>
    <n v="6.1"/>
    <x v="2"/>
    <n v="7.5"/>
    <n v="1.4000000000000004"/>
    <n v="2.5"/>
    <x v="198"/>
    <x v="12"/>
    <x v="0"/>
    <x v="0"/>
    <n v="9"/>
    <n v="6"/>
    <n v="10"/>
    <x v="0"/>
  </r>
  <r>
    <x v="0"/>
    <x v="1"/>
    <x v="0"/>
    <n v="4.3"/>
    <x v="2"/>
    <n v="7.8"/>
    <n v="3.5"/>
    <n v="0.5"/>
    <x v="2"/>
    <x v="5"/>
    <x v="0"/>
    <x v="1"/>
    <n v="3"/>
    <n v="4"/>
    <n v="8"/>
    <x v="0"/>
  </r>
  <r>
    <x v="3"/>
    <x v="1"/>
    <x v="0"/>
    <n v="7.8"/>
    <x v="0"/>
    <n v="4.5999999999999996"/>
    <n v="-3.2"/>
    <n v="3"/>
    <x v="151"/>
    <x v="3"/>
    <x v="0"/>
    <x v="2"/>
    <n v="8"/>
    <n v="10"/>
    <n v="6"/>
    <x v="1"/>
  </r>
  <r>
    <x v="3"/>
    <x v="1"/>
    <x v="0"/>
    <n v="5.2"/>
    <x v="1"/>
    <n v="7.5"/>
    <n v="2.2999999999999998"/>
    <n v="1.1000000000000001"/>
    <x v="117"/>
    <x v="15"/>
    <x v="0"/>
    <x v="0"/>
    <n v="4"/>
    <n v="6"/>
    <n v="7"/>
    <x v="0"/>
  </r>
  <r>
    <x v="2"/>
    <x v="0"/>
    <x v="0"/>
    <n v="3.5"/>
    <x v="0"/>
    <n v="4.3"/>
    <n v="0.79999999999999982"/>
    <n v="2.2000000000000002"/>
    <x v="102"/>
    <x v="19"/>
    <x v="0"/>
    <x v="1"/>
    <n v="4"/>
    <n v="5"/>
    <n v="9"/>
    <x v="0"/>
  </r>
  <r>
    <x v="5"/>
    <x v="1"/>
    <x v="0"/>
    <n v="6.5"/>
    <x v="1"/>
    <n v="4.5999999999999996"/>
    <n v="-1.9000000000000004"/>
    <n v="1.8"/>
    <x v="150"/>
    <x v="9"/>
    <x v="0"/>
    <x v="0"/>
    <n v="7"/>
    <n v="4"/>
    <n v="4"/>
    <x v="0"/>
  </r>
  <r>
    <x v="2"/>
    <x v="0"/>
    <x v="0"/>
    <n v="4.7"/>
    <x v="1"/>
    <n v="7.2"/>
    <n v="2.5"/>
    <n v="2.7"/>
    <x v="35"/>
    <x v="3"/>
    <x v="0"/>
    <x v="0"/>
    <n v="3"/>
    <n v="1"/>
    <n v="4"/>
    <x v="0"/>
  </r>
  <r>
    <x v="6"/>
    <x v="0"/>
    <x v="0"/>
    <n v="2.5"/>
    <x v="0"/>
    <n v="6.3"/>
    <n v="3.8"/>
    <n v="1.8"/>
    <x v="150"/>
    <x v="15"/>
    <x v="0"/>
    <x v="1"/>
    <n v="9"/>
    <n v="3"/>
    <n v="9"/>
    <x v="0"/>
  </r>
  <r>
    <x v="1"/>
    <x v="1"/>
    <x v="1"/>
    <n v="5.5"/>
    <x v="1"/>
    <n v="7.4"/>
    <n v="1.9000000000000004"/>
    <n v="2"/>
    <x v="56"/>
    <x v="17"/>
    <x v="0"/>
    <x v="1"/>
    <n v="9"/>
    <n v="8"/>
    <n v="10"/>
    <x v="0"/>
  </r>
  <r>
    <x v="3"/>
    <x v="1"/>
    <x v="0"/>
    <n v="3.5"/>
    <x v="0"/>
    <n v="8"/>
    <n v="4.5"/>
    <n v="1.9"/>
    <x v="133"/>
    <x v="0"/>
    <x v="0"/>
    <x v="1"/>
    <n v="10"/>
    <n v="4"/>
    <n v="1"/>
    <x v="0"/>
  </r>
  <r>
    <x v="0"/>
    <x v="1"/>
    <x v="0"/>
    <n v="4.5999999999999996"/>
    <x v="1"/>
    <n v="7"/>
    <n v="2.4000000000000004"/>
    <n v="1.6"/>
    <x v="160"/>
    <x v="7"/>
    <x v="0"/>
    <x v="0"/>
    <n v="3"/>
    <n v="2"/>
    <n v="9"/>
    <x v="0"/>
  </r>
  <r>
    <x v="6"/>
    <x v="1"/>
    <x v="0"/>
    <n v="3.5"/>
    <x v="0"/>
    <n v="6.9"/>
    <n v="3.4000000000000004"/>
    <n v="1.6"/>
    <x v="186"/>
    <x v="5"/>
    <x v="0"/>
    <x v="0"/>
    <n v="9"/>
    <n v="9"/>
    <n v="9"/>
    <x v="0"/>
  </r>
  <r>
    <x v="1"/>
    <x v="0"/>
    <x v="1"/>
    <n v="1.6"/>
    <x v="1"/>
    <n v="8.6"/>
    <n v="7"/>
    <n v="1.4"/>
    <x v="101"/>
    <x v="16"/>
    <x v="0"/>
    <x v="2"/>
    <n v="4"/>
    <n v="3"/>
    <n v="4"/>
    <x v="0"/>
  </r>
  <r>
    <x v="6"/>
    <x v="1"/>
    <x v="0"/>
    <n v="3.2"/>
    <x v="2"/>
    <n v="5.9"/>
    <n v="2.7"/>
    <n v="0.7"/>
    <x v="185"/>
    <x v="1"/>
    <x v="0"/>
    <x v="0"/>
    <n v="6"/>
    <n v="8"/>
    <n v="1"/>
    <x v="0"/>
  </r>
  <r>
    <x v="1"/>
    <x v="1"/>
    <x v="1"/>
    <n v="1.7"/>
    <x v="2"/>
    <n v="7"/>
    <n v="5.3"/>
    <n v="2.7"/>
    <x v="166"/>
    <x v="12"/>
    <x v="0"/>
    <x v="1"/>
    <n v="6"/>
    <n v="4"/>
    <n v="10"/>
    <x v="0"/>
  </r>
  <r>
    <x v="0"/>
    <x v="0"/>
    <x v="0"/>
    <n v="6.4"/>
    <x v="0"/>
    <n v="4.3"/>
    <n v="-2.1000000000000005"/>
    <n v="2.2999999999999998"/>
    <x v="87"/>
    <x v="8"/>
    <x v="0"/>
    <x v="0"/>
    <n v="7"/>
    <n v="4"/>
    <n v="3"/>
    <x v="0"/>
  </r>
  <r>
    <x v="6"/>
    <x v="1"/>
    <x v="0"/>
    <n v="3.3"/>
    <x v="1"/>
    <n v="6.4"/>
    <n v="3.1000000000000005"/>
    <n v="1"/>
    <x v="163"/>
    <x v="19"/>
    <x v="0"/>
    <x v="0"/>
    <n v="9"/>
    <n v="2"/>
    <n v="4"/>
    <x v="0"/>
  </r>
  <r>
    <x v="4"/>
    <x v="0"/>
    <x v="0"/>
    <n v="1.2"/>
    <x v="2"/>
    <n v="6.8"/>
    <n v="5.6"/>
    <n v="2.6"/>
    <x v="154"/>
    <x v="17"/>
    <x v="0"/>
    <x v="2"/>
    <n v="4"/>
    <n v="3"/>
    <n v="9"/>
    <x v="0"/>
  </r>
  <r>
    <x v="6"/>
    <x v="1"/>
    <x v="0"/>
    <n v="2.5"/>
    <x v="2"/>
    <n v="7.8"/>
    <n v="5.3"/>
    <n v="1.4"/>
    <x v="45"/>
    <x v="7"/>
    <x v="0"/>
    <x v="2"/>
    <n v="1"/>
    <n v="4"/>
    <n v="6"/>
    <x v="0"/>
  </r>
  <r>
    <x v="5"/>
    <x v="0"/>
    <x v="0"/>
    <n v="2.2000000000000002"/>
    <x v="1"/>
    <n v="5.0999999999999996"/>
    <n v="2.8999999999999995"/>
    <n v="2.2999999999999998"/>
    <x v="77"/>
    <x v="19"/>
    <x v="0"/>
    <x v="1"/>
    <n v="4"/>
    <n v="7"/>
    <n v="6"/>
    <x v="0"/>
  </r>
  <r>
    <x v="4"/>
    <x v="1"/>
    <x v="0"/>
    <n v="5.2"/>
    <x v="2"/>
    <n v="7.1"/>
    <n v="1.8999999999999995"/>
    <n v="1.9"/>
    <x v="187"/>
    <x v="10"/>
    <x v="0"/>
    <x v="2"/>
    <n v="5"/>
    <n v="8"/>
    <n v="6"/>
    <x v="0"/>
  </r>
  <r>
    <x v="5"/>
    <x v="0"/>
    <x v="0"/>
    <n v="7.9"/>
    <x v="0"/>
    <n v="8.6999999999999993"/>
    <n v="0.79999999999999893"/>
    <n v="2.5"/>
    <x v="89"/>
    <x v="5"/>
    <x v="0"/>
    <x v="1"/>
    <n v="7"/>
    <n v="7"/>
    <n v="4"/>
    <x v="0"/>
  </r>
  <r>
    <x v="4"/>
    <x v="0"/>
    <x v="0"/>
    <n v="5.6"/>
    <x v="2"/>
    <n v="8"/>
    <n v="2.4000000000000004"/>
    <n v="2.4"/>
    <x v="70"/>
    <x v="2"/>
    <x v="0"/>
    <x v="0"/>
    <n v="2"/>
    <n v="10"/>
    <n v="3"/>
    <x v="0"/>
  </r>
  <r>
    <x v="5"/>
    <x v="0"/>
    <x v="0"/>
    <n v="3.9"/>
    <x v="1"/>
    <n v="4.2"/>
    <n v="0.30000000000000027"/>
    <n v="2.1"/>
    <x v="139"/>
    <x v="8"/>
    <x v="0"/>
    <x v="2"/>
    <n v="6"/>
    <n v="5"/>
    <n v="7"/>
    <x v="0"/>
  </r>
  <r>
    <x v="4"/>
    <x v="1"/>
    <x v="0"/>
    <n v="1.8"/>
    <x v="1"/>
    <n v="6.1"/>
    <n v="4.3"/>
    <n v="2.7"/>
    <x v="184"/>
    <x v="8"/>
    <x v="0"/>
    <x v="0"/>
    <n v="4"/>
    <n v="2"/>
    <n v="4"/>
    <x v="0"/>
  </r>
  <r>
    <x v="4"/>
    <x v="1"/>
    <x v="0"/>
    <n v="5.8"/>
    <x v="2"/>
    <n v="5.0999999999999996"/>
    <n v="-0.70000000000000018"/>
    <n v="1.2"/>
    <x v="43"/>
    <x v="14"/>
    <x v="0"/>
    <x v="1"/>
    <n v="5"/>
    <n v="9"/>
    <n v="2"/>
    <x v="0"/>
  </r>
  <r>
    <x v="4"/>
    <x v="1"/>
    <x v="0"/>
    <n v="2.2000000000000002"/>
    <x v="0"/>
    <n v="4.4000000000000004"/>
    <n v="2.2000000000000002"/>
    <n v="1.7"/>
    <x v="184"/>
    <x v="8"/>
    <x v="0"/>
    <x v="1"/>
    <n v="8"/>
    <n v="9"/>
    <n v="7"/>
    <x v="0"/>
  </r>
  <r>
    <x v="2"/>
    <x v="0"/>
    <x v="0"/>
    <n v="6.9"/>
    <x v="2"/>
    <n v="4.5999999999999996"/>
    <n v="-2.3000000000000007"/>
    <n v="2.5"/>
    <x v="7"/>
    <x v="1"/>
    <x v="0"/>
    <x v="1"/>
    <n v="10"/>
    <n v="9"/>
    <n v="2"/>
    <x v="1"/>
  </r>
  <r>
    <x v="0"/>
    <x v="1"/>
    <x v="0"/>
    <n v="5.7"/>
    <x v="0"/>
    <n v="6.7"/>
    <n v="1"/>
    <n v="2.6"/>
    <x v="188"/>
    <x v="17"/>
    <x v="0"/>
    <x v="1"/>
    <n v="10"/>
    <n v="10"/>
    <n v="7"/>
    <x v="0"/>
  </r>
  <r>
    <x v="2"/>
    <x v="0"/>
    <x v="0"/>
    <n v="7.5"/>
    <x v="1"/>
    <n v="5.6"/>
    <n v="-1.9000000000000004"/>
    <n v="2.2999999999999998"/>
    <x v="4"/>
    <x v="2"/>
    <x v="0"/>
    <x v="1"/>
    <n v="3"/>
    <n v="10"/>
    <n v="8"/>
    <x v="0"/>
  </r>
  <r>
    <x v="6"/>
    <x v="0"/>
    <x v="0"/>
    <n v="5.2"/>
    <x v="2"/>
    <n v="6.4"/>
    <n v="1.2000000000000002"/>
    <n v="2.5"/>
    <x v="66"/>
    <x v="11"/>
    <x v="0"/>
    <x v="2"/>
    <n v="8"/>
    <n v="6"/>
    <n v="7"/>
    <x v="0"/>
  </r>
  <r>
    <x v="5"/>
    <x v="0"/>
    <x v="0"/>
    <n v="7.2"/>
    <x v="2"/>
    <n v="6.9"/>
    <n v="-0.29999999999999982"/>
    <n v="2.1"/>
    <x v="116"/>
    <x v="8"/>
    <x v="0"/>
    <x v="0"/>
    <n v="3"/>
    <n v="4"/>
    <n v="10"/>
    <x v="0"/>
  </r>
  <r>
    <x v="1"/>
    <x v="0"/>
    <x v="1"/>
    <n v="2"/>
    <x v="1"/>
    <n v="4.3"/>
    <n v="2.2999999999999998"/>
    <n v="0.8"/>
    <x v="72"/>
    <x v="5"/>
    <x v="0"/>
    <x v="0"/>
    <n v="8"/>
    <n v="1"/>
    <n v="1"/>
    <x v="0"/>
  </r>
  <r>
    <x v="6"/>
    <x v="1"/>
    <x v="0"/>
    <n v="4.7"/>
    <x v="2"/>
    <n v="6.8"/>
    <n v="2.0999999999999996"/>
    <n v="1.4"/>
    <x v="84"/>
    <x v="1"/>
    <x v="0"/>
    <x v="1"/>
    <n v="10"/>
    <n v="6"/>
    <n v="9"/>
    <x v="0"/>
  </r>
  <r>
    <x v="0"/>
    <x v="0"/>
    <x v="0"/>
    <n v="5.6"/>
    <x v="2"/>
    <n v="4.5"/>
    <n v="-1.0999999999999996"/>
    <n v="1.4"/>
    <x v="151"/>
    <x v="9"/>
    <x v="0"/>
    <x v="0"/>
    <n v="5"/>
    <n v="10"/>
    <n v="9"/>
    <x v="0"/>
  </r>
  <r>
    <x v="4"/>
    <x v="1"/>
    <x v="0"/>
    <n v="4.5"/>
    <x v="0"/>
    <n v="4"/>
    <n v="-0.5"/>
    <n v="2.9"/>
    <x v="54"/>
    <x v="13"/>
    <x v="0"/>
    <x v="2"/>
    <n v="8"/>
    <n v="6"/>
    <n v="5"/>
    <x v="0"/>
  </r>
  <r>
    <x v="3"/>
    <x v="1"/>
    <x v="0"/>
    <n v="1.1000000000000001"/>
    <x v="0"/>
    <n v="9"/>
    <n v="7.9"/>
    <n v="1.2"/>
    <x v="194"/>
    <x v="17"/>
    <x v="0"/>
    <x v="2"/>
    <n v="5"/>
    <n v="10"/>
    <n v="2"/>
    <x v="0"/>
  </r>
  <r>
    <x v="4"/>
    <x v="1"/>
    <x v="0"/>
    <n v="5.3"/>
    <x v="2"/>
    <n v="4.5999999999999996"/>
    <n v="-0.70000000000000018"/>
    <n v="1.5"/>
    <x v="144"/>
    <x v="4"/>
    <x v="0"/>
    <x v="2"/>
    <n v="4"/>
    <n v="3"/>
    <n v="4"/>
    <x v="0"/>
  </r>
  <r>
    <x v="0"/>
    <x v="1"/>
    <x v="0"/>
    <n v="3.5"/>
    <x v="2"/>
    <n v="5.3"/>
    <n v="1.7999999999999998"/>
    <n v="2.5"/>
    <x v="89"/>
    <x v="5"/>
    <x v="0"/>
    <x v="0"/>
    <n v="1"/>
    <n v="10"/>
    <n v="3"/>
    <x v="0"/>
  </r>
  <r>
    <x v="3"/>
    <x v="0"/>
    <x v="0"/>
    <n v="6.5"/>
    <x v="2"/>
    <n v="6.2"/>
    <n v="-0.29999999999999982"/>
    <n v="1.2"/>
    <x v="102"/>
    <x v="2"/>
    <x v="0"/>
    <x v="2"/>
    <n v="6"/>
    <n v="5"/>
    <n v="2"/>
    <x v="0"/>
  </r>
  <r>
    <x v="0"/>
    <x v="0"/>
    <x v="0"/>
    <n v="7"/>
    <x v="2"/>
    <n v="6.7"/>
    <n v="-0.29999999999999982"/>
    <n v="1.9"/>
    <x v="142"/>
    <x v="6"/>
    <x v="0"/>
    <x v="0"/>
    <n v="7"/>
    <n v="1"/>
    <n v="5"/>
    <x v="0"/>
  </r>
  <r>
    <x v="0"/>
    <x v="1"/>
    <x v="0"/>
    <n v="4"/>
    <x v="1"/>
    <n v="4.0999999999999996"/>
    <n v="9.9999999999999645E-2"/>
    <n v="0.9"/>
    <x v="13"/>
    <x v="13"/>
    <x v="0"/>
    <x v="0"/>
    <n v="2"/>
    <n v="9"/>
    <n v="10"/>
    <x v="0"/>
  </r>
  <r>
    <x v="3"/>
    <x v="1"/>
    <x v="0"/>
    <n v="1.7"/>
    <x v="0"/>
    <n v="5.3"/>
    <n v="3.5999999999999996"/>
    <n v="1.5"/>
    <x v="77"/>
    <x v="0"/>
    <x v="0"/>
    <x v="1"/>
    <n v="6"/>
    <n v="4"/>
    <n v="3"/>
    <x v="0"/>
  </r>
  <r>
    <x v="0"/>
    <x v="1"/>
    <x v="0"/>
    <n v="7.8"/>
    <x v="1"/>
    <n v="4.7"/>
    <n v="-3.0999999999999996"/>
    <n v="2.2000000000000002"/>
    <x v="57"/>
    <x v="4"/>
    <x v="0"/>
    <x v="0"/>
    <n v="5"/>
    <n v="8"/>
    <n v="2"/>
    <x v="0"/>
  </r>
  <r>
    <x v="3"/>
    <x v="1"/>
    <x v="0"/>
    <n v="5.2"/>
    <x v="0"/>
    <n v="6.7"/>
    <n v="1.5"/>
    <n v="3"/>
    <x v="100"/>
    <x v="4"/>
    <x v="0"/>
    <x v="0"/>
    <n v="9"/>
    <n v="7"/>
    <n v="9"/>
    <x v="0"/>
  </r>
  <r>
    <x v="1"/>
    <x v="1"/>
    <x v="1"/>
    <n v="7.9"/>
    <x v="1"/>
    <n v="5.8"/>
    <n v="-2.1000000000000005"/>
    <n v="2.1"/>
    <x v="84"/>
    <x v="3"/>
    <x v="0"/>
    <x v="1"/>
    <n v="7"/>
    <n v="1"/>
    <n v="10"/>
    <x v="0"/>
  </r>
  <r>
    <x v="2"/>
    <x v="0"/>
    <x v="0"/>
    <n v="5.9"/>
    <x v="2"/>
    <n v="6.6"/>
    <n v="0.69999999999999929"/>
    <n v="1.3"/>
    <x v="15"/>
    <x v="3"/>
    <x v="0"/>
    <x v="0"/>
    <n v="10"/>
    <n v="4"/>
    <n v="9"/>
    <x v="0"/>
  </r>
  <r>
    <x v="6"/>
    <x v="1"/>
    <x v="0"/>
    <n v="2.6"/>
    <x v="1"/>
    <n v="8.5"/>
    <n v="5.9"/>
    <n v="1.9"/>
    <x v="118"/>
    <x v="13"/>
    <x v="0"/>
    <x v="1"/>
    <n v="5"/>
    <n v="7"/>
    <n v="6"/>
    <x v="0"/>
  </r>
  <r>
    <x v="4"/>
    <x v="1"/>
    <x v="0"/>
    <n v="6.3"/>
    <x v="1"/>
    <n v="4.8"/>
    <n v="-1.5"/>
    <n v="1.2"/>
    <x v="115"/>
    <x v="6"/>
    <x v="0"/>
    <x v="2"/>
    <n v="9"/>
    <n v="10"/>
    <n v="3"/>
    <x v="1"/>
  </r>
  <r>
    <x v="1"/>
    <x v="1"/>
    <x v="1"/>
    <n v="4.5"/>
    <x v="1"/>
    <n v="8.4"/>
    <n v="3.9000000000000004"/>
    <n v="2.1"/>
    <x v="104"/>
    <x v="20"/>
    <x v="1"/>
    <x v="0"/>
    <n v="5"/>
    <n v="10"/>
    <n v="5"/>
    <x v="0"/>
  </r>
  <r>
    <x v="1"/>
    <x v="0"/>
    <x v="1"/>
    <n v="5.3"/>
    <x v="0"/>
    <n v="4.7"/>
    <n v="-0.59999999999999964"/>
    <n v="2.8"/>
    <x v="169"/>
    <x v="11"/>
    <x v="0"/>
    <x v="1"/>
    <n v="1"/>
    <n v="9"/>
    <n v="6"/>
    <x v="0"/>
  </r>
  <r>
    <x v="6"/>
    <x v="1"/>
    <x v="0"/>
    <n v="5.2"/>
    <x v="2"/>
    <n v="7.4"/>
    <n v="2.2000000000000002"/>
    <n v="2.5"/>
    <x v="165"/>
    <x v="1"/>
    <x v="0"/>
    <x v="0"/>
    <n v="4"/>
    <n v="4"/>
    <n v="8"/>
    <x v="0"/>
  </r>
  <r>
    <x v="3"/>
    <x v="0"/>
    <x v="0"/>
    <n v="3.3"/>
    <x v="2"/>
    <n v="6.1"/>
    <n v="2.8"/>
    <n v="1.2"/>
    <x v="55"/>
    <x v="3"/>
    <x v="0"/>
    <x v="0"/>
    <n v="8"/>
    <n v="6"/>
    <n v="3"/>
    <x v="0"/>
  </r>
  <r>
    <x v="0"/>
    <x v="1"/>
    <x v="0"/>
    <n v="1.1000000000000001"/>
    <x v="2"/>
    <n v="5.4"/>
    <n v="4.3000000000000007"/>
    <n v="1.6"/>
    <x v="155"/>
    <x v="0"/>
    <x v="0"/>
    <x v="2"/>
    <n v="4"/>
    <n v="5"/>
    <n v="8"/>
    <x v="0"/>
  </r>
  <r>
    <x v="2"/>
    <x v="1"/>
    <x v="0"/>
    <n v="5"/>
    <x v="0"/>
    <n v="7.3"/>
    <n v="2.2999999999999998"/>
    <n v="1.2"/>
    <x v="173"/>
    <x v="5"/>
    <x v="0"/>
    <x v="2"/>
    <n v="9"/>
    <n v="10"/>
    <n v="8"/>
    <x v="0"/>
  </r>
  <r>
    <x v="3"/>
    <x v="1"/>
    <x v="0"/>
    <n v="7.4"/>
    <x v="1"/>
    <n v="8.6"/>
    <n v="1.1999999999999993"/>
    <n v="1.4"/>
    <x v="69"/>
    <x v="17"/>
    <x v="0"/>
    <x v="0"/>
    <n v="10"/>
    <n v="10"/>
    <n v="1"/>
    <x v="0"/>
  </r>
  <r>
    <x v="3"/>
    <x v="1"/>
    <x v="0"/>
    <n v="7.4"/>
    <x v="1"/>
    <n v="8.9"/>
    <n v="1.5"/>
    <n v="2.9"/>
    <x v="173"/>
    <x v="8"/>
    <x v="0"/>
    <x v="1"/>
    <n v="4"/>
    <n v="9"/>
    <n v="1"/>
    <x v="0"/>
  </r>
  <r>
    <x v="2"/>
    <x v="0"/>
    <x v="0"/>
    <n v="6.6"/>
    <x v="1"/>
    <n v="5.2"/>
    <n v="-1.3999999999999995"/>
    <n v="2.2000000000000002"/>
    <x v="88"/>
    <x v="1"/>
    <x v="0"/>
    <x v="1"/>
    <n v="6"/>
    <n v="8"/>
    <n v="7"/>
    <x v="0"/>
  </r>
  <r>
    <x v="6"/>
    <x v="1"/>
    <x v="0"/>
    <n v="7.1"/>
    <x v="2"/>
    <n v="7.2"/>
    <n v="0.10000000000000053"/>
    <n v="1.1000000000000001"/>
    <x v="20"/>
    <x v="19"/>
    <x v="0"/>
    <x v="0"/>
    <n v="4"/>
    <n v="6"/>
    <n v="3"/>
    <x v="0"/>
  </r>
  <r>
    <x v="3"/>
    <x v="1"/>
    <x v="0"/>
    <n v="1.1000000000000001"/>
    <x v="1"/>
    <n v="8.6"/>
    <n v="7.5"/>
    <n v="2.2999999999999998"/>
    <x v="119"/>
    <x v="12"/>
    <x v="0"/>
    <x v="0"/>
    <n v="1"/>
    <n v="2"/>
    <n v="7"/>
    <x v="0"/>
  </r>
  <r>
    <x v="6"/>
    <x v="1"/>
    <x v="0"/>
    <n v="3.6"/>
    <x v="1"/>
    <n v="8.6999999999999993"/>
    <n v="5.0999999999999996"/>
    <n v="0.8"/>
    <x v="103"/>
    <x v="6"/>
    <x v="0"/>
    <x v="0"/>
    <n v="4"/>
    <n v="6"/>
    <n v="8"/>
    <x v="0"/>
  </r>
  <r>
    <x v="5"/>
    <x v="0"/>
    <x v="0"/>
    <n v="5.0999999999999996"/>
    <x v="1"/>
    <n v="4.5999999999999996"/>
    <n v="-0.5"/>
    <n v="1.1000000000000001"/>
    <x v="83"/>
    <x v="0"/>
    <x v="0"/>
    <x v="2"/>
    <n v="6"/>
    <n v="3"/>
    <n v="6"/>
    <x v="0"/>
  </r>
  <r>
    <x v="1"/>
    <x v="1"/>
    <x v="1"/>
    <n v="7.3"/>
    <x v="0"/>
    <n v="7.8"/>
    <n v="0.5"/>
    <n v="1"/>
    <x v="115"/>
    <x v="1"/>
    <x v="0"/>
    <x v="2"/>
    <n v="9"/>
    <n v="7"/>
    <n v="5"/>
    <x v="0"/>
  </r>
  <r>
    <x v="6"/>
    <x v="1"/>
    <x v="0"/>
    <n v="7.7"/>
    <x v="2"/>
    <n v="7.5"/>
    <n v="-0.20000000000000018"/>
    <n v="1.4"/>
    <x v="18"/>
    <x v="15"/>
    <x v="0"/>
    <x v="0"/>
    <n v="5"/>
    <n v="3"/>
    <n v="3"/>
    <x v="0"/>
  </r>
  <r>
    <x v="6"/>
    <x v="1"/>
    <x v="0"/>
    <n v="7.9"/>
    <x v="1"/>
    <n v="4.0999999999999996"/>
    <n v="-3.8000000000000007"/>
    <n v="1.6"/>
    <x v="160"/>
    <x v="7"/>
    <x v="0"/>
    <x v="2"/>
    <n v="9"/>
    <n v="3"/>
    <n v="5"/>
    <x v="0"/>
  </r>
  <r>
    <x v="5"/>
    <x v="1"/>
    <x v="0"/>
    <n v="5.5"/>
    <x v="2"/>
    <n v="5.8"/>
    <n v="0.29999999999999982"/>
    <n v="2.5"/>
    <x v="172"/>
    <x v="19"/>
    <x v="0"/>
    <x v="0"/>
    <n v="5"/>
    <n v="2"/>
    <n v="8"/>
    <x v="0"/>
  </r>
  <r>
    <x v="1"/>
    <x v="0"/>
    <x v="1"/>
    <n v="4"/>
    <x v="0"/>
    <n v="7.8"/>
    <n v="3.8"/>
    <n v="0.6"/>
    <x v="117"/>
    <x v="10"/>
    <x v="0"/>
    <x v="1"/>
    <n v="2"/>
    <n v="7"/>
    <n v="9"/>
    <x v="0"/>
  </r>
  <r>
    <x v="3"/>
    <x v="1"/>
    <x v="0"/>
    <n v="7.9"/>
    <x v="1"/>
    <n v="4.7"/>
    <n v="-3.2"/>
    <n v="1.5"/>
    <x v="46"/>
    <x v="2"/>
    <x v="0"/>
    <x v="0"/>
    <n v="5"/>
    <n v="8"/>
    <n v="5"/>
    <x v="0"/>
  </r>
  <r>
    <x v="4"/>
    <x v="1"/>
    <x v="0"/>
    <n v="5.5"/>
    <x v="2"/>
    <n v="8.1999999999999993"/>
    <n v="2.6999999999999993"/>
    <n v="0.5"/>
    <x v="54"/>
    <x v="9"/>
    <x v="0"/>
    <x v="2"/>
    <n v="8"/>
    <n v="7"/>
    <n v="7"/>
    <x v="0"/>
  </r>
  <r>
    <x v="2"/>
    <x v="1"/>
    <x v="0"/>
    <n v="7.6"/>
    <x v="2"/>
    <n v="7.1"/>
    <n v="-0.5"/>
    <n v="1.1000000000000001"/>
    <x v="166"/>
    <x v="13"/>
    <x v="0"/>
    <x v="1"/>
    <n v="3"/>
    <n v="2"/>
    <n v="6"/>
    <x v="0"/>
  </r>
  <r>
    <x v="6"/>
    <x v="0"/>
    <x v="0"/>
    <n v="1.3"/>
    <x v="1"/>
    <n v="4.4000000000000004"/>
    <n v="3.1000000000000005"/>
    <n v="0.9"/>
    <x v="13"/>
    <x v="2"/>
    <x v="0"/>
    <x v="1"/>
    <n v="8"/>
    <n v="2"/>
    <n v="5"/>
    <x v="0"/>
  </r>
  <r>
    <x v="5"/>
    <x v="0"/>
    <x v="0"/>
    <n v="7.3"/>
    <x v="1"/>
    <n v="7"/>
    <n v="-0.29999999999999982"/>
    <n v="2.2000000000000002"/>
    <x v="166"/>
    <x v="19"/>
    <x v="0"/>
    <x v="2"/>
    <n v="3"/>
    <n v="7"/>
    <n v="1"/>
    <x v="0"/>
  </r>
  <r>
    <x v="4"/>
    <x v="0"/>
    <x v="0"/>
    <n v="4.3"/>
    <x v="0"/>
    <n v="6.7"/>
    <n v="2.4000000000000004"/>
    <n v="2.5"/>
    <x v="102"/>
    <x v="19"/>
    <x v="0"/>
    <x v="1"/>
    <n v="5"/>
    <n v="5"/>
    <n v="5"/>
    <x v="0"/>
  </r>
  <r>
    <x v="5"/>
    <x v="0"/>
    <x v="0"/>
    <n v="7.1"/>
    <x v="1"/>
    <n v="7.7"/>
    <n v="0.60000000000000053"/>
    <n v="1.9"/>
    <x v="18"/>
    <x v="4"/>
    <x v="0"/>
    <x v="1"/>
    <n v="8"/>
    <n v="10"/>
    <n v="5"/>
    <x v="0"/>
  </r>
  <r>
    <x v="0"/>
    <x v="1"/>
    <x v="0"/>
    <n v="5.7"/>
    <x v="1"/>
    <n v="6.4"/>
    <n v="0.70000000000000018"/>
    <n v="1.9"/>
    <x v="46"/>
    <x v="6"/>
    <x v="0"/>
    <x v="1"/>
    <n v="6"/>
    <n v="8"/>
    <n v="5"/>
    <x v="0"/>
  </r>
  <r>
    <x v="4"/>
    <x v="1"/>
    <x v="0"/>
    <n v="5.2"/>
    <x v="2"/>
    <n v="7.3"/>
    <n v="2.0999999999999996"/>
    <n v="1.7"/>
    <x v="122"/>
    <x v="7"/>
    <x v="0"/>
    <x v="0"/>
    <n v="7"/>
    <n v="4"/>
    <n v="9"/>
    <x v="0"/>
  </r>
  <r>
    <x v="2"/>
    <x v="0"/>
    <x v="0"/>
    <n v="3.1"/>
    <x v="1"/>
    <n v="7.7"/>
    <n v="4.5999999999999996"/>
    <n v="2.2000000000000002"/>
    <x v="82"/>
    <x v="3"/>
    <x v="0"/>
    <x v="2"/>
    <n v="1"/>
    <n v="5"/>
    <n v="8"/>
    <x v="0"/>
  </r>
  <r>
    <x v="6"/>
    <x v="0"/>
    <x v="0"/>
    <n v="3"/>
    <x v="2"/>
    <n v="6.2"/>
    <n v="3.2"/>
    <n v="0.8"/>
    <x v="32"/>
    <x v="8"/>
    <x v="0"/>
    <x v="0"/>
    <n v="9"/>
    <n v="10"/>
    <n v="3"/>
    <x v="0"/>
  </r>
  <r>
    <x v="2"/>
    <x v="1"/>
    <x v="0"/>
    <n v="6"/>
    <x v="2"/>
    <n v="4.2"/>
    <n v="-1.7999999999999998"/>
    <n v="2.2000000000000002"/>
    <x v="42"/>
    <x v="12"/>
    <x v="0"/>
    <x v="2"/>
    <n v="1"/>
    <n v="4"/>
    <n v="5"/>
    <x v="0"/>
  </r>
  <r>
    <x v="6"/>
    <x v="0"/>
    <x v="0"/>
    <n v="5.9"/>
    <x v="0"/>
    <n v="8.6"/>
    <n v="2.6999999999999993"/>
    <n v="1.9"/>
    <x v="138"/>
    <x v="18"/>
    <x v="0"/>
    <x v="2"/>
    <n v="1"/>
    <n v="6"/>
    <n v="9"/>
    <x v="0"/>
  </r>
  <r>
    <x v="3"/>
    <x v="0"/>
    <x v="0"/>
    <n v="5.0999999999999996"/>
    <x v="1"/>
    <n v="5.5"/>
    <n v="0.40000000000000036"/>
    <n v="0.7"/>
    <x v="145"/>
    <x v="12"/>
    <x v="0"/>
    <x v="2"/>
    <n v="6"/>
    <n v="10"/>
    <n v="8"/>
    <x v="0"/>
  </r>
  <r>
    <x v="1"/>
    <x v="1"/>
    <x v="1"/>
    <n v="3.5"/>
    <x v="0"/>
    <n v="4.9000000000000004"/>
    <n v="1.4000000000000004"/>
    <n v="0.5"/>
    <x v="119"/>
    <x v="10"/>
    <x v="0"/>
    <x v="1"/>
    <n v="8"/>
    <n v="4"/>
    <n v="3"/>
    <x v="0"/>
  </r>
  <r>
    <x v="5"/>
    <x v="0"/>
    <x v="0"/>
    <n v="5.3"/>
    <x v="1"/>
    <n v="5.3"/>
    <n v="0"/>
    <n v="2.4"/>
    <x v="0"/>
    <x v="16"/>
    <x v="0"/>
    <x v="2"/>
    <n v="2"/>
    <n v="9"/>
    <n v="1"/>
    <x v="0"/>
  </r>
  <r>
    <x v="6"/>
    <x v="1"/>
    <x v="0"/>
    <n v="4.0999999999999996"/>
    <x v="0"/>
    <n v="7.5"/>
    <n v="3.4000000000000004"/>
    <n v="1.7"/>
    <x v="95"/>
    <x v="20"/>
    <x v="1"/>
    <x v="2"/>
    <n v="1"/>
    <n v="4"/>
    <n v="9"/>
    <x v="0"/>
  </r>
  <r>
    <x v="4"/>
    <x v="0"/>
    <x v="0"/>
    <n v="4.0999999999999996"/>
    <x v="0"/>
    <n v="6.7"/>
    <n v="2.6000000000000005"/>
    <n v="2.1"/>
    <x v="114"/>
    <x v="15"/>
    <x v="0"/>
    <x v="2"/>
    <n v="8"/>
    <n v="1"/>
    <n v="5"/>
    <x v="0"/>
  </r>
  <r>
    <x v="3"/>
    <x v="0"/>
    <x v="0"/>
    <n v="6.3"/>
    <x v="1"/>
    <n v="6.8"/>
    <n v="0.5"/>
    <n v="1.8"/>
    <x v="14"/>
    <x v="13"/>
    <x v="0"/>
    <x v="1"/>
    <n v="10"/>
    <n v="5"/>
    <n v="5"/>
    <x v="0"/>
  </r>
  <r>
    <x v="1"/>
    <x v="1"/>
    <x v="1"/>
    <n v="6.6"/>
    <x v="2"/>
    <n v="9"/>
    <n v="2.4000000000000004"/>
    <n v="2.9"/>
    <x v="108"/>
    <x v="10"/>
    <x v="0"/>
    <x v="2"/>
    <n v="3"/>
    <n v="7"/>
    <n v="9"/>
    <x v="0"/>
  </r>
  <r>
    <x v="1"/>
    <x v="0"/>
    <x v="1"/>
    <n v="1.4"/>
    <x v="2"/>
    <n v="4.5"/>
    <n v="3.1"/>
    <n v="2.2999999999999998"/>
    <x v="62"/>
    <x v="2"/>
    <x v="0"/>
    <x v="2"/>
    <n v="2"/>
    <n v="8"/>
    <n v="10"/>
    <x v="0"/>
  </r>
  <r>
    <x v="1"/>
    <x v="0"/>
    <x v="1"/>
    <n v="2.4"/>
    <x v="1"/>
    <n v="9"/>
    <n v="6.6"/>
    <n v="2.4"/>
    <x v="66"/>
    <x v="12"/>
    <x v="0"/>
    <x v="1"/>
    <n v="5"/>
    <n v="3"/>
    <n v="3"/>
    <x v="0"/>
  </r>
  <r>
    <x v="4"/>
    <x v="0"/>
    <x v="0"/>
    <n v="1.6"/>
    <x v="2"/>
    <n v="5.4"/>
    <n v="3.8000000000000003"/>
    <n v="2"/>
    <x v="121"/>
    <x v="17"/>
    <x v="0"/>
    <x v="0"/>
    <n v="8"/>
    <n v="8"/>
    <n v="3"/>
    <x v="0"/>
  </r>
  <r>
    <x v="4"/>
    <x v="0"/>
    <x v="0"/>
    <n v="2"/>
    <x v="0"/>
    <n v="8.9"/>
    <n v="6.9"/>
    <n v="0.8"/>
    <x v="21"/>
    <x v="12"/>
    <x v="0"/>
    <x v="2"/>
    <n v="6"/>
    <n v="2"/>
    <n v="2"/>
    <x v="0"/>
  </r>
  <r>
    <x v="2"/>
    <x v="1"/>
    <x v="0"/>
    <n v="7.4"/>
    <x v="0"/>
    <n v="7.4"/>
    <n v="0"/>
    <n v="2"/>
    <x v="191"/>
    <x v="10"/>
    <x v="0"/>
    <x v="1"/>
    <n v="10"/>
    <n v="1"/>
    <n v="4"/>
    <x v="0"/>
  </r>
  <r>
    <x v="0"/>
    <x v="1"/>
    <x v="0"/>
    <n v="1.6"/>
    <x v="1"/>
    <n v="4.8"/>
    <n v="3.1999999999999997"/>
    <n v="2.4"/>
    <x v="47"/>
    <x v="13"/>
    <x v="0"/>
    <x v="0"/>
    <n v="9"/>
    <n v="9"/>
    <n v="10"/>
    <x v="0"/>
  </r>
  <r>
    <x v="2"/>
    <x v="1"/>
    <x v="0"/>
    <n v="3.8"/>
    <x v="0"/>
    <n v="8.4"/>
    <n v="4.6000000000000005"/>
    <n v="0.9"/>
    <x v="77"/>
    <x v="13"/>
    <x v="0"/>
    <x v="1"/>
    <n v="1"/>
    <n v="2"/>
    <n v="2"/>
    <x v="0"/>
  </r>
  <r>
    <x v="1"/>
    <x v="0"/>
    <x v="1"/>
    <n v="8"/>
    <x v="1"/>
    <n v="4.7"/>
    <n v="-3.3"/>
    <n v="0.5"/>
    <x v="177"/>
    <x v="4"/>
    <x v="0"/>
    <x v="2"/>
    <n v="8"/>
    <n v="8"/>
    <n v="6"/>
    <x v="1"/>
  </r>
  <r>
    <x v="6"/>
    <x v="0"/>
    <x v="0"/>
    <n v="7.8"/>
    <x v="1"/>
    <n v="5.9"/>
    <n v="-1.8999999999999995"/>
    <n v="1.5"/>
    <x v="131"/>
    <x v="13"/>
    <x v="0"/>
    <x v="1"/>
    <n v="10"/>
    <n v="1"/>
    <n v="10"/>
    <x v="0"/>
  </r>
  <r>
    <x v="6"/>
    <x v="1"/>
    <x v="0"/>
    <n v="7.2"/>
    <x v="0"/>
    <n v="8.1"/>
    <n v="0.89999999999999947"/>
    <n v="2.1"/>
    <x v="120"/>
    <x v="14"/>
    <x v="0"/>
    <x v="2"/>
    <n v="3"/>
    <n v="3"/>
    <n v="7"/>
    <x v="0"/>
  </r>
  <r>
    <x v="2"/>
    <x v="0"/>
    <x v="0"/>
    <n v="2"/>
    <x v="2"/>
    <n v="4.5"/>
    <n v="2.5"/>
    <n v="1.7"/>
    <x v="49"/>
    <x v="2"/>
    <x v="0"/>
    <x v="2"/>
    <n v="9"/>
    <n v="4"/>
    <n v="2"/>
    <x v="0"/>
  </r>
  <r>
    <x v="4"/>
    <x v="1"/>
    <x v="0"/>
    <n v="6.8"/>
    <x v="0"/>
    <n v="6.6"/>
    <n v="-0.20000000000000018"/>
    <n v="2"/>
    <x v="140"/>
    <x v="19"/>
    <x v="0"/>
    <x v="0"/>
    <n v="3"/>
    <n v="4"/>
    <n v="4"/>
    <x v="0"/>
  </r>
  <r>
    <x v="5"/>
    <x v="0"/>
    <x v="0"/>
    <n v="2.2999999999999998"/>
    <x v="2"/>
    <n v="8"/>
    <n v="5.7"/>
    <n v="1.9"/>
    <x v="168"/>
    <x v="14"/>
    <x v="0"/>
    <x v="1"/>
    <n v="7"/>
    <n v="4"/>
    <n v="4"/>
    <x v="0"/>
  </r>
  <r>
    <x v="0"/>
    <x v="1"/>
    <x v="0"/>
    <n v="1.7"/>
    <x v="2"/>
    <n v="8.6999999999999993"/>
    <n v="6.9999999999999991"/>
    <n v="0.7"/>
    <x v="185"/>
    <x v="1"/>
    <x v="0"/>
    <x v="1"/>
    <n v="1"/>
    <n v="1"/>
    <n v="1"/>
    <x v="0"/>
  </r>
  <r>
    <x v="3"/>
    <x v="0"/>
    <x v="0"/>
    <n v="3.9"/>
    <x v="2"/>
    <n v="8.5"/>
    <n v="4.5999999999999996"/>
    <n v="2.1"/>
    <x v="102"/>
    <x v="4"/>
    <x v="0"/>
    <x v="1"/>
    <n v="7"/>
    <n v="9"/>
    <n v="9"/>
    <x v="0"/>
  </r>
  <r>
    <x v="5"/>
    <x v="1"/>
    <x v="0"/>
    <n v="4.7"/>
    <x v="1"/>
    <n v="6.5"/>
    <n v="1.7999999999999998"/>
    <n v="1"/>
    <x v="115"/>
    <x v="7"/>
    <x v="0"/>
    <x v="2"/>
    <n v="5"/>
    <n v="7"/>
    <n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DB585D-1769-455C-B9A8-1B81321D037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J11" firstHeaderRow="1" firstDataRow="1" firstDataCol="0"/>
  <pivotFields count="18">
    <pivotField showAll="0"/>
    <pivotField showAll="0"/>
    <pivotField showAll="0">
      <items count="3">
        <item x="1"/>
        <item x="0"/>
        <item t="default"/>
      </items>
    </pivotField>
    <pivotField dataField="1" showAll="0"/>
    <pivotField showAll="0">
      <items count="4">
        <item x="2"/>
        <item x="0"/>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Sum of daily_social_media_hour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B3E36E-ED38-4920-85F9-9BBA39C90E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6" firstHeaderRow="0" firstDataRow="1" firstDataCol="1"/>
  <pivotFields count="18">
    <pivotField showAll="0"/>
    <pivotField showAll="0"/>
    <pivotField axis="axisRow" showAll="0">
      <items count="3">
        <item x="1"/>
        <item x="0"/>
        <item t="default"/>
      </items>
    </pivotField>
    <pivotField showAll="0"/>
    <pivotField showAll="0">
      <items count="4">
        <item x="2"/>
        <item x="0"/>
        <item x="1"/>
        <item t="default"/>
      </items>
    </pivotField>
    <pivotField showAll="0"/>
    <pivotField dataField="1" showAll="0"/>
    <pivotField showAll="0"/>
    <pivotField showAll="0"/>
    <pivotField showAll="0"/>
    <pivotField showAll="0"/>
    <pivotField showAll="0">
      <items count="4">
        <item x="1"/>
        <item x="0"/>
        <item x="2"/>
        <item t="default"/>
      </items>
    </pivotField>
    <pivotField showAll="0"/>
    <pivotField showAll="0"/>
    <pivotField showAll="0"/>
    <pivotField dataField="1" showAll="0"/>
    <pivotField dragToRow="0" dragToCol="0" dragToPage="0" showAll="0" defaultSubtotal="0"/>
    <pivotField dragToRow="0" dragToCol="0" dragToPage="0" showAll="0" defaultSubtotal="0"/>
  </pivotFields>
  <rowFields count="1">
    <field x="2"/>
  </rowFields>
  <rowItems count="3">
    <i>
      <x/>
    </i>
    <i>
      <x v="1"/>
    </i>
    <i t="grand">
      <x/>
    </i>
  </rowItems>
  <colFields count="1">
    <field x="-2"/>
  </colFields>
  <colItems count="2">
    <i>
      <x/>
    </i>
    <i i="1">
      <x v="1"/>
    </i>
  </colItems>
  <dataFields count="2">
    <dataField name="Depression" fld="15" subtotal="count" baseField="2" baseItem="0"/>
    <dataField name="sleep deprivation" fld="6" subtotal="count" baseField="2" baseItem="0"/>
  </dataFields>
  <chartFormats count="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2">
          <reference field="4294967294" count="1" selected="0">
            <x v="0"/>
          </reference>
          <reference field="2" count="1" selected="0">
            <x v="1"/>
          </reference>
        </references>
      </pivotArea>
    </chartFormat>
    <chartFormat chart="6" format="11" series="1">
      <pivotArea type="data" outline="0" fieldPosition="0">
        <references count="1">
          <reference field="4294967294" count="1" selected="0">
            <x v="1"/>
          </reference>
        </references>
      </pivotArea>
    </chartFormat>
    <chartFormat chart="6" format="12">
      <pivotArea type="data" outline="0" fieldPosition="0">
        <references count="2">
          <reference field="4294967294" count="1" selected="0">
            <x v="1"/>
          </reference>
          <reference field="2" count="1" selected="0">
            <x v="0"/>
          </reference>
        </references>
      </pivotArea>
    </chartFormat>
    <chartFormat chart="6" format="13">
      <pivotArea type="data" outline="0" fieldPosition="0">
        <references count="2">
          <reference field="4294967294"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C92501-8DE4-4A2B-BC9F-307739A477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7:G20" firstHeaderRow="1" firstDataRow="1" firstDataCol="1"/>
  <pivotFields count="18">
    <pivotField showAll="0"/>
    <pivotField showAll="0"/>
    <pivotField showAll="0">
      <items count="3">
        <item x="1"/>
        <item x="0"/>
        <item t="default"/>
      </items>
    </pivotField>
    <pivotField showAll="0"/>
    <pivotField showAll="0">
      <items count="4">
        <item x="2"/>
        <item x="0"/>
        <item x="1"/>
        <item t="default"/>
      </items>
    </pivotField>
    <pivotField showAll="0"/>
    <pivotField showAll="0"/>
    <pivotField showAll="0"/>
    <pivotField dataField="1" showAll="0"/>
    <pivotField showAll="0">
      <items count="22">
        <item x="2"/>
        <item x="15"/>
        <item x="18"/>
        <item x="11"/>
        <item x="14"/>
        <item x="12"/>
        <item x="4"/>
        <item x="5"/>
        <item x="1"/>
        <item x="7"/>
        <item x="19"/>
        <item x="8"/>
        <item x="9"/>
        <item x="6"/>
        <item x="3"/>
        <item x="0"/>
        <item x="16"/>
        <item x="10"/>
        <item x="17"/>
        <item x="13"/>
        <item x="20"/>
        <item t="default"/>
      </items>
    </pivotField>
    <pivotField showAll="0"/>
    <pivotField showAll="0">
      <items count="4">
        <item x="1"/>
        <item x="0"/>
        <item x="2"/>
        <item t="default"/>
      </items>
    </pivotField>
    <pivotField showAll="0"/>
    <pivotField showAll="0"/>
    <pivotField showAll="0"/>
    <pivotField axis="axisRow" showAll="0">
      <items count="3">
        <item x="0"/>
        <item x="1"/>
        <item t="default"/>
      </items>
    </pivotField>
    <pivotField dragToRow="0" dragToCol="0" dragToPage="0" showAll="0" defaultSubtotal="0"/>
    <pivotField dragToRow="0" dragToCol="0" dragToPage="0" showAll="0" defaultSubtotal="0"/>
  </pivotFields>
  <rowFields count="1">
    <field x="15"/>
  </rowFields>
  <rowItems count="3">
    <i>
      <x/>
    </i>
    <i>
      <x v="1"/>
    </i>
    <i t="grand">
      <x/>
    </i>
  </rowItems>
  <colItems count="1">
    <i/>
  </colItems>
  <dataFields count="1">
    <dataField name="Sum of academic_performan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6A4D23-FDAC-431D-99B8-591E2A3CDEF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8">
    <pivotField showAll="0"/>
    <pivotField showAll="0"/>
    <pivotField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Count of teenage/adul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3CAF46-7693-437B-B69D-04578278C88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G13" firstHeaderRow="1" firstDataRow="1" firstDataCol="1"/>
  <pivotFields count="18">
    <pivotField showAll="0"/>
    <pivotField axis="axisRow" showAll="0">
      <items count="3">
        <item x="1"/>
        <item x="0"/>
        <item t="default"/>
      </items>
    </pivotField>
    <pivotField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dataField="1" showAll="0"/>
    <pivotField dragToRow="0" dragToCol="0" dragToPage="0" showAll="0" defaultSubtotal="0"/>
    <pivotField dragToRow="0" dragToCol="0" dragToPage="0" showAll="0" defaultSubtotal="0"/>
  </pivotFields>
  <rowFields count="1">
    <field x="1"/>
  </rowFields>
  <rowItems count="3">
    <i>
      <x/>
    </i>
    <i>
      <x v="1"/>
    </i>
    <i t="grand">
      <x/>
    </i>
  </rowItems>
  <colItems count="1">
    <i/>
  </colItems>
  <dataFields count="1">
    <dataField name="Sum of depression_label"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6C1E59-6729-4FC3-AF81-95C63D6B54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3:F6" firstHeaderRow="1" firstDataRow="1" firstDataCol="1"/>
  <pivotFields count="18">
    <pivotField showAll="0"/>
    <pivotField showAll="0"/>
    <pivotField axis="axisRow" showAll="0">
      <items count="3">
        <item x="1"/>
        <item x="0"/>
        <item t="default"/>
      </items>
    </pivotField>
    <pivotField showAll="0"/>
    <pivotField showAll="0">
      <items count="4">
        <item x="2"/>
        <item x="0"/>
        <item x="1"/>
        <item t="default"/>
      </items>
    </pivotField>
    <pivotField showAll="0"/>
    <pivotField showAll="0"/>
    <pivotField showAll="0"/>
    <pivotField showAll="0"/>
    <pivotField dataField="1" showAll="0"/>
    <pivotField showAll="0">
      <items count="3">
        <item x="1"/>
        <item x="0"/>
        <item t="default"/>
      </items>
    </pivotField>
    <pivotField showAll="0">
      <items count="4">
        <item x="1"/>
        <item x="0"/>
        <item x="2"/>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3">
    <i>
      <x/>
    </i>
    <i>
      <x v="1"/>
    </i>
    <i t="grand">
      <x/>
    </i>
  </rowItems>
  <colItems count="1">
    <i/>
  </colItems>
  <dataFields count="1">
    <dataField name="Count of physical_activity" fld="9" subtotal="count" baseField="2" baseItem="0"/>
  </dataFields>
  <chartFormats count="2">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196A38-BE0B-4DC4-B481-E943E2311CB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0:E34" firstHeaderRow="1" firstDataRow="1" firstDataCol="1"/>
  <pivotFields count="18">
    <pivotField showAll="0"/>
    <pivotField showAll="0"/>
    <pivotField dataField="1" showAll="0">
      <items count="3">
        <item x="1"/>
        <item x="0"/>
        <item t="default"/>
      </items>
    </pivotField>
    <pivotField showAll="0"/>
    <pivotField showAll="0">
      <items count="4">
        <item x="2"/>
        <item x="0"/>
        <item x="1"/>
        <item t="default"/>
      </items>
    </pivotField>
    <pivotField showAll="0"/>
    <pivotField showAll="0"/>
    <pivotField showAll="0"/>
    <pivotField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showAll="0"/>
    <pivotField showAll="0"/>
    <pivotField axis="axisRow" showAll="0">
      <items count="4">
        <item x="1"/>
        <item x="0"/>
        <item x="2"/>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11"/>
  </rowFields>
  <rowItems count="4">
    <i>
      <x/>
    </i>
    <i>
      <x v="1"/>
    </i>
    <i>
      <x v="2"/>
    </i>
    <i t="grand">
      <x/>
    </i>
  </rowItems>
  <colItems count="1">
    <i/>
  </colItems>
  <dataFields count="1">
    <dataField name="Count of teenage/adult" fld="2" subtotal="count"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288173-0400-452D-8252-A6C5F36D27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7:C20" firstHeaderRow="0" firstDataRow="1" firstDataCol="1"/>
  <pivotFields count="18">
    <pivotField showAll="0"/>
    <pivotField showAll="0"/>
    <pivotField axis="axisRow"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items count="4">
        <item x="1"/>
        <item x="0"/>
        <item x="2"/>
        <item t="default"/>
      </items>
    </pivotField>
    <pivotField dataField="1" showAll="0"/>
    <pivotField dataField="1" showAll="0"/>
    <pivotField showAll="0"/>
    <pivotField showAll="0"/>
    <pivotField dragToRow="0" dragToCol="0" dragToPage="0" showAll="0" defaultSubtotal="0"/>
    <pivotField dragToRow="0" dragToCol="0" dragToPage="0" showAll="0" defaultSubtotal="0"/>
  </pivotFields>
  <rowFields count="1">
    <field x="2"/>
  </rowFields>
  <rowItems count="3">
    <i>
      <x/>
    </i>
    <i>
      <x v="1"/>
    </i>
    <i t="grand">
      <x/>
    </i>
  </rowItems>
  <colFields count="1">
    <field x="-2"/>
  </colFields>
  <colItems count="2">
    <i>
      <x/>
    </i>
    <i i="1">
      <x v="1"/>
    </i>
  </colItems>
  <dataFields count="2">
    <dataField name="Sum of stress_level" fld="12" baseField="0" baseItem="0"/>
    <dataField name="Sum of anxiety_level" fld="13" baseField="0" baseItem="0"/>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777748-CCC1-48A7-B97C-C828552B725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24:E27" firstHeaderRow="1" firstDataRow="1" firstDataCol="1"/>
  <pivotFields count="18">
    <pivotField showAll="0"/>
    <pivotField showAll="0"/>
    <pivotField axis="axisRow" showAll="0">
      <items count="3">
        <item x="1"/>
        <item x="0"/>
        <item t="default"/>
      </items>
    </pivotField>
    <pivotField showAll="0"/>
    <pivotField showAll="0">
      <items count="4">
        <item x="2"/>
        <item x="0"/>
        <item x="1"/>
        <item t="default"/>
      </items>
    </pivotField>
    <pivotField dataField="1"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3">
    <i>
      <x/>
    </i>
    <i>
      <x v="1"/>
    </i>
    <i t="grand">
      <x/>
    </i>
  </rowItems>
  <colItems count="1">
    <i/>
  </colItems>
  <dataFields count="1">
    <dataField name="Count of sleep_hours" fld="5" subtotal="count" baseField="2" baseItem="0"/>
  </dataFields>
  <chartFormats count="3">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 count="1" selected="0">
            <x v="0"/>
          </reference>
        </references>
      </pivotArea>
    </chartFormat>
    <chartFormat chart="7"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32D9BF-EA5F-48D9-8C43-8CEEA6A88EC8}"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10:B14" firstHeaderRow="1" firstDataRow="1" firstDataCol="1"/>
  <pivotFields count="18">
    <pivotField dataField="1" showAll="0">
      <items count="8">
        <item x="6"/>
        <item x="0"/>
        <item x="3"/>
        <item x="5"/>
        <item x="2"/>
        <item x="4"/>
        <item x="1"/>
        <item t="default"/>
      </items>
    </pivotField>
    <pivotField showAll="0"/>
    <pivotField showAll="0">
      <items count="3">
        <item x="1"/>
        <item x="0"/>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4"/>
  </rowFields>
  <rowItems count="4">
    <i>
      <x/>
    </i>
    <i>
      <x v="1"/>
    </i>
    <i>
      <x v="2"/>
    </i>
    <i t="grand">
      <x/>
    </i>
  </rowItems>
  <colItems count="1">
    <i/>
  </colItems>
  <dataFields count="1">
    <dataField name="Count of people " fld="0" subtotal="count" baseField="4" baseItem="0"/>
  </dataFields>
  <chartFormats count="2">
    <chartFormat chart="5" format="17" series="1">
      <pivotArea type="data" outline="0" fieldPosition="0"/>
    </chartFormat>
    <chartFormat chart="5" format="2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95891E-15ED-4440-B874-D35916BF664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B32" firstHeaderRow="1" firstDataRow="1" firstDataCol="1"/>
  <pivotFields count="18">
    <pivotField showAll="0"/>
    <pivotField showAll="0"/>
    <pivotField axis="axisRow" showAll="0">
      <items count="3">
        <item x="1"/>
        <item x="0"/>
        <item t="default"/>
      </items>
    </pivotField>
    <pivotField showAll="0"/>
    <pivotField axis="axisRow" dataField="1" showAll="0">
      <items count="4">
        <item x="2"/>
        <item x="0"/>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2">
    <field x="2"/>
    <field x="4"/>
  </rowFields>
  <rowItems count="9">
    <i>
      <x/>
    </i>
    <i r="1">
      <x/>
    </i>
    <i r="1">
      <x v="1"/>
    </i>
    <i r="1">
      <x v="2"/>
    </i>
    <i>
      <x v="1"/>
    </i>
    <i r="1">
      <x/>
    </i>
    <i r="1">
      <x v="1"/>
    </i>
    <i r="1">
      <x v="2"/>
    </i>
    <i t="grand">
      <x/>
    </i>
  </rowItems>
  <colItems count="1">
    <i/>
  </colItems>
  <dataFields count="1">
    <dataField name="Count of platform_usage" fld="4"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9A61F6D-40D4-41F0-94D8-6ADF2D93C48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6:J17" firstHeaderRow="1" firstDataRow="1" firstDataCol="0"/>
  <pivotFields count="18">
    <pivotField showAll="0"/>
    <pivotField showAll="0"/>
    <pivotField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dataField="1" showAll="0"/>
    <pivotField showAll="0"/>
    <pivotField dragToRow="0" dragToCol="0" dragToPage="0" showAll="0" defaultSubtotal="0"/>
    <pivotField dragToRow="0" dragToCol="0" dragToPage="0" showAll="0" defaultSubtotal="0"/>
  </pivotFields>
  <rowItems count="1">
    <i/>
  </rowItems>
  <colItems count="1">
    <i/>
  </colItems>
  <dataFields count="1">
    <dataField name="Count of addiction_level"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enage_adult" xr10:uid="{2FFBBCB3-FC84-4C4F-82CA-DCD10FEB640A}" sourceName="teenage/adult">
  <pivotTables>
    <pivotTable tabId="4" name="PivotTable9"/>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s>
  <data>
    <tabular pivotCacheId="5790432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_usage" xr10:uid="{97406A8F-392B-44C9-BE90-7BABCBBA889D}" sourceName="platform_usage">
  <pivotTables>
    <pivotTable tabId="4" name="PivotTable9"/>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s>
  <data>
    <tabular pivotCacheId="57904320">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cial_interaction_level" xr10:uid="{F909FAEF-99B8-4042-95B9-18805901A096}" sourceName="social_interaction_level">
  <pivotTables>
    <pivotTable tabId="4" name="PivotTable9"/>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s>
  <data>
    <tabular pivotCacheId="5790432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enage/adult" xr10:uid="{4BB80FE4-65BE-4BD6-9DD3-89FE367C3594}" cache="Slicer_teenage_adult" caption="teenage/adult" rowHeight="234950"/>
  <slicer name="platform_usage" xr10:uid="{A6B97FB4-CEC9-4F4A-A76A-B69A75C9AE29}" cache="Slicer_platform_usage" caption="platform_usage" rowHeight="234950"/>
  <slicer name="social_interaction_level" xr10:uid="{B652B82A-3B63-4124-8224-61F759E4091E}" cache="Slicer_social_interaction_level" caption="social_interaction_lev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3B5242-C563-4E53-8668-09A11625C253}" name="Table1" displayName="Table1" ref="A1:Q1201" totalsRowShown="0">
  <autoFilter ref="A1:Q1201" xr:uid="{B13B5242-C563-4E53-8668-09A11625C253}"/>
  <tableColumns count="17">
    <tableColumn id="1" xr3:uid="{85A6FD10-258E-43DD-AAE8-866A7604830A}" name="age"/>
    <tableColumn id="2" xr3:uid="{EF0BCC71-7CD7-4C2D-AC2A-15C34910A3F5}" name="gender"/>
    <tableColumn id="15" xr3:uid="{2F9B1F42-10BB-4738-A3F8-84BBF2959871}" name="teenage/adult" dataDxfId="2">
      <calculatedColumnFormula>IF(Table1[[#This Row],[age]]&gt;18,"Adult","Teenage")</calculatedColumnFormula>
    </tableColumn>
    <tableColumn id="3" xr3:uid="{95F7587F-B9E9-42F6-8997-34147FD8612C}" name="daily_social_media_hours"/>
    <tableColumn id="4" xr3:uid="{F5447335-41C5-4FCB-A9C5-727BF3B2C4B4}" name="platform_usage"/>
    <tableColumn id="5" xr3:uid="{85AD293D-4263-4444-914E-DDE3E5A3FABE}" name="sleep_hours"/>
    <tableColumn id="14" xr3:uid="{535D4B7B-BB6A-49B6-85E3-B5E6B016131E}" name="sleep duration" dataDxfId="1">
      <calculatedColumnFormula>Table1[[#This Row],[sleep_hours]]-Table1[[#This Row],[daily_social_media_hours]]</calculatedColumnFormula>
    </tableColumn>
    <tableColumn id="6" xr3:uid="{8A0EC6F5-3120-4FBC-A10F-BBFD21540062}" name="screen_time_before_sleep"/>
    <tableColumn id="7" xr3:uid="{FFE14B92-1B8D-4FA7-88FD-EBFFF2AD0917}" name="academic_performance"/>
    <tableColumn id="17" xr3:uid="{73B64FAE-6883-4AF2-8E62-BAD99169F099}" name="Academic_performance2">
      <calculatedColumnFormula array="1">_xlfn.IFS(Table1[[#This Row],[academic_performance]]&gt;1,"Need Improvement",Table1[[#This Row],[academic_performance]]&gt;2,"Good",Table1[[#This Row],[academic_performance]]&gt;3,"Very good",Table1[[#This Row],[academic_performance]]&gt;4,"Excellent")</calculatedColumnFormula>
    </tableColumn>
    <tableColumn id="8" xr3:uid="{A7099773-F498-4215-8FA6-1EBA0F5B0423}" name="physical_activity"/>
    <tableColumn id="16" xr3:uid="{C480FBD9-B12F-46B3-8485-B45083BB0AEE}" name="protective factor" dataDxfId="0">
      <calculatedColumnFormula>IF(Table1[[#This Row],[physical_activity]]&gt;1.9,"better overall ","lower rate of depression")</calculatedColumnFormula>
    </tableColumn>
    <tableColumn id="9" xr3:uid="{7797CB40-DCE7-40A5-B310-13A5916D3C1A}" name="social_interaction_level"/>
    <tableColumn id="10" xr3:uid="{160B3971-F7A0-4382-9DBD-DE7BE524B472}" name="stress_level"/>
    <tableColumn id="11" xr3:uid="{A6F1BE12-538C-49AD-914F-1EBBC4ED443C}" name="anxiety_level"/>
    <tableColumn id="12" xr3:uid="{33F6118D-E0F7-41DB-8C7C-9543BC45FAB6}" name="addiction_level"/>
    <tableColumn id="13" xr3:uid="{7FAF336E-64E6-453C-AEBB-D95C3E5545F9}" name="depression_lab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BD20B-F7DA-4B7A-9704-D610B6B681C7}">
  <dimension ref="A1:Q1201"/>
  <sheetViews>
    <sheetView workbookViewId="0">
      <selection activeCell="D1" sqref="D1"/>
    </sheetView>
  </sheetViews>
  <sheetFormatPr defaultRowHeight="14.4" x14ac:dyDescent="0.3"/>
  <cols>
    <col min="2" max="2" width="8.77734375" customWidth="1"/>
    <col min="3" max="3" width="13.5546875" customWidth="1"/>
    <col min="4" max="4" width="24.5546875" customWidth="1"/>
    <col min="5" max="5" width="16.109375" customWidth="1"/>
    <col min="6" max="7" width="13" customWidth="1"/>
    <col min="8" max="8" width="25" customWidth="1"/>
    <col min="9" max="9" width="22.77734375" customWidth="1"/>
    <col min="10" max="10" width="16.77734375" customWidth="1"/>
    <col min="11" max="11" width="27.5546875" customWidth="1"/>
    <col min="12" max="12" width="22.5546875" customWidth="1"/>
    <col min="13" max="13" width="12.44140625" customWidth="1"/>
    <col min="14" max="14" width="13.88671875" customWidth="1"/>
    <col min="15" max="15" width="15.6640625" customWidth="1"/>
    <col min="16" max="16" width="17" customWidth="1"/>
  </cols>
  <sheetData>
    <row r="1" spans="1:17" x14ac:dyDescent="0.3">
      <c r="A1" t="s">
        <v>0</v>
      </c>
      <c r="B1" t="s">
        <v>1</v>
      </c>
      <c r="C1" t="s">
        <v>26</v>
      </c>
      <c r="D1" t="s">
        <v>2</v>
      </c>
      <c r="E1" t="s">
        <v>3</v>
      </c>
      <c r="F1" t="s">
        <v>4</v>
      </c>
      <c r="G1" t="s">
        <v>25</v>
      </c>
      <c r="H1" t="s">
        <v>5</v>
      </c>
      <c r="I1" t="s">
        <v>6</v>
      </c>
      <c r="J1" t="s">
        <v>47</v>
      </c>
      <c r="K1" t="s">
        <v>7</v>
      </c>
      <c r="L1" t="s">
        <v>35</v>
      </c>
      <c r="M1" t="s">
        <v>8</v>
      </c>
      <c r="N1" t="s">
        <v>9</v>
      </c>
      <c r="O1" t="s">
        <v>10</v>
      </c>
      <c r="P1" t="s">
        <v>11</v>
      </c>
      <c r="Q1" t="s">
        <v>12</v>
      </c>
    </row>
    <row r="2" spans="1:17" x14ac:dyDescent="0.3">
      <c r="A2">
        <v>14</v>
      </c>
      <c r="B2" t="s">
        <v>13</v>
      </c>
      <c r="C2" t="str">
        <f>IF(Table1[[#This Row],[age]]&gt;18,"Adult","Teenage")</f>
        <v>Teenage</v>
      </c>
      <c r="D2">
        <v>7.9</v>
      </c>
      <c r="E2" t="s">
        <v>14</v>
      </c>
      <c r="F2">
        <v>7.4</v>
      </c>
      <c r="G2">
        <f>Table1[[#This Row],[sleep_hours]]-Table1[[#This Row],[daily_social_media_hours]]</f>
        <v>-0.5</v>
      </c>
      <c r="H2">
        <v>2.9</v>
      </c>
      <c r="I2">
        <v>3.01</v>
      </c>
      <c r="J2" t="str" cm="1">
        <f t="array" ref="J2">_xlfn.IFS(Table1[[#This Row],[academic_performance]]&gt;1,"Need Improvement",Table1[[#This Row],[academic_performance]]&gt;2,"Good",Table1[[#This Row],[academic_performance]]&gt;3,"Very good",Table1[[#This Row],[academic_performance]]&gt;4,"Excellent")</f>
        <v>Need Improvement</v>
      </c>
      <c r="K2">
        <v>1.5</v>
      </c>
      <c r="L2" t="str">
        <f>IF(Table1[[#This Row],[physical_activity]]&gt;1.9,"better overall ","lower rate of depression")</f>
        <v>lower rate of depression</v>
      </c>
      <c r="M2" t="s">
        <v>15</v>
      </c>
      <c r="N2">
        <v>2</v>
      </c>
      <c r="O2">
        <v>2</v>
      </c>
      <c r="P2">
        <v>1</v>
      </c>
      <c r="Q2">
        <v>0</v>
      </c>
    </row>
    <row r="3" spans="1:17" x14ac:dyDescent="0.3">
      <c r="A3">
        <v>19</v>
      </c>
      <c r="B3" t="s">
        <v>16</v>
      </c>
      <c r="C3" t="str">
        <f>IF(Table1[[#This Row],[age]]&gt;18,"Adult","Teenage")</f>
        <v>Adult</v>
      </c>
      <c r="D3">
        <v>1.9</v>
      </c>
      <c r="E3" t="s">
        <v>17</v>
      </c>
      <c r="F3">
        <v>8</v>
      </c>
      <c r="G3">
        <f>Table1[[#This Row],[sleep_hours]]-Table1[[#This Row],[daily_social_media_hours]]</f>
        <v>6.1</v>
      </c>
      <c r="H3">
        <v>2.9</v>
      </c>
      <c r="I3">
        <v>3.22</v>
      </c>
      <c r="J3" t="str" cm="1">
        <f t="array" ref="J3">_xlfn.IFS(Table1[[#This Row],[academic_performance]]&gt;1,"Need Improvement",Table1[[#This Row],[academic_performance]]&gt;2,"Good",Table1[[#This Row],[academic_performance]]&gt;3,"Very good",Table1[[#This Row],[academic_performance]]&gt;4,"Excellent")</f>
        <v>Need Improvement</v>
      </c>
      <c r="K3">
        <v>0.8</v>
      </c>
      <c r="L3" t="str">
        <f>IF(Table1[[#This Row],[physical_activity]]&gt;1.9,"better overall ","lower rate of depression")</f>
        <v>lower rate of depression</v>
      </c>
      <c r="M3" t="s">
        <v>18</v>
      </c>
      <c r="N3">
        <v>8</v>
      </c>
      <c r="O3">
        <v>1</v>
      </c>
      <c r="P3">
        <v>10</v>
      </c>
      <c r="Q3">
        <v>0</v>
      </c>
    </row>
    <row r="4" spans="1:17" x14ac:dyDescent="0.3">
      <c r="A4">
        <v>17</v>
      </c>
      <c r="B4" t="s">
        <v>16</v>
      </c>
      <c r="C4" t="str">
        <f>IF(Table1[[#This Row],[age]]&gt;18,"Adult","Teenage")</f>
        <v>Teenage</v>
      </c>
      <c r="D4">
        <v>1.3</v>
      </c>
      <c r="E4" t="s">
        <v>14</v>
      </c>
      <c r="F4">
        <v>7.6</v>
      </c>
      <c r="G4">
        <f>Table1[[#This Row],[sleep_hours]]-Table1[[#This Row],[daily_social_media_hours]]</f>
        <v>6.3</v>
      </c>
      <c r="H4">
        <v>0.5</v>
      </c>
      <c r="I4">
        <v>3.92</v>
      </c>
      <c r="J4" t="str" cm="1">
        <f t="array" ref="J4">_xlfn.IFS(Table1[[#This Row],[academic_performance]]&gt;1,"Need Improvement",Table1[[#This Row],[academic_performance]]&gt;2,"Good",Table1[[#This Row],[academic_performance]]&gt;3,"Very good",Table1[[#This Row],[academic_performance]]&gt;4,"Excellent")</f>
        <v>Need Improvement</v>
      </c>
      <c r="K4">
        <v>0</v>
      </c>
      <c r="L4" t="str">
        <f>IF(Table1[[#This Row],[physical_activity]]&gt;1.9,"better overall ","lower rate of depression")</f>
        <v>lower rate of depression</v>
      </c>
      <c r="M4" t="s">
        <v>18</v>
      </c>
      <c r="N4">
        <v>2</v>
      </c>
      <c r="O4">
        <v>4</v>
      </c>
      <c r="P4">
        <v>2</v>
      </c>
      <c r="Q4">
        <v>0</v>
      </c>
    </row>
    <row r="5" spans="1:17" x14ac:dyDescent="0.3">
      <c r="A5">
        <v>15</v>
      </c>
      <c r="B5" t="s">
        <v>13</v>
      </c>
      <c r="C5" t="str">
        <f>IF(Table1[[#This Row],[age]]&gt;18,"Adult","Teenage")</f>
        <v>Teenage</v>
      </c>
      <c r="D5">
        <v>7.4</v>
      </c>
      <c r="E5" t="s">
        <v>17</v>
      </c>
      <c r="F5">
        <v>6.9</v>
      </c>
      <c r="G5">
        <f>Table1[[#This Row],[sleep_hours]]-Table1[[#This Row],[daily_social_media_hours]]</f>
        <v>-0.5</v>
      </c>
      <c r="H5">
        <v>1.6</v>
      </c>
      <c r="I5">
        <v>3.48</v>
      </c>
      <c r="J5" t="str" cm="1">
        <f t="array" ref="J5">_xlfn.IFS(Table1[[#This Row],[academic_performance]]&gt;1,"Need Improvement",Table1[[#This Row],[academic_performance]]&gt;2,"Good",Table1[[#This Row],[academic_performance]]&gt;3,"Very good",Table1[[#This Row],[academic_performance]]&gt;4,"Excellent")</f>
        <v>Need Improvement</v>
      </c>
      <c r="K5">
        <v>0.8</v>
      </c>
      <c r="L5" t="str">
        <f>IF(Table1[[#This Row],[physical_activity]]&gt;1.9,"better overall ","lower rate of depression")</f>
        <v>lower rate of depression</v>
      </c>
      <c r="M5" t="s">
        <v>19</v>
      </c>
      <c r="N5">
        <v>1</v>
      </c>
      <c r="O5">
        <v>7</v>
      </c>
      <c r="P5">
        <v>9</v>
      </c>
      <c r="Q5">
        <v>0</v>
      </c>
    </row>
    <row r="6" spans="1:17" x14ac:dyDescent="0.3">
      <c r="A6">
        <v>15</v>
      </c>
      <c r="B6" t="s">
        <v>16</v>
      </c>
      <c r="C6" t="str">
        <f>IF(Table1[[#This Row],[age]]&gt;18,"Adult","Teenage")</f>
        <v>Teenage</v>
      </c>
      <c r="D6">
        <v>4.7</v>
      </c>
      <c r="E6" t="s">
        <v>20</v>
      </c>
      <c r="F6">
        <v>4.9000000000000004</v>
      </c>
      <c r="G6">
        <f>Table1[[#This Row],[sleep_hours]]-Table1[[#This Row],[daily_social_media_hours]]</f>
        <v>0.20000000000000018</v>
      </c>
      <c r="H6">
        <v>3</v>
      </c>
      <c r="I6">
        <v>2.37</v>
      </c>
      <c r="J6" t="str" cm="1">
        <f t="array" ref="J6">_xlfn.IFS(Table1[[#This Row],[academic_performance]]&gt;1,"Need Improvement",Table1[[#This Row],[academic_performance]]&gt;2,"Good",Table1[[#This Row],[academic_performance]]&gt;3,"Very good",Table1[[#This Row],[academic_performance]]&gt;4,"Excellent")</f>
        <v>Need Improvement</v>
      </c>
      <c r="K6">
        <v>1.4</v>
      </c>
      <c r="L6" t="str">
        <f>IF(Table1[[#This Row],[physical_activity]]&gt;1.9,"better overall ","lower rate of depression")</f>
        <v>lower rate of depression</v>
      </c>
      <c r="M6" t="s">
        <v>19</v>
      </c>
      <c r="N6">
        <v>3</v>
      </c>
      <c r="O6">
        <v>5</v>
      </c>
      <c r="P6">
        <v>2</v>
      </c>
      <c r="Q6">
        <v>0</v>
      </c>
    </row>
    <row r="7" spans="1:17" x14ac:dyDescent="0.3">
      <c r="A7">
        <v>19</v>
      </c>
      <c r="B7" t="s">
        <v>16</v>
      </c>
      <c r="C7" t="str">
        <f>IF(Table1[[#This Row],[age]]&gt;18,"Adult","Teenage")</f>
        <v>Adult</v>
      </c>
      <c r="D7">
        <v>7.4</v>
      </c>
      <c r="E7" t="s">
        <v>20</v>
      </c>
      <c r="F7">
        <v>4.4000000000000004</v>
      </c>
      <c r="G7">
        <f>Table1[[#This Row],[sleep_hours]]-Table1[[#This Row],[daily_social_media_hours]]</f>
        <v>-3</v>
      </c>
      <c r="H7">
        <v>2.4</v>
      </c>
      <c r="I7">
        <v>2.63</v>
      </c>
      <c r="J7" t="str" cm="1">
        <f t="array" ref="J7">_xlfn.IFS(Table1[[#This Row],[academic_performance]]&gt;1,"Need Improvement",Table1[[#This Row],[academic_performance]]&gt;2,"Good",Table1[[#This Row],[academic_performance]]&gt;3,"Very good",Table1[[#This Row],[academic_performance]]&gt;4,"Excellent")</f>
        <v>Need Improvement</v>
      </c>
      <c r="K7">
        <v>0.6</v>
      </c>
      <c r="L7" t="str">
        <f>IF(Table1[[#This Row],[physical_activity]]&gt;1.9,"better overall ","lower rate of depression")</f>
        <v>lower rate of depression</v>
      </c>
      <c r="M7" t="s">
        <v>18</v>
      </c>
      <c r="N7">
        <v>3</v>
      </c>
      <c r="O7">
        <v>5</v>
      </c>
      <c r="P7">
        <v>7</v>
      </c>
      <c r="Q7">
        <v>0</v>
      </c>
    </row>
    <row r="8" spans="1:17" x14ac:dyDescent="0.3">
      <c r="A8">
        <v>18</v>
      </c>
      <c r="B8" t="s">
        <v>16</v>
      </c>
      <c r="C8" t="str">
        <f>IF(Table1[[#This Row],[age]]&gt;18,"Adult","Teenage")</f>
        <v>Teenage</v>
      </c>
      <c r="D8">
        <v>2.5</v>
      </c>
      <c r="E8" t="s">
        <v>14</v>
      </c>
      <c r="F8">
        <v>6.4</v>
      </c>
      <c r="G8">
        <f>Table1[[#This Row],[sleep_hours]]-Table1[[#This Row],[daily_social_media_hours]]</f>
        <v>3.9000000000000004</v>
      </c>
      <c r="H8">
        <v>2.4</v>
      </c>
      <c r="I8">
        <v>2.63</v>
      </c>
      <c r="J8" t="str" cm="1">
        <f t="array" ref="J8">_xlfn.IFS(Table1[[#This Row],[academic_performance]]&gt;1,"Need Improvement",Table1[[#This Row],[academic_performance]]&gt;2,"Good",Table1[[#This Row],[academic_performance]]&gt;3,"Very good",Table1[[#This Row],[academic_performance]]&gt;4,"Excellent")</f>
        <v>Need Improvement</v>
      </c>
      <c r="K8">
        <v>0.7</v>
      </c>
      <c r="L8" t="str">
        <f>IF(Table1[[#This Row],[physical_activity]]&gt;1.9,"better overall ","lower rate of depression")</f>
        <v>lower rate of depression</v>
      </c>
      <c r="M8" t="s">
        <v>15</v>
      </c>
      <c r="N8">
        <v>2</v>
      </c>
      <c r="O8">
        <v>2</v>
      </c>
      <c r="P8">
        <v>5</v>
      </c>
      <c r="Q8">
        <v>0</v>
      </c>
    </row>
    <row r="9" spans="1:17" x14ac:dyDescent="0.3">
      <c r="A9">
        <v>16</v>
      </c>
      <c r="B9" t="s">
        <v>13</v>
      </c>
      <c r="C9" t="str">
        <f>IF(Table1[[#This Row],[age]]&gt;18,"Adult","Teenage")</f>
        <v>Teenage</v>
      </c>
      <c r="D9">
        <v>4</v>
      </c>
      <c r="E9" t="s">
        <v>20</v>
      </c>
      <c r="F9">
        <v>4.2</v>
      </c>
      <c r="G9">
        <f>Table1[[#This Row],[sleep_hours]]-Table1[[#This Row],[daily_social_media_hours]]</f>
        <v>0.20000000000000018</v>
      </c>
      <c r="H9">
        <v>0.5</v>
      </c>
      <c r="I9">
        <v>2.4</v>
      </c>
      <c r="J9" t="str" cm="1">
        <f t="array" ref="J9">_xlfn.IFS(Table1[[#This Row],[academic_performance]]&gt;1,"Need Improvement",Table1[[#This Row],[academic_performance]]&gt;2,"Good",Table1[[#This Row],[academic_performance]]&gt;3,"Very good",Table1[[#This Row],[academic_performance]]&gt;4,"Excellent")</f>
        <v>Need Improvement</v>
      </c>
      <c r="K9">
        <v>1.3</v>
      </c>
      <c r="L9" t="str">
        <f>IF(Table1[[#This Row],[physical_activity]]&gt;1.9,"better overall ","lower rate of depression")</f>
        <v>lower rate of depression</v>
      </c>
      <c r="M9" t="s">
        <v>15</v>
      </c>
      <c r="N9">
        <v>6</v>
      </c>
      <c r="O9">
        <v>10</v>
      </c>
      <c r="P9">
        <v>5</v>
      </c>
      <c r="Q9">
        <v>0</v>
      </c>
    </row>
    <row r="10" spans="1:17" x14ac:dyDescent="0.3">
      <c r="A10">
        <v>19</v>
      </c>
      <c r="B10" t="s">
        <v>16</v>
      </c>
      <c r="C10" t="str">
        <f>IF(Table1[[#This Row],[age]]&gt;18,"Adult","Teenage")</f>
        <v>Adult</v>
      </c>
      <c r="D10">
        <v>3.3</v>
      </c>
      <c r="E10" t="s">
        <v>17</v>
      </c>
      <c r="F10">
        <v>5</v>
      </c>
      <c r="G10">
        <f>Table1[[#This Row],[sleep_hours]]-Table1[[#This Row],[daily_social_media_hours]]</f>
        <v>1.7000000000000002</v>
      </c>
      <c r="H10">
        <v>2.1</v>
      </c>
      <c r="I10">
        <v>2.04</v>
      </c>
      <c r="J10" t="str" cm="1">
        <f t="array" ref="J10">_xlfn.IFS(Table1[[#This Row],[academic_performance]]&gt;1,"Need Improvement",Table1[[#This Row],[academic_performance]]&gt;2,"Good",Table1[[#This Row],[academic_performance]]&gt;3,"Very good",Table1[[#This Row],[academic_performance]]&gt;4,"Excellent")</f>
        <v>Need Improvement</v>
      </c>
      <c r="K10">
        <v>0.9</v>
      </c>
      <c r="L10" t="str">
        <f>IF(Table1[[#This Row],[physical_activity]]&gt;1.9,"better overall ","lower rate of depression")</f>
        <v>lower rate of depression</v>
      </c>
      <c r="M10" t="s">
        <v>18</v>
      </c>
      <c r="N10">
        <v>1</v>
      </c>
      <c r="O10">
        <v>10</v>
      </c>
      <c r="P10">
        <v>9</v>
      </c>
      <c r="Q10">
        <v>0</v>
      </c>
    </row>
    <row r="11" spans="1:17" x14ac:dyDescent="0.3">
      <c r="A11">
        <v>15</v>
      </c>
      <c r="B11" t="s">
        <v>13</v>
      </c>
      <c r="C11" t="str">
        <f>IF(Table1[[#This Row],[age]]&gt;18,"Adult","Teenage")</f>
        <v>Teenage</v>
      </c>
      <c r="D11">
        <v>1.9</v>
      </c>
      <c r="E11" t="s">
        <v>17</v>
      </c>
      <c r="F11">
        <v>4.9000000000000004</v>
      </c>
      <c r="G11">
        <f>Table1[[#This Row],[sleep_hours]]-Table1[[#This Row],[daily_social_media_hours]]</f>
        <v>3.0000000000000004</v>
      </c>
      <c r="H11">
        <v>1.5</v>
      </c>
      <c r="I11">
        <v>3.77</v>
      </c>
      <c r="J11" t="str" cm="1">
        <f t="array" ref="J11">_xlfn.IFS(Table1[[#This Row],[academic_performance]]&gt;1,"Need Improvement",Table1[[#This Row],[academic_performance]]&gt;2,"Good",Table1[[#This Row],[academic_performance]]&gt;3,"Very good",Table1[[#This Row],[academic_performance]]&gt;4,"Excellent")</f>
        <v>Need Improvement</v>
      </c>
      <c r="K11">
        <v>1.1000000000000001</v>
      </c>
      <c r="L11" t="str">
        <f>IF(Table1[[#This Row],[physical_activity]]&gt;1.9,"better overall ","lower rate of depression")</f>
        <v>lower rate of depression</v>
      </c>
      <c r="M11" t="s">
        <v>18</v>
      </c>
      <c r="N11">
        <v>1</v>
      </c>
      <c r="O11">
        <v>1</v>
      </c>
      <c r="P11">
        <v>4</v>
      </c>
      <c r="Q11">
        <v>0</v>
      </c>
    </row>
    <row r="12" spans="1:17" x14ac:dyDescent="0.3">
      <c r="A12">
        <v>16</v>
      </c>
      <c r="B12" t="s">
        <v>13</v>
      </c>
      <c r="C12" t="str">
        <f>IF(Table1[[#This Row],[age]]&gt;18,"Adult","Teenage")</f>
        <v>Teenage</v>
      </c>
      <c r="D12">
        <v>7.2</v>
      </c>
      <c r="E12" t="s">
        <v>20</v>
      </c>
      <c r="F12">
        <v>5.8</v>
      </c>
      <c r="G12">
        <f>Table1[[#This Row],[sleep_hours]]-Table1[[#This Row],[daily_social_media_hours]]</f>
        <v>-1.4000000000000004</v>
      </c>
      <c r="H12">
        <v>2.9</v>
      </c>
      <c r="I12">
        <v>3.16</v>
      </c>
      <c r="J12" t="str" cm="1">
        <f t="array" ref="J12">_xlfn.IFS(Table1[[#This Row],[academic_performance]]&gt;1,"Need Improvement",Table1[[#This Row],[academic_performance]]&gt;2,"Good",Table1[[#This Row],[academic_performance]]&gt;3,"Very good",Table1[[#This Row],[academic_performance]]&gt;4,"Excellent")</f>
        <v>Need Improvement</v>
      </c>
      <c r="K12">
        <v>1.2</v>
      </c>
      <c r="L12" t="str">
        <f>IF(Table1[[#This Row],[physical_activity]]&gt;1.9,"better overall ","lower rate of depression")</f>
        <v>lower rate of depression</v>
      </c>
      <c r="M12" t="s">
        <v>19</v>
      </c>
      <c r="N12">
        <v>5</v>
      </c>
      <c r="O12">
        <v>8</v>
      </c>
      <c r="P12">
        <v>9</v>
      </c>
      <c r="Q12">
        <v>0</v>
      </c>
    </row>
    <row r="13" spans="1:17" x14ac:dyDescent="0.3">
      <c r="A13">
        <v>13</v>
      </c>
      <c r="B13" t="s">
        <v>13</v>
      </c>
      <c r="C13" t="str">
        <f>IF(Table1[[#This Row],[age]]&gt;18,"Adult","Teenage")</f>
        <v>Teenage</v>
      </c>
      <c r="D13">
        <v>4.9000000000000004</v>
      </c>
      <c r="E13" t="s">
        <v>14</v>
      </c>
      <c r="F13">
        <v>4.7</v>
      </c>
      <c r="G13">
        <f>Table1[[#This Row],[sleep_hours]]-Table1[[#This Row],[daily_social_media_hours]]</f>
        <v>-0.20000000000000018</v>
      </c>
      <c r="H13">
        <v>2.5</v>
      </c>
      <c r="I13">
        <v>3.92</v>
      </c>
      <c r="J13" t="str" cm="1">
        <f t="array" ref="J13">_xlfn.IFS(Table1[[#This Row],[academic_performance]]&gt;1,"Need Improvement",Table1[[#This Row],[academic_performance]]&gt;2,"Good",Table1[[#This Row],[academic_performance]]&gt;3,"Very good",Table1[[#This Row],[academic_performance]]&gt;4,"Excellent")</f>
        <v>Need Improvement</v>
      </c>
      <c r="K13">
        <v>1.2</v>
      </c>
      <c r="L13" t="str">
        <f>IF(Table1[[#This Row],[physical_activity]]&gt;1.9,"better overall ","lower rate of depression")</f>
        <v>lower rate of depression</v>
      </c>
      <c r="M13" t="s">
        <v>15</v>
      </c>
      <c r="N13">
        <v>1</v>
      </c>
      <c r="O13">
        <v>10</v>
      </c>
      <c r="P13">
        <v>8</v>
      </c>
      <c r="Q13">
        <v>0</v>
      </c>
    </row>
    <row r="14" spans="1:17" x14ac:dyDescent="0.3">
      <c r="A14">
        <v>16</v>
      </c>
      <c r="B14" t="s">
        <v>13</v>
      </c>
      <c r="C14" t="str">
        <f>IF(Table1[[#This Row],[age]]&gt;18,"Adult","Teenage")</f>
        <v>Teenage</v>
      </c>
      <c r="D14">
        <v>6.2</v>
      </c>
      <c r="E14" t="s">
        <v>20</v>
      </c>
      <c r="F14">
        <v>7.2</v>
      </c>
      <c r="G14">
        <f>Table1[[#This Row],[sleep_hours]]-Table1[[#This Row],[daily_social_media_hours]]</f>
        <v>1</v>
      </c>
      <c r="H14">
        <v>2.6</v>
      </c>
      <c r="I14">
        <v>2.02</v>
      </c>
      <c r="J14" t="str" cm="1">
        <f t="array" ref="J14">_xlfn.IFS(Table1[[#This Row],[academic_performance]]&gt;1,"Need Improvement",Table1[[#This Row],[academic_performance]]&gt;2,"Good",Table1[[#This Row],[academic_performance]]&gt;3,"Very good",Table1[[#This Row],[academic_performance]]&gt;4,"Excellent")</f>
        <v>Need Improvement</v>
      </c>
      <c r="K14">
        <v>1.7</v>
      </c>
      <c r="L14" t="str">
        <f>IF(Table1[[#This Row],[physical_activity]]&gt;1.9,"better overall ","lower rate of depression")</f>
        <v>lower rate of depression</v>
      </c>
      <c r="M14" t="s">
        <v>19</v>
      </c>
      <c r="N14">
        <v>5</v>
      </c>
      <c r="O14">
        <v>7</v>
      </c>
      <c r="P14">
        <v>6</v>
      </c>
      <c r="Q14">
        <v>0</v>
      </c>
    </row>
    <row r="15" spans="1:17" x14ac:dyDescent="0.3">
      <c r="A15">
        <v>17</v>
      </c>
      <c r="B15" t="s">
        <v>16</v>
      </c>
      <c r="C15" t="str">
        <f>IF(Table1[[#This Row],[age]]&gt;18,"Adult","Teenage")</f>
        <v>Teenage</v>
      </c>
      <c r="D15">
        <v>6.8</v>
      </c>
      <c r="E15" t="s">
        <v>17</v>
      </c>
      <c r="F15">
        <v>5.7</v>
      </c>
      <c r="G15">
        <f>Table1[[#This Row],[sleep_hours]]-Table1[[#This Row],[daily_social_media_hours]]</f>
        <v>-1.0999999999999996</v>
      </c>
      <c r="H15">
        <v>1.1000000000000001</v>
      </c>
      <c r="I15">
        <v>3.29</v>
      </c>
      <c r="J15" t="str" cm="1">
        <f t="array" ref="J15">_xlfn.IFS(Table1[[#This Row],[academic_performance]]&gt;1,"Need Improvement",Table1[[#This Row],[academic_performance]]&gt;2,"Good",Table1[[#This Row],[academic_performance]]&gt;3,"Very good",Table1[[#This Row],[academic_performance]]&gt;4,"Excellent")</f>
        <v>Need Improvement</v>
      </c>
      <c r="K15">
        <v>1.3</v>
      </c>
      <c r="L15" t="str">
        <f>IF(Table1[[#This Row],[physical_activity]]&gt;1.9,"better overall ","lower rate of depression")</f>
        <v>lower rate of depression</v>
      </c>
      <c r="M15" t="s">
        <v>19</v>
      </c>
      <c r="N15">
        <v>1</v>
      </c>
      <c r="O15">
        <v>10</v>
      </c>
      <c r="P15">
        <v>10</v>
      </c>
      <c r="Q15">
        <v>0</v>
      </c>
    </row>
    <row r="16" spans="1:17" x14ac:dyDescent="0.3">
      <c r="A16">
        <v>15</v>
      </c>
      <c r="B16" t="s">
        <v>13</v>
      </c>
      <c r="C16" t="str">
        <f>IF(Table1[[#This Row],[age]]&gt;18,"Adult","Teenage")</f>
        <v>Teenage</v>
      </c>
      <c r="D16">
        <v>5.7</v>
      </c>
      <c r="E16" t="s">
        <v>17</v>
      </c>
      <c r="F16">
        <v>5.9</v>
      </c>
      <c r="G16">
        <f>Table1[[#This Row],[sleep_hours]]-Table1[[#This Row],[daily_social_media_hours]]</f>
        <v>0.20000000000000018</v>
      </c>
      <c r="H16">
        <v>0.8</v>
      </c>
      <c r="I16">
        <v>3.5</v>
      </c>
      <c r="J16" t="str" cm="1">
        <f t="array" ref="J16">_xlfn.IFS(Table1[[#This Row],[academic_performance]]&gt;1,"Need Improvement",Table1[[#This Row],[academic_performance]]&gt;2,"Good",Table1[[#This Row],[academic_performance]]&gt;3,"Very good",Table1[[#This Row],[academic_performance]]&gt;4,"Excellent")</f>
        <v>Need Improvement</v>
      </c>
      <c r="K16">
        <v>0.7</v>
      </c>
      <c r="L16" t="str">
        <f>IF(Table1[[#This Row],[physical_activity]]&gt;1.9,"better overall ","lower rate of depression")</f>
        <v>lower rate of depression</v>
      </c>
      <c r="M16" t="s">
        <v>15</v>
      </c>
      <c r="N16">
        <v>1</v>
      </c>
      <c r="O16">
        <v>9</v>
      </c>
      <c r="P16">
        <v>1</v>
      </c>
      <c r="Q16">
        <v>0</v>
      </c>
    </row>
    <row r="17" spans="1:17" x14ac:dyDescent="0.3">
      <c r="A17">
        <v>14</v>
      </c>
      <c r="B17" t="s">
        <v>16</v>
      </c>
      <c r="C17" t="str">
        <f>IF(Table1[[#This Row],[age]]&gt;18,"Adult","Teenage")</f>
        <v>Teenage</v>
      </c>
      <c r="D17">
        <v>3.6</v>
      </c>
      <c r="E17" t="s">
        <v>20</v>
      </c>
      <c r="F17">
        <v>5.3</v>
      </c>
      <c r="G17">
        <f>Table1[[#This Row],[sleep_hours]]-Table1[[#This Row],[daily_social_media_hours]]</f>
        <v>1.6999999999999997</v>
      </c>
      <c r="H17">
        <v>0.6</v>
      </c>
      <c r="I17">
        <v>2.99</v>
      </c>
      <c r="J17" t="str" cm="1">
        <f t="array" ref="J17">_xlfn.IFS(Table1[[#This Row],[academic_performance]]&gt;1,"Need Improvement",Table1[[#This Row],[academic_performance]]&gt;2,"Good",Table1[[#This Row],[academic_performance]]&gt;3,"Very good",Table1[[#This Row],[academic_performance]]&gt;4,"Excellent")</f>
        <v>Need Improvement</v>
      </c>
      <c r="K17">
        <v>0.3</v>
      </c>
      <c r="L17" t="str">
        <f>IF(Table1[[#This Row],[physical_activity]]&gt;1.9,"better overall ","lower rate of depression")</f>
        <v>lower rate of depression</v>
      </c>
      <c r="M17" t="s">
        <v>18</v>
      </c>
      <c r="N17">
        <v>4</v>
      </c>
      <c r="O17">
        <v>10</v>
      </c>
      <c r="P17">
        <v>2</v>
      </c>
      <c r="Q17">
        <v>0</v>
      </c>
    </row>
    <row r="18" spans="1:17" x14ac:dyDescent="0.3">
      <c r="A18">
        <v>13</v>
      </c>
      <c r="B18" t="s">
        <v>13</v>
      </c>
      <c r="C18" t="str">
        <f>IF(Table1[[#This Row],[age]]&gt;18,"Adult","Teenage")</f>
        <v>Teenage</v>
      </c>
      <c r="D18">
        <v>1.5</v>
      </c>
      <c r="E18" t="s">
        <v>20</v>
      </c>
      <c r="F18">
        <v>4.2</v>
      </c>
      <c r="G18">
        <f>Table1[[#This Row],[sleep_hours]]-Table1[[#This Row],[daily_social_media_hours]]</f>
        <v>2.7</v>
      </c>
      <c r="H18">
        <v>1.4</v>
      </c>
      <c r="I18">
        <v>2.59</v>
      </c>
      <c r="J18" t="str" cm="1">
        <f t="array" ref="J18">_xlfn.IFS(Table1[[#This Row],[academic_performance]]&gt;1,"Need Improvement",Table1[[#This Row],[academic_performance]]&gt;2,"Good",Table1[[#This Row],[academic_performance]]&gt;3,"Very good",Table1[[#This Row],[academic_performance]]&gt;4,"Excellent")</f>
        <v>Need Improvement</v>
      </c>
      <c r="K18">
        <v>0.5</v>
      </c>
      <c r="L18" t="str">
        <f>IF(Table1[[#This Row],[physical_activity]]&gt;1.9,"better overall ","lower rate of depression")</f>
        <v>lower rate of depression</v>
      </c>
      <c r="M18" t="s">
        <v>18</v>
      </c>
      <c r="N18">
        <v>4</v>
      </c>
      <c r="O18">
        <v>5</v>
      </c>
      <c r="P18">
        <v>8</v>
      </c>
      <c r="Q18">
        <v>0</v>
      </c>
    </row>
    <row r="19" spans="1:17" x14ac:dyDescent="0.3">
      <c r="A19">
        <v>16</v>
      </c>
      <c r="B19" t="s">
        <v>13</v>
      </c>
      <c r="C19" t="str">
        <f>IF(Table1[[#This Row],[age]]&gt;18,"Adult","Teenage")</f>
        <v>Teenage</v>
      </c>
      <c r="D19">
        <v>3.1</v>
      </c>
      <c r="E19" t="s">
        <v>20</v>
      </c>
      <c r="F19">
        <v>6.1</v>
      </c>
      <c r="G19">
        <f>Table1[[#This Row],[sleep_hours]]-Table1[[#This Row],[daily_social_media_hours]]</f>
        <v>2.9999999999999996</v>
      </c>
      <c r="H19">
        <v>0.8</v>
      </c>
      <c r="I19">
        <v>2.11</v>
      </c>
      <c r="J19" t="str" cm="1">
        <f t="array" ref="J19">_xlfn.IFS(Table1[[#This Row],[academic_performance]]&gt;1,"Need Improvement",Table1[[#This Row],[academic_performance]]&gt;2,"Good",Table1[[#This Row],[academic_performance]]&gt;3,"Very good",Table1[[#This Row],[academic_performance]]&gt;4,"Excellent")</f>
        <v>Need Improvement</v>
      </c>
      <c r="K19">
        <v>1.9</v>
      </c>
      <c r="L19" t="str">
        <f>IF(Table1[[#This Row],[physical_activity]]&gt;1.9,"better overall ","lower rate of depression")</f>
        <v>lower rate of depression</v>
      </c>
      <c r="M19" t="s">
        <v>18</v>
      </c>
      <c r="N19">
        <v>10</v>
      </c>
      <c r="O19">
        <v>7</v>
      </c>
      <c r="P19">
        <v>10</v>
      </c>
      <c r="Q19">
        <v>0</v>
      </c>
    </row>
    <row r="20" spans="1:17" x14ac:dyDescent="0.3">
      <c r="A20">
        <v>16</v>
      </c>
      <c r="B20" t="s">
        <v>16</v>
      </c>
      <c r="C20" t="str">
        <f>IF(Table1[[#This Row],[age]]&gt;18,"Adult","Teenage")</f>
        <v>Teenage</v>
      </c>
      <c r="D20">
        <v>6.7</v>
      </c>
      <c r="E20" t="s">
        <v>20</v>
      </c>
      <c r="F20">
        <v>6.8</v>
      </c>
      <c r="G20">
        <f>Table1[[#This Row],[sleep_hours]]-Table1[[#This Row],[daily_social_media_hours]]</f>
        <v>9.9999999999999645E-2</v>
      </c>
      <c r="H20">
        <v>1.9</v>
      </c>
      <c r="I20">
        <v>3.08</v>
      </c>
      <c r="J20" t="str" cm="1">
        <f t="array" ref="J20">_xlfn.IFS(Table1[[#This Row],[academic_performance]]&gt;1,"Need Improvement",Table1[[#This Row],[academic_performance]]&gt;2,"Good",Table1[[#This Row],[academic_performance]]&gt;3,"Very good",Table1[[#This Row],[academic_performance]]&gt;4,"Excellent")</f>
        <v>Need Improvement</v>
      </c>
      <c r="K20">
        <v>1.4</v>
      </c>
      <c r="L20" t="str">
        <f>IF(Table1[[#This Row],[physical_activity]]&gt;1.9,"better overall ","lower rate of depression")</f>
        <v>lower rate of depression</v>
      </c>
      <c r="M20" t="s">
        <v>18</v>
      </c>
      <c r="N20">
        <v>10</v>
      </c>
      <c r="O20">
        <v>9</v>
      </c>
      <c r="P20">
        <v>1</v>
      </c>
      <c r="Q20">
        <v>0</v>
      </c>
    </row>
    <row r="21" spans="1:17" x14ac:dyDescent="0.3">
      <c r="A21">
        <v>14</v>
      </c>
      <c r="B21" t="s">
        <v>16</v>
      </c>
      <c r="C21" t="str">
        <f>IF(Table1[[#This Row],[age]]&gt;18,"Adult","Teenage")</f>
        <v>Teenage</v>
      </c>
      <c r="D21">
        <v>1.2</v>
      </c>
      <c r="E21" t="s">
        <v>14</v>
      </c>
      <c r="F21">
        <v>7.6</v>
      </c>
      <c r="G21">
        <f>Table1[[#This Row],[sleep_hours]]-Table1[[#This Row],[daily_social_media_hours]]</f>
        <v>6.3999999999999995</v>
      </c>
      <c r="H21">
        <v>1</v>
      </c>
      <c r="I21">
        <v>3.85</v>
      </c>
      <c r="J21" t="str" cm="1">
        <f t="array" ref="J21">_xlfn.IFS(Table1[[#This Row],[academic_performance]]&gt;1,"Need Improvement",Table1[[#This Row],[academic_performance]]&gt;2,"Good",Table1[[#This Row],[academic_performance]]&gt;3,"Very good",Table1[[#This Row],[academic_performance]]&gt;4,"Excellent")</f>
        <v>Need Improvement</v>
      </c>
      <c r="K21">
        <v>0.8</v>
      </c>
      <c r="L21" t="str">
        <f>IF(Table1[[#This Row],[physical_activity]]&gt;1.9,"better overall ","lower rate of depression")</f>
        <v>lower rate of depression</v>
      </c>
      <c r="M21" t="s">
        <v>18</v>
      </c>
      <c r="N21">
        <v>8</v>
      </c>
      <c r="O21">
        <v>4</v>
      </c>
      <c r="P21">
        <v>6</v>
      </c>
      <c r="Q21">
        <v>0</v>
      </c>
    </row>
    <row r="22" spans="1:17" x14ac:dyDescent="0.3">
      <c r="A22">
        <v>16</v>
      </c>
      <c r="B22" t="s">
        <v>13</v>
      </c>
      <c r="C22" t="str">
        <f>IF(Table1[[#This Row],[age]]&gt;18,"Adult","Teenage")</f>
        <v>Teenage</v>
      </c>
      <c r="D22">
        <v>3.4</v>
      </c>
      <c r="E22" t="s">
        <v>17</v>
      </c>
      <c r="F22">
        <v>4.5999999999999996</v>
      </c>
      <c r="G22">
        <f>Table1[[#This Row],[sleep_hours]]-Table1[[#This Row],[daily_social_media_hours]]</f>
        <v>1.1999999999999997</v>
      </c>
      <c r="H22">
        <v>2.1</v>
      </c>
      <c r="I22">
        <v>2.2400000000000002</v>
      </c>
      <c r="J22" t="str" cm="1">
        <f t="array" ref="J22">_xlfn.IFS(Table1[[#This Row],[academic_performance]]&gt;1,"Need Improvement",Table1[[#This Row],[academic_performance]]&gt;2,"Good",Table1[[#This Row],[academic_performance]]&gt;3,"Very good",Table1[[#This Row],[academic_performance]]&gt;4,"Excellent")</f>
        <v>Need Improvement</v>
      </c>
      <c r="K22">
        <v>0.4</v>
      </c>
      <c r="L22" t="str">
        <f>IF(Table1[[#This Row],[physical_activity]]&gt;1.9,"better overall ","lower rate of depression")</f>
        <v>lower rate of depression</v>
      </c>
      <c r="M22" t="s">
        <v>18</v>
      </c>
      <c r="N22">
        <v>4</v>
      </c>
      <c r="O22">
        <v>1</v>
      </c>
      <c r="P22">
        <v>3</v>
      </c>
      <c r="Q22">
        <v>0</v>
      </c>
    </row>
    <row r="23" spans="1:17" x14ac:dyDescent="0.3">
      <c r="A23">
        <v>18</v>
      </c>
      <c r="B23" t="s">
        <v>13</v>
      </c>
      <c r="C23" t="str">
        <f>IF(Table1[[#This Row],[age]]&gt;18,"Adult","Teenage")</f>
        <v>Teenage</v>
      </c>
      <c r="D23">
        <v>4.0999999999999996</v>
      </c>
      <c r="E23" t="s">
        <v>20</v>
      </c>
      <c r="F23">
        <v>7.4</v>
      </c>
      <c r="G23">
        <f>Table1[[#This Row],[sleep_hours]]-Table1[[#This Row],[daily_social_media_hours]]</f>
        <v>3.3000000000000007</v>
      </c>
      <c r="H23">
        <v>2.4</v>
      </c>
      <c r="I23">
        <v>2.38</v>
      </c>
      <c r="J23" t="str" cm="1">
        <f t="array" ref="J23">_xlfn.IFS(Table1[[#This Row],[academic_performance]]&gt;1,"Need Improvement",Table1[[#This Row],[academic_performance]]&gt;2,"Good",Table1[[#This Row],[academic_performance]]&gt;3,"Very good",Table1[[#This Row],[academic_performance]]&gt;4,"Excellent")</f>
        <v>Need Improvement</v>
      </c>
      <c r="K23">
        <v>1.5</v>
      </c>
      <c r="L23" t="str">
        <f>IF(Table1[[#This Row],[physical_activity]]&gt;1.9,"better overall ","lower rate of depression")</f>
        <v>lower rate of depression</v>
      </c>
      <c r="M23" t="s">
        <v>19</v>
      </c>
      <c r="N23">
        <v>8</v>
      </c>
      <c r="O23">
        <v>4</v>
      </c>
      <c r="P23">
        <v>9</v>
      </c>
      <c r="Q23">
        <v>0</v>
      </c>
    </row>
    <row r="24" spans="1:17" x14ac:dyDescent="0.3">
      <c r="A24">
        <v>18</v>
      </c>
      <c r="B24" t="s">
        <v>13</v>
      </c>
      <c r="C24" t="str">
        <f>IF(Table1[[#This Row],[age]]&gt;18,"Adult","Teenage")</f>
        <v>Teenage</v>
      </c>
      <c r="D24">
        <v>5.3</v>
      </c>
      <c r="E24" t="s">
        <v>14</v>
      </c>
      <c r="F24">
        <v>4.9000000000000004</v>
      </c>
      <c r="G24">
        <f>Table1[[#This Row],[sleep_hours]]-Table1[[#This Row],[daily_social_media_hours]]</f>
        <v>-0.39999999999999947</v>
      </c>
      <c r="H24">
        <v>1.2</v>
      </c>
      <c r="I24">
        <v>3.69</v>
      </c>
      <c r="J24" t="str" cm="1">
        <f t="array" ref="J24">_xlfn.IFS(Table1[[#This Row],[academic_performance]]&gt;1,"Need Improvement",Table1[[#This Row],[academic_performance]]&gt;2,"Good",Table1[[#This Row],[academic_performance]]&gt;3,"Very good",Table1[[#This Row],[academic_performance]]&gt;4,"Excellent")</f>
        <v>Need Improvement</v>
      </c>
      <c r="K24">
        <v>1.2</v>
      </c>
      <c r="L24" t="str">
        <f>IF(Table1[[#This Row],[physical_activity]]&gt;1.9,"better overall ","lower rate of depression")</f>
        <v>lower rate of depression</v>
      </c>
      <c r="M24" t="s">
        <v>15</v>
      </c>
      <c r="N24">
        <v>5</v>
      </c>
      <c r="O24">
        <v>4</v>
      </c>
      <c r="P24">
        <v>5</v>
      </c>
      <c r="Q24">
        <v>0</v>
      </c>
    </row>
    <row r="25" spans="1:17" x14ac:dyDescent="0.3">
      <c r="A25">
        <v>18</v>
      </c>
      <c r="B25" t="s">
        <v>16</v>
      </c>
      <c r="C25" t="str">
        <f>IF(Table1[[#This Row],[age]]&gt;18,"Adult","Teenage")</f>
        <v>Teenage</v>
      </c>
      <c r="D25">
        <v>2.2999999999999998</v>
      </c>
      <c r="E25" t="s">
        <v>17</v>
      </c>
      <c r="F25">
        <v>7.6</v>
      </c>
      <c r="G25">
        <f>Table1[[#This Row],[sleep_hours]]-Table1[[#This Row],[daily_social_media_hours]]</f>
        <v>5.3</v>
      </c>
      <c r="H25">
        <v>0.5</v>
      </c>
      <c r="I25">
        <v>2.96</v>
      </c>
      <c r="J25" t="str" cm="1">
        <f t="array" ref="J25">_xlfn.IFS(Table1[[#This Row],[academic_performance]]&gt;1,"Need Improvement",Table1[[#This Row],[academic_performance]]&gt;2,"Good",Table1[[#This Row],[academic_performance]]&gt;3,"Very good",Table1[[#This Row],[academic_performance]]&gt;4,"Excellent")</f>
        <v>Need Improvement</v>
      </c>
      <c r="K25">
        <v>1.7</v>
      </c>
      <c r="L25" t="str">
        <f>IF(Table1[[#This Row],[physical_activity]]&gt;1.9,"better overall ","lower rate of depression")</f>
        <v>lower rate of depression</v>
      </c>
      <c r="M25" t="s">
        <v>19</v>
      </c>
      <c r="N25">
        <v>9</v>
      </c>
      <c r="O25">
        <v>8</v>
      </c>
      <c r="P25">
        <v>7</v>
      </c>
      <c r="Q25">
        <v>0</v>
      </c>
    </row>
    <row r="26" spans="1:17" x14ac:dyDescent="0.3">
      <c r="A26">
        <v>18</v>
      </c>
      <c r="B26" t="s">
        <v>16</v>
      </c>
      <c r="C26" t="str">
        <f>IF(Table1[[#This Row],[age]]&gt;18,"Adult","Teenage")</f>
        <v>Teenage</v>
      </c>
      <c r="D26">
        <v>2.4</v>
      </c>
      <c r="E26" t="s">
        <v>20</v>
      </c>
      <c r="F26">
        <v>6.7</v>
      </c>
      <c r="G26">
        <f>Table1[[#This Row],[sleep_hours]]-Table1[[#This Row],[daily_social_media_hours]]</f>
        <v>4.3000000000000007</v>
      </c>
      <c r="H26">
        <v>1.9</v>
      </c>
      <c r="I26">
        <v>2.5299999999999998</v>
      </c>
      <c r="J26" t="str" cm="1">
        <f t="array" ref="J26">_xlfn.IFS(Table1[[#This Row],[academic_performance]]&gt;1,"Need Improvement",Table1[[#This Row],[academic_performance]]&gt;2,"Good",Table1[[#This Row],[academic_performance]]&gt;3,"Very good",Table1[[#This Row],[academic_performance]]&gt;4,"Excellent")</f>
        <v>Need Improvement</v>
      </c>
      <c r="K26">
        <v>0.4</v>
      </c>
      <c r="L26" t="str">
        <f>IF(Table1[[#This Row],[physical_activity]]&gt;1.9,"better overall ","lower rate of depression")</f>
        <v>lower rate of depression</v>
      </c>
      <c r="M26" t="s">
        <v>18</v>
      </c>
      <c r="N26">
        <v>8</v>
      </c>
      <c r="O26">
        <v>8</v>
      </c>
      <c r="P26">
        <v>2</v>
      </c>
      <c r="Q26">
        <v>0</v>
      </c>
    </row>
    <row r="27" spans="1:17" x14ac:dyDescent="0.3">
      <c r="A27">
        <v>13</v>
      </c>
      <c r="B27" t="s">
        <v>16</v>
      </c>
      <c r="C27" t="str">
        <f>IF(Table1[[#This Row],[age]]&gt;18,"Adult","Teenage")</f>
        <v>Teenage</v>
      </c>
      <c r="D27">
        <v>1.5</v>
      </c>
      <c r="E27" t="s">
        <v>20</v>
      </c>
      <c r="F27">
        <v>7.2</v>
      </c>
      <c r="G27">
        <f>Table1[[#This Row],[sleep_hours]]-Table1[[#This Row],[daily_social_media_hours]]</f>
        <v>5.7</v>
      </c>
      <c r="H27">
        <v>2.5</v>
      </c>
      <c r="I27">
        <v>2.15</v>
      </c>
      <c r="J27" t="str" cm="1">
        <f t="array" ref="J27">_xlfn.IFS(Table1[[#This Row],[academic_performance]]&gt;1,"Need Improvement",Table1[[#This Row],[academic_performance]]&gt;2,"Good",Table1[[#This Row],[academic_performance]]&gt;3,"Very good",Table1[[#This Row],[academic_performance]]&gt;4,"Excellent")</f>
        <v>Need Improvement</v>
      </c>
      <c r="K27">
        <v>1.3</v>
      </c>
      <c r="L27" t="str">
        <f>IF(Table1[[#This Row],[physical_activity]]&gt;1.9,"better overall ","lower rate of depression")</f>
        <v>lower rate of depression</v>
      </c>
      <c r="M27" t="s">
        <v>19</v>
      </c>
      <c r="N27">
        <v>4</v>
      </c>
      <c r="O27">
        <v>6</v>
      </c>
      <c r="P27">
        <v>2</v>
      </c>
      <c r="Q27">
        <v>0</v>
      </c>
    </row>
    <row r="28" spans="1:17" x14ac:dyDescent="0.3">
      <c r="A28">
        <v>14</v>
      </c>
      <c r="B28" t="s">
        <v>16</v>
      </c>
      <c r="C28" t="str">
        <f>IF(Table1[[#This Row],[age]]&gt;18,"Adult","Teenage")</f>
        <v>Teenage</v>
      </c>
      <c r="D28">
        <v>5.7</v>
      </c>
      <c r="E28" t="s">
        <v>20</v>
      </c>
      <c r="F28">
        <v>8.6999999999999993</v>
      </c>
      <c r="G28">
        <f>Table1[[#This Row],[sleep_hours]]-Table1[[#This Row],[daily_social_media_hours]]</f>
        <v>2.9999999999999991</v>
      </c>
      <c r="H28">
        <v>0.6</v>
      </c>
      <c r="I28">
        <v>2.64</v>
      </c>
      <c r="J28" t="str" cm="1">
        <f t="array" ref="J28">_xlfn.IFS(Table1[[#This Row],[academic_performance]]&gt;1,"Need Improvement",Table1[[#This Row],[academic_performance]]&gt;2,"Good",Table1[[#This Row],[academic_performance]]&gt;3,"Very good",Table1[[#This Row],[academic_performance]]&gt;4,"Excellent")</f>
        <v>Need Improvement</v>
      </c>
      <c r="K28">
        <v>0.1</v>
      </c>
      <c r="L28" t="str">
        <f>IF(Table1[[#This Row],[physical_activity]]&gt;1.9,"better overall ","lower rate of depression")</f>
        <v>lower rate of depression</v>
      </c>
      <c r="M28" t="s">
        <v>15</v>
      </c>
      <c r="N28">
        <v>8</v>
      </c>
      <c r="O28">
        <v>9</v>
      </c>
      <c r="P28">
        <v>4</v>
      </c>
      <c r="Q28">
        <v>0</v>
      </c>
    </row>
    <row r="29" spans="1:17" x14ac:dyDescent="0.3">
      <c r="A29">
        <v>19</v>
      </c>
      <c r="B29" t="s">
        <v>13</v>
      </c>
      <c r="C29" t="str">
        <f>IF(Table1[[#This Row],[age]]&gt;18,"Adult","Teenage")</f>
        <v>Adult</v>
      </c>
      <c r="D29">
        <v>2</v>
      </c>
      <c r="E29" t="s">
        <v>17</v>
      </c>
      <c r="F29">
        <v>7.1</v>
      </c>
      <c r="G29">
        <f>Table1[[#This Row],[sleep_hours]]-Table1[[#This Row],[daily_social_media_hours]]</f>
        <v>5.0999999999999996</v>
      </c>
      <c r="H29">
        <v>0.9</v>
      </c>
      <c r="I29">
        <v>3.26</v>
      </c>
      <c r="J29" t="str" cm="1">
        <f t="array" ref="J29">_xlfn.IFS(Table1[[#This Row],[academic_performance]]&gt;1,"Need Improvement",Table1[[#This Row],[academic_performance]]&gt;2,"Good",Table1[[#This Row],[academic_performance]]&gt;3,"Very good",Table1[[#This Row],[academic_performance]]&gt;4,"Excellent")</f>
        <v>Need Improvement</v>
      </c>
      <c r="K29">
        <v>1.6</v>
      </c>
      <c r="L29" t="str">
        <f>IF(Table1[[#This Row],[physical_activity]]&gt;1.9,"better overall ","lower rate of depression")</f>
        <v>lower rate of depression</v>
      </c>
      <c r="M29" t="s">
        <v>18</v>
      </c>
      <c r="N29">
        <v>7</v>
      </c>
      <c r="O29">
        <v>5</v>
      </c>
      <c r="P29">
        <v>9</v>
      </c>
      <c r="Q29">
        <v>0</v>
      </c>
    </row>
    <row r="30" spans="1:17" x14ac:dyDescent="0.3">
      <c r="A30">
        <v>14</v>
      </c>
      <c r="B30" t="s">
        <v>13</v>
      </c>
      <c r="C30" t="str">
        <f>IF(Table1[[#This Row],[age]]&gt;18,"Adult","Teenage")</f>
        <v>Teenage</v>
      </c>
      <c r="D30">
        <v>2.5</v>
      </c>
      <c r="E30" t="s">
        <v>17</v>
      </c>
      <c r="F30">
        <v>5.6</v>
      </c>
      <c r="G30">
        <f>Table1[[#This Row],[sleep_hours]]-Table1[[#This Row],[daily_social_media_hours]]</f>
        <v>3.0999999999999996</v>
      </c>
      <c r="H30">
        <v>2.9</v>
      </c>
      <c r="I30">
        <v>2.2400000000000002</v>
      </c>
      <c r="J30" t="str" cm="1">
        <f t="array" ref="J30">_xlfn.IFS(Table1[[#This Row],[academic_performance]]&gt;1,"Need Improvement",Table1[[#This Row],[academic_performance]]&gt;2,"Good",Table1[[#This Row],[academic_performance]]&gt;3,"Very good",Table1[[#This Row],[academic_performance]]&gt;4,"Excellent")</f>
        <v>Need Improvement</v>
      </c>
      <c r="K30">
        <v>0.5</v>
      </c>
      <c r="L30" t="str">
        <f>IF(Table1[[#This Row],[physical_activity]]&gt;1.9,"better overall ","lower rate of depression")</f>
        <v>lower rate of depression</v>
      </c>
      <c r="M30" t="s">
        <v>15</v>
      </c>
      <c r="N30">
        <v>3</v>
      </c>
      <c r="O30">
        <v>9</v>
      </c>
      <c r="P30">
        <v>5</v>
      </c>
      <c r="Q30">
        <v>0</v>
      </c>
    </row>
    <row r="31" spans="1:17" x14ac:dyDescent="0.3">
      <c r="A31">
        <v>16</v>
      </c>
      <c r="B31" t="s">
        <v>16</v>
      </c>
      <c r="C31" t="str">
        <f>IF(Table1[[#This Row],[age]]&gt;18,"Adult","Teenage")</f>
        <v>Teenage</v>
      </c>
      <c r="D31">
        <v>3.4</v>
      </c>
      <c r="E31" t="s">
        <v>17</v>
      </c>
      <c r="F31">
        <v>7.8</v>
      </c>
      <c r="G31">
        <f>Table1[[#This Row],[sleep_hours]]-Table1[[#This Row],[daily_social_media_hours]]</f>
        <v>4.4000000000000004</v>
      </c>
      <c r="H31">
        <v>2.8</v>
      </c>
      <c r="I31">
        <v>3.83</v>
      </c>
      <c r="J31" t="str" cm="1">
        <f t="array" ref="J31">_xlfn.IFS(Table1[[#This Row],[academic_performance]]&gt;1,"Need Improvement",Table1[[#This Row],[academic_performance]]&gt;2,"Good",Table1[[#This Row],[academic_performance]]&gt;3,"Very good",Table1[[#This Row],[academic_performance]]&gt;4,"Excellent")</f>
        <v>Need Improvement</v>
      </c>
      <c r="K31">
        <v>1.8</v>
      </c>
      <c r="L31" t="str">
        <f>IF(Table1[[#This Row],[physical_activity]]&gt;1.9,"better overall ","lower rate of depression")</f>
        <v>lower rate of depression</v>
      </c>
      <c r="M31" t="s">
        <v>19</v>
      </c>
      <c r="N31">
        <v>6</v>
      </c>
      <c r="O31">
        <v>6</v>
      </c>
      <c r="P31">
        <v>4</v>
      </c>
      <c r="Q31">
        <v>0</v>
      </c>
    </row>
    <row r="32" spans="1:17" x14ac:dyDescent="0.3">
      <c r="A32">
        <v>13</v>
      </c>
      <c r="B32" t="s">
        <v>13</v>
      </c>
      <c r="C32" t="str">
        <f>IF(Table1[[#This Row],[age]]&gt;18,"Adult","Teenage")</f>
        <v>Teenage</v>
      </c>
      <c r="D32">
        <v>6.6</v>
      </c>
      <c r="E32" t="s">
        <v>17</v>
      </c>
      <c r="F32">
        <v>5.7</v>
      </c>
      <c r="G32">
        <f>Table1[[#This Row],[sleep_hours]]-Table1[[#This Row],[daily_social_media_hours]]</f>
        <v>-0.89999999999999947</v>
      </c>
      <c r="H32">
        <v>2.5</v>
      </c>
      <c r="I32">
        <v>2.67</v>
      </c>
      <c r="J32" t="str" cm="1">
        <f t="array" ref="J32">_xlfn.IFS(Table1[[#This Row],[academic_performance]]&gt;1,"Need Improvement",Table1[[#This Row],[academic_performance]]&gt;2,"Good",Table1[[#This Row],[academic_performance]]&gt;3,"Very good",Table1[[#This Row],[academic_performance]]&gt;4,"Excellent")</f>
        <v>Need Improvement</v>
      </c>
      <c r="K32">
        <v>1.1000000000000001</v>
      </c>
      <c r="L32" t="str">
        <f>IF(Table1[[#This Row],[physical_activity]]&gt;1.9,"better overall ","lower rate of depression")</f>
        <v>lower rate of depression</v>
      </c>
      <c r="M32" t="s">
        <v>15</v>
      </c>
      <c r="N32">
        <v>2</v>
      </c>
      <c r="O32">
        <v>1</v>
      </c>
      <c r="P32">
        <v>10</v>
      </c>
      <c r="Q32">
        <v>0</v>
      </c>
    </row>
    <row r="33" spans="1:17" x14ac:dyDescent="0.3">
      <c r="A33">
        <v>13</v>
      </c>
      <c r="B33" t="s">
        <v>16</v>
      </c>
      <c r="C33" t="str">
        <f>IF(Table1[[#This Row],[age]]&gt;18,"Adult","Teenage")</f>
        <v>Teenage</v>
      </c>
      <c r="D33">
        <v>1.6</v>
      </c>
      <c r="E33" t="s">
        <v>14</v>
      </c>
      <c r="F33">
        <v>8.6999999999999993</v>
      </c>
      <c r="G33">
        <f>Table1[[#This Row],[sleep_hours]]-Table1[[#This Row],[daily_social_media_hours]]</f>
        <v>7.1</v>
      </c>
      <c r="H33">
        <v>2.5</v>
      </c>
      <c r="I33">
        <v>3.69</v>
      </c>
      <c r="J33" t="str" cm="1">
        <f t="array" ref="J33">_xlfn.IFS(Table1[[#This Row],[academic_performance]]&gt;1,"Need Improvement",Table1[[#This Row],[academic_performance]]&gt;2,"Good",Table1[[#This Row],[academic_performance]]&gt;3,"Very good",Table1[[#This Row],[academic_performance]]&gt;4,"Excellent")</f>
        <v>Need Improvement</v>
      </c>
      <c r="K33">
        <v>0.4</v>
      </c>
      <c r="L33" t="str">
        <f>IF(Table1[[#This Row],[physical_activity]]&gt;1.9,"better overall ","lower rate of depression")</f>
        <v>lower rate of depression</v>
      </c>
      <c r="M33" t="s">
        <v>18</v>
      </c>
      <c r="N33">
        <v>8</v>
      </c>
      <c r="O33">
        <v>2</v>
      </c>
      <c r="P33">
        <v>9</v>
      </c>
      <c r="Q33">
        <v>0</v>
      </c>
    </row>
    <row r="34" spans="1:17" x14ac:dyDescent="0.3">
      <c r="A34">
        <v>16</v>
      </c>
      <c r="B34" t="s">
        <v>13</v>
      </c>
      <c r="C34" t="str">
        <f>IF(Table1[[#This Row],[age]]&gt;18,"Adult","Teenage")</f>
        <v>Teenage</v>
      </c>
      <c r="D34">
        <v>2.7</v>
      </c>
      <c r="E34" t="s">
        <v>14</v>
      </c>
      <c r="F34">
        <v>4.2</v>
      </c>
      <c r="G34">
        <f>Table1[[#This Row],[sleep_hours]]-Table1[[#This Row],[daily_social_media_hours]]</f>
        <v>1.5</v>
      </c>
      <c r="H34">
        <v>2.4</v>
      </c>
      <c r="I34">
        <v>3.05</v>
      </c>
      <c r="J34" t="str" cm="1">
        <f t="array" ref="J34">_xlfn.IFS(Table1[[#This Row],[academic_performance]]&gt;1,"Need Improvement",Table1[[#This Row],[academic_performance]]&gt;2,"Good",Table1[[#This Row],[academic_performance]]&gt;3,"Very good",Table1[[#This Row],[academic_performance]]&gt;4,"Excellent")</f>
        <v>Need Improvement</v>
      </c>
      <c r="K34">
        <v>0.2</v>
      </c>
      <c r="L34" t="str">
        <f>IF(Table1[[#This Row],[physical_activity]]&gt;1.9,"better overall ","lower rate of depression")</f>
        <v>lower rate of depression</v>
      </c>
      <c r="M34" t="s">
        <v>18</v>
      </c>
      <c r="N34">
        <v>1</v>
      </c>
      <c r="O34">
        <v>8</v>
      </c>
      <c r="P34">
        <v>4</v>
      </c>
      <c r="Q34">
        <v>0</v>
      </c>
    </row>
    <row r="35" spans="1:17" x14ac:dyDescent="0.3">
      <c r="A35">
        <v>14</v>
      </c>
      <c r="B35" t="s">
        <v>13</v>
      </c>
      <c r="C35" t="str">
        <f>IF(Table1[[#This Row],[age]]&gt;18,"Adult","Teenage")</f>
        <v>Teenage</v>
      </c>
      <c r="D35">
        <v>4.0999999999999996</v>
      </c>
      <c r="E35" t="s">
        <v>17</v>
      </c>
      <c r="F35">
        <v>8</v>
      </c>
      <c r="G35">
        <f>Table1[[#This Row],[sleep_hours]]-Table1[[#This Row],[daily_social_media_hours]]</f>
        <v>3.9000000000000004</v>
      </c>
      <c r="H35">
        <v>3</v>
      </c>
      <c r="I35">
        <v>2.31</v>
      </c>
      <c r="J35" t="str" cm="1">
        <f t="array" ref="J35">_xlfn.IFS(Table1[[#This Row],[academic_performance]]&gt;1,"Need Improvement",Table1[[#This Row],[academic_performance]]&gt;2,"Good",Table1[[#This Row],[academic_performance]]&gt;3,"Very good",Table1[[#This Row],[academic_performance]]&gt;4,"Excellent")</f>
        <v>Need Improvement</v>
      </c>
      <c r="K35">
        <v>0.8</v>
      </c>
      <c r="L35" t="str">
        <f>IF(Table1[[#This Row],[physical_activity]]&gt;1.9,"better overall ","lower rate of depression")</f>
        <v>lower rate of depression</v>
      </c>
      <c r="M35" t="s">
        <v>15</v>
      </c>
      <c r="N35">
        <v>8</v>
      </c>
      <c r="O35">
        <v>4</v>
      </c>
      <c r="P35">
        <v>1</v>
      </c>
      <c r="Q35">
        <v>0</v>
      </c>
    </row>
    <row r="36" spans="1:17" x14ac:dyDescent="0.3">
      <c r="A36">
        <v>13</v>
      </c>
      <c r="B36" t="s">
        <v>16</v>
      </c>
      <c r="C36" t="str">
        <f>IF(Table1[[#This Row],[age]]&gt;18,"Adult","Teenage")</f>
        <v>Teenage</v>
      </c>
      <c r="D36">
        <v>6.6</v>
      </c>
      <c r="E36" t="s">
        <v>17</v>
      </c>
      <c r="F36">
        <v>7.3</v>
      </c>
      <c r="G36">
        <f>Table1[[#This Row],[sleep_hours]]-Table1[[#This Row],[daily_social_media_hours]]</f>
        <v>0.70000000000000018</v>
      </c>
      <c r="H36">
        <v>1.6</v>
      </c>
      <c r="I36">
        <v>3.27</v>
      </c>
      <c r="J36" t="str" cm="1">
        <f t="array" ref="J36">_xlfn.IFS(Table1[[#This Row],[academic_performance]]&gt;1,"Need Improvement",Table1[[#This Row],[academic_performance]]&gt;2,"Good",Table1[[#This Row],[academic_performance]]&gt;3,"Very good",Table1[[#This Row],[academic_performance]]&gt;4,"Excellent")</f>
        <v>Need Improvement</v>
      </c>
      <c r="K36">
        <v>0.1</v>
      </c>
      <c r="L36" t="str">
        <f>IF(Table1[[#This Row],[physical_activity]]&gt;1.9,"better overall ","lower rate of depression")</f>
        <v>lower rate of depression</v>
      </c>
      <c r="M36" t="s">
        <v>19</v>
      </c>
      <c r="N36">
        <v>10</v>
      </c>
      <c r="O36">
        <v>2</v>
      </c>
      <c r="P36">
        <v>1</v>
      </c>
      <c r="Q36">
        <v>0</v>
      </c>
    </row>
    <row r="37" spans="1:17" x14ac:dyDescent="0.3">
      <c r="A37">
        <v>17</v>
      </c>
      <c r="B37" t="s">
        <v>16</v>
      </c>
      <c r="C37" t="str">
        <f>IF(Table1[[#This Row],[age]]&gt;18,"Adult","Teenage")</f>
        <v>Teenage</v>
      </c>
      <c r="D37">
        <v>5</v>
      </c>
      <c r="E37" t="s">
        <v>20</v>
      </c>
      <c r="F37">
        <v>4.9000000000000004</v>
      </c>
      <c r="G37">
        <f>Table1[[#This Row],[sleep_hours]]-Table1[[#This Row],[daily_social_media_hours]]</f>
        <v>-9.9999999999999645E-2</v>
      </c>
      <c r="H37">
        <v>2.1</v>
      </c>
      <c r="I37">
        <v>2.0099999999999998</v>
      </c>
      <c r="J37" t="str" cm="1">
        <f t="array" ref="J37">_xlfn.IFS(Table1[[#This Row],[academic_performance]]&gt;1,"Need Improvement",Table1[[#This Row],[academic_performance]]&gt;2,"Good",Table1[[#This Row],[academic_performance]]&gt;3,"Very good",Table1[[#This Row],[academic_performance]]&gt;4,"Excellent")</f>
        <v>Need Improvement</v>
      </c>
      <c r="K37">
        <v>1</v>
      </c>
      <c r="L37" t="str">
        <f>IF(Table1[[#This Row],[physical_activity]]&gt;1.9,"better overall ","lower rate of depression")</f>
        <v>lower rate of depression</v>
      </c>
      <c r="M37" t="s">
        <v>15</v>
      </c>
      <c r="N37">
        <v>9</v>
      </c>
      <c r="O37">
        <v>4</v>
      </c>
      <c r="P37">
        <v>9</v>
      </c>
      <c r="Q37">
        <v>0</v>
      </c>
    </row>
    <row r="38" spans="1:17" x14ac:dyDescent="0.3">
      <c r="A38">
        <v>19</v>
      </c>
      <c r="B38" t="s">
        <v>16</v>
      </c>
      <c r="C38" t="str">
        <f>IF(Table1[[#This Row],[age]]&gt;18,"Adult","Teenage")</f>
        <v>Adult</v>
      </c>
      <c r="D38">
        <v>4.5999999999999996</v>
      </c>
      <c r="E38" t="s">
        <v>14</v>
      </c>
      <c r="F38">
        <v>5.5</v>
      </c>
      <c r="G38">
        <f>Table1[[#This Row],[sleep_hours]]-Table1[[#This Row],[daily_social_media_hours]]</f>
        <v>0.90000000000000036</v>
      </c>
      <c r="H38">
        <v>2.5</v>
      </c>
      <c r="I38">
        <v>3.96</v>
      </c>
      <c r="J38" t="str" cm="1">
        <f t="array" ref="J38">_xlfn.IFS(Table1[[#This Row],[academic_performance]]&gt;1,"Need Improvement",Table1[[#This Row],[academic_performance]]&gt;2,"Good",Table1[[#This Row],[academic_performance]]&gt;3,"Very good",Table1[[#This Row],[academic_performance]]&gt;4,"Excellent")</f>
        <v>Need Improvement</v>
      </c>
      <c r="K38">
        <v>0.8</v>
      </c>
      <c r="L38" t="str">
        <f>IF(Table1[[#This Row],[physical_activity]]&gt;1.9,"better overall ","lower rate of depression")</f>
        <v>lower rate of depression</v>
      </c>
      <c r="M38" t="s">
        <v>18</v>
      </c>
      <c r="N38">
        <v>3</v>
      </c>
      <c r="O38">
        <v>10</v>
      </c>
      <c r="P38">
        <v>7</v>
      </c>
      <c r="Q38">
        <v>0</v>
      </c>
    </row>
    <row r="39" spans="1:17" x14ac:dyDescent="0.3">
      <c r="A39">
        <v>17</v>
      </c>
      <c r="B39" t="s">
        <v>16</v>
      </c>
      <c r="C39" t="str">
        <f>IF(Table1[[#This Row],[age]]&gt;18,"Adult","Teenage")</f>
        <v>Teenage</v>
      </c>
      <c r="D39">
        <v>4.8</v>
      </c>
      <c r="E39" t="s">
        <v>14</v>
      </c>
      <c r="F39">
        <v>4.4000000000000004</v>
      </c>
      <c r="G39">
        <f>Table1[[#This Row],[sleep_hours]]-Table1[[#This Row],[daily_social_media_hours]]</f>
        <v>-0.39999999999999947</v>
      </c>
      <c r="H39">
        <v>1.3</v>
      </c>
      <c r="I39">
        <v>2.02</v>
      </c>
      <c r="J39" t="str" cm="1">
        <f t="array" ref="J39">_xlfn.IFS(Table1[[#This Row],[academic_performance]]&gt;1,"Need Improvement",Table1[[#This Row],[academic_performance]]&gt;2,"Good",Table1[[#This Row],[academic_performance]]&gt;3,"Very good",Table1[[#This Row],[academic_performance]]&gt;4,"Excellent")</f>
        <v>Need Improvement</v>
      </c>
      <c r="K39">
        <v>0.5</v>
      </c>
      <c r="L39" t="str">
        <f>IF(Table1[[#This Row],[physical_activity]]&gt;1.9,"better overall ","lower rate of depression")</f>
        <v>lower rate of depression</v>
      </c>
      <c r="M39" t="s">
        <v>15</v>
      </c>
      <c r="N39">
        <v>5</v>
      </c>
      <c r="O39">
        <v>10</v>
      </c>
      <c r="P39">
        <v>6</v>
      </c>
      <c r="Q39">
        <v>0</v>
      </c>
    </row>
    <row r="40" spans="1:17" x14ac:dyDescent="0.3">
      <c r="A40">
        <v>17</v>
      </c>
      <c r="B40" t="s">
        <v>16</v>
      </c>
      <c r="C40" t="str">
        <f>IF(Table1[[#This Row],[age]]&gt;18,"Adult","Teenage")</f>
        <v>Teenage</v>
      </c>
      <c r="D40">
        <v>1.3</v>
      </c>
      <c r="E40" t="s">
        <v>17</v>
      </c>
      <c r="F40">
        <v>8</v>
      </c>
      <c r="G40">
        <f>Table1[[#This Row],[sleep_hours]]-Table1[[#This Row],[daily_social_media_hours]]</f>
        <v>6.7</v>
      </c>
      <c r="H40">
        <v>2</v>
      </c>
      <c r="I40">
        <v>2.84</v>
      </c>
      <c r="J40" t="str" cm="1">
        <f t="array" ref="J40">_xlfn.IFS(Table1[[#This Row],[academic_performance]]&gt;1,"Need Improvement",Table1[[#This Row],[academic_performance]]&gt;2,"Good",Table1[[#This Row],[academic_performance]]&gt;3,"Very good",Table1[[#This Row],[academic_performance]]&gt;4,"Excellent")</f>
        <v>Need Improvement</v>
      </c>
      <c r="K40">
        <v>1.8</v>
      </c>
      <c r="L40" t="str">
        <f>IF(Table1[[#This Row],[physical_activity]]&gt;1.9,"better overall ","lower rate of depression")</f>
        <v>lower rate of depression</v>
      </c>
      <c r="M40" t="s">
        <v>18</v>
      </c>
      <c r="N40">
        <v>1</v>
      </c>
      <c r="O40">
        <v>7</v>
      </c>
      <c r="P40">
        <v>8</v>
      </c>
      <c r="Q40">
        <v>0</v>
      </c>
    </row>
    <row r="41" spans="1:17" x14ac:dyDescent="0.3">
      <c r="A41">
        <v>17</v>
      </c>
      <c r="B41" t="s">
        <v>16</v>
      </c>
      <c r="C41" t="str">
        <f>IF(Table1[[#This Row],[age]]&gt;18,"Adult","Teenage")</f>
        <v>Teenage</v>
      </c>
      <c r="D41">
        <v>6.3</v>
      </c>
      <c r="E41" t="s">
        <v>14</v>
      </c>
      <c r="F41">
        <v>4</v>
      </c>
      <c r="G41">
        <f>Table1[[#This Row],[sleep_hours]]-Table1[[#This Row],[daily_social_media_hours]]</f>
        <v>-2.2999999999999998</v>
      </c>
      <c r="H41">
        <v>1</v>
      </c>
      <c r="I41">
        <v>2.4300000000000002</v>
      </c>
      <c r="J41" t="str" cm="1">
        <f t="array" ref="J41">_xlfn.IFS(Table1[[#This Row],[academic_performance]]&gt;1,"Need Improvement",Table1[[#This Row],[academic_performance]]&gt;2,"Good",Table1[[#This Row],[academic_performance]]&gt;3,"Very good",Table1[[#This Row],[academic_performance]]&gt;4,"Excellent")</f>
        <v>Need Improvement</v>
      </c>
      <c r="K41">
        <v>1.2</v>
      </c>
      <c r="L41" t="str">
        <f>IF(Table1[[#This Row],[physical_activity]]&gt;1.9,"better overall ","lower rate of depression")</f>
        <v>lower rate of depression</v>
      </c>
      <c r="M41" t="s">
        <v>18</v>
      </c>
      <c r="N41">
        <v>1</v>
      </c>
      <c r="O41">
        <v>10</v>
      </c>
      <c r="P41">
        <v>9</v>
      </c>
      <c r="Q41">
        <v>0</v>
      </c>
    </row>
    <row r="42" spans="1:17" x14ac:dyDescent="0.3">
      <c r="A42">
        <v>14</v>
      </c>
      <c r="B42" t="s">
        <v>13</v>
      </c>
      <c r="C42" t="str">
        <f>IF(Table1[[#This Row],[age]]&gt;18,"Adult","Teenage")</f>
        <v>Teenage</v>
      </c>
      <c r="D42">
        <v>6.4</v>
      </c>
      <c r="E42" t="s">
        <v>14</v>
      </c>
      <c r="F42">
        <v>5.7</v>
      </c>
      <c r="G42">
        <f>Table1[[#This Row],[sleep_hours]]-Table1[[#This Row],[daily_social_media_hours]]</f>
        <v>-0.70000000000000018</v>
      </c>
      <c r="H42">
        <v>0.9</v>
      </c>
      <c r="I42">
        <v>2.06</v>
      </c>
      <c r="J42" t="str" cm="1">
        <f t="array" ref="J42">_xlfn.IFS(Table1[[#This Row],[academic_performance]]&gt;1,"Need Improvement",Table1[[#This Row],[academic_performance]]&gt;2,"Good",Table1[[#This Row],[academic_performance]]&gt;3,"Very good",Table1[[#This Row],[academic_performance]]&gt;4,"Excellent")</f>
        <v>Need Improvement</v>
      </c>
      <c r="K42">
        <v>1.8</v>
      </c>
      <c r="L42" t="str">
        <f>IF(Table1[[#This Row],[physical_activity]]&gt;1.9,"better overall ","lower rate of depression")</f>
        <v>lower rate of depression</v>
      </c>
      <c r="M42" t="s">
        <v>18</v>
      </c>
      <c r="N42">
        <v>10</v>
      </c>
      <c r="O42">
        <v>4</v>
      </c>
      <c r="P42">
        <v>2</v>
      </c>
      <c r="Q42">
        <v>0</v>
      </c>
    </row>
    <row r="43" spans="1:17" x14ac:dyDescent="0.3">
      <c r="A43">
        <v>19</v>
      </c>
      <c r="B43" t="s">
        <v>13</v>
      </c>
      <c r="C43" t="str">
        <f>IF(Table1[[#This Row],[age]]&gt;18,"Adult","Teenage")</f>
        <v>Adult</v>
      </c>
      <c r="D43">
        <v>1.6</v>
      </c>
      <c r="E43" t="s">
        <v>14</v>
      </c>
      <c r="F43">
        <v>8.6</v>
      </c>
      <c r="G43">
        <f>Table1[[#This Row],[sleep_hours]]-Table1[[#This Row],[daily_social_media_hours]]</f>
        <v>7</v>
      </c>
      <c r="H43">
        <v>2.4</v>
      </c>
      <c r="I43">
        <v>3.81</v>
      </c>
      <c r="J43" t="str" cm="1">
        <f t="array" ref="J43">_xlfn.IFS(Table1[[#This Row],[academic_performance]]&gt;1,"Need Improvement",Table1[[#This Row],[academic_performance]]&gt;2,"Good",Table1[[#This Row],[academic_performance]]&gt;3,"Very good",Table1[[#This Row],[academic_performance]]&gt;4,"Excellent")</f>
        <v>Need Improvement</v>
      </c>
      <c r="K43">
        <v>0.4</v>
      </c>
      <c r="L43" t="str">
        <f>IF(Table1[[#This Row],[physical_activity]]&gt;1.9,"better overall ","lower rate of depression")</f>
        <v>lower rate of depression</v>
      </c>
      <c r="M43" t="s">
        <v>15</v>
      </c>
      <c r="N43">
        <v>10</v>
      </c>
      <c r="O43">
        <v>4</v>
      </c>
      <c r="P43">
        <v>1</v>
      </c>
      <c r="Q43">
        <v>0</v>
      </c>
    </row>
    <row r="44" spans="1:17" x14ac:dyDescent="0.3">
      <c r="A44">
        <v>14</v>
      </c>
      <c r="B44" t="s">
        <v>16</v>
      </c>
      <c r="C44" t="str">
        <f>IF(Table1[[#This Row],[age]]&gt;18,"Adult","Teenage")</f>
        <v>Teenage</v>
      </c>
      <c r="D44">
        <v>7.3</v>
      </c>
      <c r="E44" t="s">
        <v>14</v>
      </c>
      <c r="F44">
        <v>7.7</v>
      </c>
      <c r="G44">
        <f>Table1[[#This Row],[sleep_hours]]-Table1[[#This Row],[daily_social_media_hours]]</f>
        <v>0.40000000000000036</v>
      </c>
      <c r="H44">
        <v>1.4</v>
      </c>
      <c r="I44">
        <v>3.42</v>
      </c>
      <c r="J44" t="str" cm="1">
        <f t="array" ref="J44">_xlfn.IFS(Table1[[#This Row],[academic_performance]]&gt;1,"Need Improvement",Table1[[#This Row],[academic_performance]]&gt;2,"Good",Table1[[#This Row],[academic_performance]]&gt;3,"Very good",Table1[[#This Row],[academic_performance]]&gt;4,"Excellent")</f>
        <v>Need Improvement</v>
      </c>
      <c r="K44">
        <v>0.3</v>
      </c>
      <c r="L44" t="str">
        <f>IF(Table1[[#This Row],[physical_activity]]&gt;1.9,"better overall ","lower rate of depression")</f>
        <v>lower rate of depression</v>
      </c>
      <c r="M44" t="s">
        <v>19</v>
      </c>
      <c r="N44">
        <v>6</v>
      </c>
      <c r="O44">
        <v>1</v>
      </c>
      <c r="P44">
        <v>8</v>
      </c>
      <c r="Q44">
        <v>0</v>
      </c>
    </row>
    <row r="45" spans="1:17" x14ac:dyDescent="0.3">
      <c r="A45">
        <v>15</v>
      </c>
      <c r="B45" t="s">
        <v>13</v>
      </c>
      <c r="C45" t="str">
        <f>IF(Table1[[#This Row],[age]]&gt;18,"Adult","Teenage")</f>
        <v>Teenage</v>
      </c>
      <c r="D45">
        <v>4</v>
      </c>
      <c r="E45" t="s">
        <v>20</v>
      </c>
      <c r="F45">
        <v>8.8000000000000007</v>
      </c>
      <c r="G45">
        <f>Table1[[#This Row],[sleep_hours]]-Table1[[#This Row],[daily_social_media_hours]]</f>
        <v>4.8000000000000007</v>
      </c>
      <c r="H45">
        <v>1.3</v>
      </c>
      <c r="I45">
        <v>3.59</v>
      </c>
      <c r="J45" t="str" cm="1">
        <f t="array" ref="J45">_xlfn.IFS(Table1[[#This Row],[academic_performance]]&gt;1,"Need Improvement",Table1[[#This Row],[academic_performance]]&gt;2,"Good",Table1[[#This Row],[academic_performance]]&gt;3,"Very good",Table1[[#This Row],[academic_performance]]&gt;4,"Excellent")</f>
        <v>Need Improvement</v>
      </c>
      <c r="K45">
        <v>1.9</v>
      </c>
      <c r="L45" t="str">
        <f>IF(Table1[[#This Row],[physical_activity]]&gt;1.9,"better overall ","lower rate of depression")</f>
        <v>lower rate of depression</v>
      </c>
      <c r="M45" t="s">
        <v>19</v>
      </c>
      <c r="N45">
        <v>10</v>
      </c>
      <c r="O45">
        <v>6</v>
      </c>
      <c r="P45">
        <v>10</v>
      </c>
      <c r="Q45">
        <v>0</v>
      </c>
    </row>
    <row r="46" spans="1:17" x14ac:dyDescent="0.3">
      <c r="A46">
        <v>14</v>
      </c>
      <c r="B46" t="s">
        <v>13</v>
      </c>
      <c r="C46" t="str">
        <f>IF(Table1[[#This Row],[age]]&gt;18,"Adult","Teenage")</f>
        <v>Teenage</v>
      </c>
      <c r="D46">
        <v>5.2</v>
      </c>
      <c r="E46" t="s">
        <v>20</v>
      </c>
      <c r="F46">
        <v>4.0999999999999996</v>
      </c>
      <c r="G46">
        <f>Table1[[#This Row],[sleep_hours]]-Table1[[#This Row],[daily_social_media_hours]]</f>
        <v>-1.1000000000000005</v>
      </c>
      <c r="H46">
        <v>2.1</v>
      </c>
      <c r="I46">
        <v>3.07</v>
      </c>
      <c r="J46" t="str" cm="1">
        <f t="array" ref="J46">_xlfn.IFS(Table1[[#This Row],[academic_performance]]&gt;1,"Need Improvement",Table1[[#This Row],[academic_performance]]&gt;2,"Good",Table1[[#This Row],[academic_performance]]&gt;3,"Very good",Table1[[#This Row],[academic_performance]]&gt;4,"Excellent")</f>
        <v>Need Improvement</v>
      </c>
      <c r="K46">
        <v>0.2</v>
      </c>
      <c r="L46" t="str">
        <f>IF(Table1[[#This Row],[physical_activity]]&gt;1.9,"better overall ","lower rate of depression")</f>
        <v>lower rate of depression</v>
      </c>
      <c r="M46" t="s">
        <v>19</v>
      </c>
      <c r="N46">
        <v>9</v>
      </c>
      <c r="O46">
        <v>3</v>
      </c>
      <c r="P46">
        <v>8</v>
      </c>
      <c r="Q46">
        <v>0</v>
      </c>
    </row>
    <row r="47" spans="1:17" x14ac:dyDescent="0.3">
      <c r="A47">
        <v>14</v>
      </c>
      <c r="B47" t="s">
        <v>16</v>
      </c>
      <c r="C47" t="str">
        <f>IF(Table1[[#This Row],[age]]&gt;18,"Adult","Teenage")</f>
        <v>Teenage</v>
      </c>
      <c r="D47">
        <v>4.5</v>
      </c>
      <c r="E47" t="s">
        <v>17</v>
      </c>
      <c r="F47">
        <v>4.8</v>
      </c>
      <c r="G47">
        <f>Table1[[#This Row],[sleep_hours]]-Table1[[#This Row],[daily_social_media_hours]]</f>
        <v>0.29999999999999982</v>
      </c>
      <c r="H47">
        <v>0.9</v>
      </c>
      <c r="I47">
        <v>2.2200000000000002</v>
      </c>
      <c r="J47" t="str" cm="1">
        <f t="array" ref="J47">_xlfn.IFS(Table1[[#This Row],[academic_performance]]&gt;1,"Need Improvement",Table1[[#This Row],[academic_performance]]&gt;2,"Good",Table1[[#This Row],[academic_performance]]&gt;3,"Very good",Table1[[#This Row],[academic_performance]]&gt;4,"Excellent")</f>
        <v>Need Improvement</v>
      </c>
      <c r="K47">
        <v>0.8</v>
      </c>
      <c r="L47" t="str">
        <f>IF(Table1[[#This Row],[physical_activity]]&gt;1.9,"better overall ","lower rate of depression")</f>
        <v>lower rate of depression</v>
      </c>
      <c r="M47" t="s">
        <v>15</v>
      </c>
      <c r="N47">
        <v>1</v>
      </c>
      <c r="O47">
        <v>4</v>
      </c>
      <c r="P47">
        <v>10</v>
      </c>
      <c r="Q47">
        <v>0</v>
      </c>
    </row>
    <row r="48" spans="1:17" x14ac:dyDescent="0.3">
      <c r="A48">
        <v>18</v>
      </c>
      <c r="B48" t="s">
        <v>13</v>
      </c>
      <c r="C48" t="str">
        <f>IF(Table1[[#This Row],[age]]&gt;18,"Adult","Teenage")</f>
        <v>Teenage</v>
      </c>
      <c r="D48">
        <v>6.8</v>
      </c>
      <c r="E48" t="s">
        <v>17</v>
      </c>
      <c r="F48">
        <v>8.6</v>
      </c>
      <c r="G48">
        <f>Table1[[#This Row],[sleep_hours]]-Table1[[#This Row],[daily_social_media_hours]]</f>
        <v>1.7999999999999998</v>
      </c>
      <c r="H48">
        <v>1.1000000000000001</v>
      </c>
      <c r="I48">
        <v>2.36</v>
      </c>
      <c r="J48" t="str" cm="1">
        <f t="array" ref="J48">_xlfn.IFS(Table1[[#This Row],[academic_performance]]&gt;1,"Need Improvement",Table1[[#This Row],[academic_performance]]&gt;2,"Good",Table1[[#This Row],[academic_performance]]&gt;3,"Very good",Table1[[#This Row],[academic_performance]]&gt;4,"Excellent")</f>
        <v>Need Improvement</v>
      </c>
      <c r="K48">
        <v>1.6</v>
      </c>
      <c r="L48" t="str">
        <f>IF(Table1[[#This Row],[physical_activity]]&gt;1.9,"better overall ","lower rate of depression")</f>
        <v>lower rate of depression</v>
      </c>
      <c r="M48" t="s">
        <v>18</v>
      </c>
      <c r="N48">
        <v>1</v>
      </c>
      <c r="O48">
        <v>10</v>
      </c>
      <c r="P48">
        <v>10</v>
      </c>
      <c r="Q48">
        <v>0</v>
      </c>
    </row>
    <row r="49" spans="1:17" x14ac:dyDescent="0.3">
      <c r="A49">
        <v>13</v>
      </c>
      <c r="B49" t="s">
        <v>16</v>
      </c>
      <c r="C49" t="str">
        <f>IF(Table1[[#This Row],[age]]&gt;18,"Adult","Teenage")</f>
        <v>Teenage</v>
      </c>
      <c r="D49">
        <v>3.5</v>
      </c>
      <c r="E49" t="s">
        <v>14</v>
      </c>
      <c r="F49">
        <v>5.0999999999999996</v>
      </c>
      <c r="G49">
        <f>Table1[[#This Row],[sleep_hours]]-Table1[[#This Row],[daily_social_media_hours]]</f>
        <v>1.5999999999999996</v>
      </c>
      <c r="H49">
        <v>1.1000000000000001</v>
      </c>
      <c r="I49">
        <v>2.27</v>
      </c>
      <c r="J49" t="str" cm="1">
        <f t="array" ref="J49">_xlfn.IFS(Table1[[#This Row],[academic_performance]]&gt;1,"Need Improvement",Table1[[#This Row],[academic_performance]]&gt;2,"Good",Table1[[#This Row],[academic_performance]]&gt;3,"Very good",Table1[[#This Row],[academic_performance]]&gt;4,"Excellent")</f>
        <v>Need Improvement</v>
      </c>
      <c r="K49">
        <v>1.8</v>
      </c>
      <c r="L49" t="str">
        <f>IF(Table1[[#This Row],[physical_activity]]&gt;1.9,"better overall ","lower rate of depression")</f>
        <v>lower rate of depression</v>
      </c>
      <c r="M49" t="s">
        <v>19</v>
      </c>
      <c r="N49">
        <v>2</v>
      </c>
      <c r="O49">
        <v>5</v>
      </c>
      <c r="P49">
        <v>6</v>
      </c>
      <c r="Q49">
        <v>0</v>
      </c>
    </row>
    <row r="50" spans="1:17" x14ac:dyDescent="0.3">
      <c r="A50">
        <v>16</v>
      </c>
      <c r="B50" t="s">
        <v>13</v>
      </c>
      <c r="C50" t="str">
        <f>IF(Table1[[#This Row],[age]]&gt;18,"Adult","Teenage")</f>
        <v>Teenage</v>
      </c>
      <c r="D50">
        <v>2.2999999999999998</v>
      </c>
      <c r="E50" t="s">
        <v>17</v>
      </c>
      <c r="F50">
        <v>6.3</v>
      </c>
      <c r="G50">
        <f>Table1[[#This Row],[sleep_hours]]-Table1[[#This Row],[daily_social_media_hours]]</f>
        <v>4</v>
      </c>
      <c r="H50">
        <v>3</v>
      </c>
      <c r="I50">
        <v>3.24</v>
      </c>
      <c r="J50" t="str" cm="1">
        <f t="array" ref="J50">_xlfn.IFS(Table1[[#This Row],[academic_performance]]&gt;1,"Need Improvement",Table1[[#This Row],[academic_performance]]&gt;2,"Good",Table1[[#This Row],[academic_performance]]&gt;3,"Very good",Table1[[#This Row],[academic_performance]]&gt;4,"Excellent")</f>
        <v>Need Improvement</v>
      </c>
      <c r="K50">
        <v>1.9</v>
      </c>
      <c r="L50" t="str">
        <f>IF(Table1[[#This Row],[physical_activity]]&gt;1.9,"better overall ","lower rate of depression")</f>
        <v>lower rate of depression</v>
      </c>
      <c r="M50" t="s">
        <v>19</v>
      </c>
      <c r="N50">
        <v>4</v>
      </c>
      <c r="O50">
        <v>4</v>
      </c>
      <c r="P50">
        <v>9</v>
      </c>
      <c r="Q50">
        <v>0</v>
      </c>
    </row>
    <row r="51" spans="1:17" x14ac:dyDescent="0.3">
      <c r="A51">
        <v>14</v>
      </c>
      <c r="B51" t="s">
        <v>13</v>
      </c>
      <c r="C51" t="str">
        <f>IF(Table1[[#This Row],[age]]&gt;18,"Adult","Teenage")</f>
        <v>Teenage</v>
      </c>
      <c r="D51">
        <v>1.2</v>
      </c>
      <c r="E51" t="s">
        <v>14</v>
      </c>
      <c r="F51">
        <v>8.5</v>
      </c>
      <c r="G51">
        <f>Table1[[#This Row],[sleep_hours]]-Table1[[#This Row],[daily_social_media_hours]]</f>
        <v>7.3</v>
      </c>
      <c r="H51">
        <v>1.8</v>
      </c>
      <c r="I51">
        <v>3.65</v>
      </c>
      <c r="J51" t="str" cm="1">
        <f t="array" ref="J51">_xlfn.IFS(Table1[[#This Row],[academic_performance]]&gt;1,"Need Improvement",Table1[[#This Row],[academic_performance]]&gt;2,"Good",Table1[[#This Row],[academic_performance]]&gt;3,"Very good",Table1[[#This Row],[academic_performance]]&gt;4,"Excellent")</f>
        <v>Need Improvement</v>
      </c>
      <c r="K51">
        <v>1.8</v>
      </c>
      <c r="L51" t="str">
        <f>IF(Table1[[#This Row],[physical_activity]]&gt;1.9,"better overall ","lower rate of depression")</f>
        <v>lower rate of depression</v>
      </c>
      <c r="M51" t="s">
        <v>18</v>
      </c>
      <c r="N51">
        <v>5</v>
      </c>
      <c r="O51">
        <v>10</v>
      </c>
      <c r="P51">
        <v>10</v>
      </c>
      <c r="Q51">
        <v>0</v>
      </c>
    </row>
    <row r="52" spans="1:17" x14ac:dyDescent="0.3">
      <c r="A52">
        <v>13</v>
      </c>
      <c r="B52" t="s">
        <v>13</v>
      </c>
      <c r="C52" t="str">
        <f>IF(Table1[[#This Row],[age]]&gt;18,"Adult","Teenage")</f>
        <v>Teenage</v>
      </c>
      <c r="D52">
        <v>6.2</v>
      </c>
      <c r="E52" t="s">
        <v>20</v>
      </c>
      <c r="F52">
        <v>7.1</v>
      </c>
      <c r="G52">
        <f>Table1[[#This Row],[sleep_hours]]-Table1[[#This Row],[daily_social_media_hours]]</f>
        <v>0.89999999999999947</v>
      </c>
      <c r="H52">
        <v>2.2000000000000002</v>
      </c>
      <c r="I52">
        <v>3.43</v>
      </c>
      <c r="J52" t="str" cm="1">
        <f t="array" ref="J52">_xlfn.IFS(Table1[[#This Row],[academic_performance]]&gt;1,"Need Improvement",Table1[[#This Row],[academic_performance]]&gt;2,"Good",Table1[[#This Row],[academic_performance]]&gt;3,"Very good",Table1[[#This Row],[academic_performance]]&gt;4,"Excellent")</f>
        <v>Need Improvement</v>
      </c>
      <c r="K52">
        <v>0.2</v>
      </c>
      <c r="L52" t="str">
        <f>IF(Table1[[#This Row],[physical_activity]]&gt;1.9,"better overall ","lower rate of depression")</f>
        <v>lower rate of depression</v>
      </c>
      <c r="M52" t="s">
        <v>19</v>
      </c>
      <c r="N52">
        <v>5</v>
      </c>
      <c r="O52">
        <v>2</v>
      </c>
      <c r="P52">
        <v>2</v>
      </c>
      <c r="Q52">
        <v>0</v>
      </c>
    </row>
    <row r="53" spans="1:17" x14ac:dyDescent="0.3">
      <c r="A53">
        <v>18</v>
      </c>
      <c r="B53" t="s">
        <v>13</v>
      </c>
      <c r="C53" t="str">
        <f>IF(Table1[[#This Row],[age]]&gt;18,"Adult","Teenage")</f>
        <v>Teenage</v>
      </c>
      <c r="D53">
        <v>4.5</v>
      </c>
      <c r="E53" t="s">
        <v>17</v>
      </c>
      <c r="F53">
        <v>4.0999999999999996</v>
      </c>
      <c r="G53">
        <f>Table1[[#This Row],[sleep_hours]]-Table1[[#This Row],[daily_social_media_hours]]</f>
        <v>-0.40000000000000036</v>
      </c>
      <c r="H53">
        <v>1.9</v>
      </c>
      <c r="I53">
        <v>3.42</v>
      </c>
      <c r="J53" t="str" cm="1">
        <f t="array" ref="J53">_xlfn.IFS(Table1[[#This Row],[academic_performance]]&gt;1,"Need Improvement",Table1[[#This Row],[academic_performance]]&gt;2,"Good",Table1[[#This Row],[academic_performance]]&gt;3,"Very good",Table1[[#This Row],[academic_performance]]&gt;4,"Excellent")</f>
        <v>Need Improvement</v>
      </c>
      <c r="K53">
        <v>0.1</v>
      </c>
      <c r="L53" t="str">
        <f>IF(Table1[[#This Row],[physical_activity]]&gt;1.9,"better overall ","lower rate of depression")</f>
        <v>lower rate of depression</v>
      </c>
      <c r="M53" t="s">
        <v>19</v>
      </c>
      <c r="N53">
        <v>6</v>
      </c>
      <c r="O53">
        <v>7</v>
      </c>
      <c r="P53">
        <v>8</v>
      </c>
      <c r="Q53">
        <v>0</v>
      </c>
    </row>
    <row r="54" spans="1:17" x14ac:dyDescent="0.3">
      <c r="A54">
        <v>18</v>
      </c>
      <c r="B54" t="s">
        <v>13</v>
      </c>
      <c r="C54" t="str">
        <f>IF(Table1[[#This Row],[age]]&gt;18,"Adult","Teenage")</f>
        <v>Teenage</v>
      </c>
      <c r="D54">
        <v>2.9</v>
      </c>
      <c r="E54" t="s">
        <v>14</v>
      </c>
      <c r="F54">
        <v>4.5</v>
      </c>
      <c r="G54">
        <f>Table1[[#This Row],[sleep_hours]]-Table1[[#This Row],[daily_social_media_hours]]</f>
        <v>1.6</v>
      </c>
      <c r="H54">
        <v>2.5</v>
      </c>
      <c r="I54">
        <v>3.16</v>
      </c>
      <c r="J54" t="str" cm="1">
        <f t="array" ref="J54">_xlfn.IFS(Table1[[#This Row],[academic_performance]]&gt;1,"Need Improvement",Table1[[#This Row],[academic_performance]]&gt;2,"Good",Table1[[#This Row],[academic_performance]]&gt;3,"Very good",Table1[[#This Row],[academic_performance]]&gt;4,"Excellent")</f>
        <v>Need Improvement</v>
      </c>
      <c r="K54">
        <v>1.3</v>
      </c>
      <c r="L54" t="str">
        <f>IF(Table1[[#This Row],[physical_activity]]&gt;1.9,"better overall ","lower rate of depression")</f>
        <v>lower rate of depression</v>
      </c>
      <c r="M54" t="s">
        <v>15</v>
      </c>
      <c r="N54">
        <v>3</v>
      </c>
      <c r="O54">
        <v>7</v>
      </c>
      <c r="P54">
        <v>8</v>
      </c>
      <c r="Q54">
        <v>0</v>
      </c>
    </row>
    <row r="55" spans="1:17" x14ac:dyDescent="0.3">
      <c r="A55">
        <v>13</v>
      </c>
      <c r="B55" t="s">
        <v>16</v>
      </c>
      <c r="C55" t="str">
        <f>IF(Table1[[#This Row],[age]]&gt;18,"Adult","Teenage")</f>
        <v>Teenage</v>
      </c>
      <c r="D55">
        <v>5.8</v>
      </c>
      <c r="E55" t="s">
        <v>17</v>
      </c>
      <c r="F55">
        <v>8.5</v>
      </c>
      <c r="G55">
        <f>Table1[[#This Row],[sleep_hours]]-Table1[[#This Row],[daily_social_media_hours]]</f>
        <v>2.7</v>
      </c>
      <c r="H55">
        <v>2.2999999999999998</v>
      </c>
      <c r="I55">
        <v>3.3</v>
      </c>
      <c r="J55" t="str" cm="1">
        <f t="array" ref="J55">_xlfn.IFS(Table1[[#This Row],[academic_performance]]&gt;1,"Need Improvement",Table1[[#This Row],[academic_performance]]&gt;2,"Good",Table1[[#This Row],[academic_performance]]&gt;3,"Very good",Table1[[#This Row],[academic_performance]]&gt;4,"Excellent")</f>
        <v>Need Improvement</v>
      </c>
      <c r="K55">
        <v>1.9</v>
      </c>
      <c r="L55" t="str">
        <f>IF(Table1[[#This Row],[physical_activity]]&gt;1.9,"better overall ","lower rate of depression")</f>
        <v>lower rate of depression</v>
      </c>
      <c r="M55" t="s">
        <v>18</v>
      </c>
      <c r="N55">
        <v>1</v>
      </c>
      <c r="O55">
        <v>1</v>
      </c>
      <c r="P55">
        <v>5</v>
      </c>
      <c r="Q55">
        <v>0</v>
      </c>
    </row>
    <row r="56" spans="1:17" x14ac:dyDescent="0.3">
      <c r="A56">
        <v>18</v>
      </c>
      <c r="B56" t="s">
        <v>13</v>
      </c>
      <c r="C56" t="str">
        <f>IF(Table1[[#This Row],[age]]&gt;18,"Adult","Teenage")</f>
        <v>Teenage</v>
      </c>
      <c r="D56">
        <v>6.8</v>
      </c>
      <c r="E56" t="s">
        <v>14</v>
      </c>
      <c r="F56">
        <v>6.5</v>
      </c>
      <c r="G56">
        <f>Table1[[#This Row],[sleep_hours]]-Table1[[#This Row],[daily_social_media_hours]]</f>
        <v>-0.29999999999999982</v>
      </c>
      <c r="H56">
        <v>2.7</v>
      </c>
      <c r="I56">
        <v>2.97</v>
      </c>
      <c r="J56" t="str" cm="1">
        <f t="array" ref="J56">_xlfn.IFS(Table1[[#This Row],[academic_performance]]&gt;1,"Need Improvement",Table1[[#This Row],[academic_performance]]&gt;2,"Good",Table1[[#This Row],[academic_performance]]&gt;3,"Very good",Table1[[#This Row],[academic_performance]]&gt;4,"Excellent")</f>
        <v>Need Improvement</v>
      </c>
      <c r="K56">
        <v>1.9</v>
      </c>
      <c r="L56" t="str">
        <f>IF(Table1[[#This Row],[physical_activity]]&gt;1.9,"better overall ","lower rate of depression")</f>
        <v>lower rate of depression</v>
      </c>
      <c r="M56" t="s">
        <v>15</v>
      </c>
      <c r="N56">
        <v>4</v>
      </c>
      <c r="O56">
        <v>4</v>
      </c>
      <c r="P56">
        <v>5</v>
      </c>
      <c r="Q56">
        <v>0</v>
      </c>
    </row>
    <row r="57" spans="1:17" x14ac:dyDescent="0.3">
      <c r="A57">
        <v>15</v>
      </c>
      <c r="B57" t="s">
        <v>16</v>
      </c>
      <c r="C57" t="str">
        <f>IF(Table1[[#This Row],[age]]&gt;18,"Adult","Teenage")</f>
        <v>Teenage</v>
      </c>
      <c r="D57">
        <v>7.4</v>
      </c>
      <c r="E57" t="s">
        <v>14</v>
      </c>
      <c r="F57">
        <v>8.6</v>
      </c>
      <c r="G57">
        <f>Table1[[#This Row],[sleep_hours]]-Table1[[#This Row],[daily_social_media_hours]]</f>
        <v>1.1999999999999993</v>
      </c>
      <c r="H57">
        <v>0.9</v>
      </c>
      <c r="I57">
        <v>2.2999999999999998</v>
      </c>
      <c r="J57" t="str" cm="1">
        <f t="array" ref="J57">_xlfn.IFS(Table1[[#This Row],[academic_performance]]&gt;1,"Need Improvement",Table1[[#This Row],[academic_performance]]&gt;2,"Good",Table1[[#This Row],[academic_performance]]&gt;3,"Very good",Table1[[#This Row],[academic_performance]]&gt;4,"Excellent")</f>
        <v>Need Improvement</v>
      </c>
      <c r="K57">
        <v>0</v>
      </c>
      <c r="L57" t="str">
        <f>IF(Table1[[#This Row],[physical_activity]]&gt;1.9,"better overall ","lower rate of depression")</f>
        <v>lower rate of depression</v>
      </c>
      <c r="M57" t="s">
        <v>15</v>
      </c>
      <c r="N57">
        <v>1</v>
      </c>
      <c r="O57">
        <v>5</v>
      </c>
      <c r="P57">
        <v>3</v>
      </c>
      <c r="Q57">
        <v>0</v>
      </c>
    </row>
    <row r="58" spans="1:17" x14ac:dyDescent="0.3">
      <c r="A58">
        <v>18</v>
      </c>
      <c r="B58" t="s">
        <v>13</v>
      </c>
      <c r="C58" t="str">
        <f>IF(Table1[[#This Row],[age]]&gt;18,"Adult","Teenage")</f>
        <v>Teenage</v>
      </c>
      <c r="D58">
        <v>4.5</v>
      </c>
      <c r="E58" t="s">
        <v>17</v>
      </c>
      <c r="F58">
        <v>5</v>
      </c>
      <c r="G58">
        <f>Table1[[#This Row],[sleep_hours]]-Table1[[#This Row],[daily_social_media_hours]]</f>
        <v>0.5</v>
      </c>
      <c r="H58">
        <v>2.5</v>
      </c>
      <c r="I58">
        <v>2.65</v>
      </c>
      <c r="J58" t="str" cm="1">
        <f t="array" ref="J58">_xlfn.IFS(Table1[[#This Row],[academic_performance]]&gt;1,"Need Improvement",Table1[[#This Row],[academic_performance]]&gt;2,"Good",Table1[[#This Row],[academic_performance]]&gt;3,"Very good",Table1[[#This Row],[academic_performance]]&gt;4,"Excellent")</f>
        <v>Need Improvement</v>
      </c>
      <c r="K58">
        <v>0.7</v>
      </c>
      <c r="L58" t="str">
        <f>IF(Table1[[#This Row],[physical_activity]]&gt;1.9,"better overall ","lower rate of depression")</f>
        <v>lower rate of depression</v>
      </c>
      <c r="M58" t="s">
        <v>19</v>
      </c>
      <c r="N58">
        <v>8</v>
      </c>
      <c r="O58">
        <v>9</v>
      </c>
      <c r="P58">
        <v>1</v>
      </c>
      <c r="Q58">
        <v>0</v>
      </c>
    </row>
    <row r="59" spans="1:17" x14ac:dyDescent="0.3">
      <c r="A59">
        <v>16</v>
      </c>
      <c r="B59" t="s">
        <v>13</v>
      </c>
      <c r="C59" t="str">
        <f>IF(Table1[[#This Row],[age]]&gt;18,"Adult","Teenage")</f>
        <v>Teenage</v>
      </c>
      <c r="D59">
        <v>6.4</v>
      </c>
      <c r="E59" t="s">
        <v>17</v>
      </c>
      <c r="F59">
        <v>5.3</v>
      </c>
      <c r="G59">
        <f>Table1[[#This Row],[sleep_hours]]-Table1[[#This Row],[daily_social_media_hours]]</f>
        <v>-1.1000000000000005</v>
      </c>
      <c r="H59">
        <v>2.4</v>
      </c>
      <c r="I59">
        <v>2.0299999999999998</v>
      </c>
      <c r="J59" t="str" cm="1">
        <f t="array" ref="J59">_xlfn.IFS(Table1[[#This Row],[academic_performance]]&gt;1,"Need Improvement",Table1[[#This Row],[academic_performance]]&gt;2,"Good",Table1[[#This Row],[academic_performance]]&gt;3,"Very good",Table1[[#This Row],[academic_performance]]&gt;4,"Excellent")</f>
        <v>Need Improvement</v>
      </c>
      <c r="K59">
        <v>1.7</v>
      </c>
      <c r="L59" t="str">
        <f>IF(Table1[[#This Row],[physical_activity]]&gt;1.9,"better overall ","lower rate of depression")</f>
        <v>lower rate of depression</v>
      </c>
      <c r="M59" t="s">
        <v>19</v>
      </c>
      <c r="N59">
        <v>7</v>
      </c>
      <c r="O59">
        <v>5</v>
      </c>
      <c r="P59">
        <v>10</v>
      </c>
      <c r="Q59">
        <v>0</v>
      </c>
    </row>
    <row r="60" spans="1:17" x14ac:dyDescent="0.3">
      <c r="A60">
        <v>13</v>
      </c>
      <c r="B60" t="s">
        <v>13</v>
      </c>
      <c r="C60" t="str">
        <f>IF(Table1[[#This Row],[age]]&gt;18,"Adult","Teenage")</f>
        <v>Teenage</v>
      </c>
      <c r="D60">
        <v>7.3</v>
      </c>
      <c r="E60" t="s">
        <v>20</v>
      </c>
      <c r="F60">
        <v>4.2</v>
      </c>
      <c r="G60">
        <f>Table1[[#This Row],[sleep_hours]]-Table1[[#This Row],[daily_social_media_hours]]</f>
        <v>-3.0999999999999996</v>
      </c>
      <c r="H60">
        <v>1.3</v>
      </c>
      <c r="I60">
        <v>2.16</v>
      </c>
      <c r="J60" t="str" cm="1">
        <f t="array" ref="J60">_xlfn.IFS(Table1[[#This Row],[academic_performance]]&gt;1,"Need Improvement",Table1[[#This Row],[academic_performance]]&gt;2,"Good",Table1[[#This Row],[academic_performance]]&gt;3,"Very good",Table1[[#This Row],[academic_performance]]&gt;4,"Excellent")</f>
        <v>Need Improvement</v>
      </c>
      <c r="K60">
        <v>1</v>
      </c>
      <c r="L60" t="str">
        <f>IF(Table1[[#This Row],[physical_activity]]&gt;1.9,"better overall ","lower rate of depression")</f>
        <v>lower rate of depression</v>
      </c>
      <c r="M60" t="s">
        <v>18</v>
      </c>
      <c r="N60">
        <v>4</v>
      </c>
      <c r="O60">
        <v>5</v>
      </c>
      <c r="P60">
        <v>2</v>
      </c>
      <c r="Q60">
        <v>0</v>
      </c>
    </row>
    <row r="61" spans="1:17" x14ac:dyDescent="0.3">
      <c r="A61">
        <v>17</v>
      </c>
      <c r="B61" t="s">
        <v>16</v>
      </c>
      <c r="C61" t="str">
        <f>IF(Table1[[#This Row],[age]]&gt;18,"Adult","Teenage")</f>
        <v>Teenage</v>
      </c>
      <c r="D61">
        <v>7.1</v>
      </c>
      <c r="E61" t="s">
        <v>14</v>
      </c>
      <c r="F61">
        <v>5.6</v>
      </c>
      <c r="G61">
        <f>Table1[[#This Row],[sleep_hours]]-Table1[[#This Row],[daily_social_media_hours]]</f>
        <v>-1.5</v>
      </c>
      <c r="H61">
        <v>0.6</v>
      </c>
      <c r="I61">
        <v>3.07</v>
      </c>
      <c r="J61" t="str" cm="1">
        <f t="array" ref="J61">_xlfn.IFS(Table1[[#This Row],[academic_performance]]&gt;1,"Need Improvement",Table1[[#This Row],[academic_performance]]&gt;2,"Good",Table1[[#This Row],[academic_performance]]&gt;3,"Very good",Table1[[#This Row],[academic_performance]]&gt;4,"Excellent")</f>
        <v>Need Improvement</v>
      </c>
      <c r="K61">
        <v>1</v>
      </c>
      <c r="L61" t="str">
        <f>IF(Table1[[#This Row],[physical_activity]]&gt;1.9,"better overall ","lower rate of depression")</f>
        <v>lower rate of depression</v>
      </c>
      <c r="M61" t="s">
        <v>19</v>
      </c>
      <c r="N61">
        <v>1</v>
      </c>
      <c r="O61">
        <v>3</v>
      </c>
      <c r="P61">
        <v>7</v>
      </c>
      <c r="Q61">
        <v>0</v>
      </c>
    </row>
    <row r="62" spans="1:17" x14ac:dyDescent="0.3">
      <c r="A62">
        <v>18</v>
      </c>
      <c r="B62" t="s">
        <v>13</v>
      </c>
      <c r="C62" t="str">
        <f>IF(Table1[[#This Row],[age]]&gt;18,"Adult","Teenage")</f>
        <v>Teenage</v>
      </c>
      <c r="D62">
        <v>1.6</v>
      </c>
      <c r="E62" t="s">
        <v>17</v>
      </c>
      <c r="F62">
        <v>5.0999999999999996</v>
      </c>
      <c r="G62">
        <f>Table1[[#This Row],[sleep_hours]]-Table1[[#This Row],[daily_social_media_hours]]</f>
        <v>3.4999999999999996</v>
      </c>
      <c r="H62">
        <v>2.7</v>
      </c>
      <c r="I62">
        <v>3.57</v>
      </c>
      <c r="J62" t="str" cm="1">
        <f t="array" ref="J62">_xlfn.IFS(Table1[[#This Row],[academic_performance]]&gt;1,"Need Improvement",Table1[[#This Row],[academic_performance]]&gt;2,"Good",Table1[[#This Row],[academic_performance]]&gt;3,"Very good",Table1[[#This Row],[academic_performance]]&gt;4,"Excellent")</f>
        <v>Need Improvement</v>
      </c>
      <c r="K62">
        <v>0.8</v>
      </c>
      <c r="L62" t="str">
        <f>IF(Table1[[#This Row],[physical_activity]]&gt;1.9,"better overall ","lower rate of depression")</f>
        <v>lower rate of depression</v>
      </c>
      <c r="M62" t="s">
        <v>18</v>
      </c>
      <c r="N62">
        <v>3</v>
      </c>
      <c r="O62">
        <v>9</v>
      </c>
      <c r="P62">
        <v>7</v>
      </c>
      <c r="Q62">
        <v>0</v>
      </c>
    </row>
    <row r="63" spans="1:17" x14ac:dyDescent="0.3">
      <c r="A63">
        <v>15</v>
      </c>
      <c r="B63" t="s">
        <v>16</v>
      </c>
      <c r="C63" t="str">
        <f>IF(Table1[[#This Row],[age]]&gt;18,"Adult","Teenage")</f>
        <v>Teenage</v>
      </c>
      <c r="D63">
        <v>1.5</v>
      </c>
      <c r="E63" t="s">
        <v>14</v>
      </c>
      <c r="F63">
        <v>4.7</v>
      </c>
      <c r="G63">
        <f>Table1[[#This Row],[sleep_hours]]-Table1[[#This Row],[daily_social_media_hours]]</f>
        <v>3.2</v>
      </c>
      <c r="H63">
        <v>1</v>
      </c>
      <c r="I63">
        <v>3.82</v>
      </c>
      <c r="J63" t="str" cm="1">
        <f t="array" ref="J63">_xlfn.IFS(Table1[[#This Row],[academic_performance]]&gt;1,"Need Improvement",Table1[[#This Row],[academic_performance]]&gt;2,"Good",Table1[[#This Row],[academic_performance]]&gt;3,"Very good",Table1[[#This Row],[academic_performance]]&gt;4,"Excellent")</f>
        <v>Need Improvement</v>
      </c>
      <c r="K63">
        <v>0.6</v>
      </c>
      <c r="L63" t="str">
        <f>IF(Table1[[#This Row],[physical_activity]]&gt;1.9,"better overall ","lower rate of depression")</f>
        <v>lower rate of depression</v>
      </c>
      <c r="M63" t="s">
        <v>19</v>
      </c>
      <c r="N63">
        <v>6</v>
      </c>
      <c r="O63">
        <v>1</v>
      </c>
      <c r="P63">
        <v>4</v>
      </c>
      <c r="Q63">
        <v>0</v>
      </c>
    </row>
    <row r="64" spans="1:17" x14ac:dyDescent="0.3">
      <c r="A64">
        <v>13</v>
      </c>
      <c r="B64" t="s">
        <v>13</v>
      </c>
      <c r="C64" t="str">
        <f>IF(Table1[[#This Row],[age]]&gt;18,"Adult","Teenage")</f>
        <v>Teenage</v>
      </c>
      <c r="D64">
        <v>4.3</v>
      </c>
      <c r="E64" t="s">
        <v>20</v>
      </c>
      <c r="F64">
        <v>5.8</v>
      </c>
      <c r="G64">
        <f>Table1[[#This Row],[sleep_hours]]-Table1[[#This Row],[daily_social_media_hours]]</f>
        <v>1.5</v>
      </c>
      <c r="H64">
        <v>0.7</v>
      </c>
      <c r="I64">
        <v>3.15</v>
      </c>
      <c r="J64" t="str" cm="1">
        <f t="array" ref="J64">_xlfn.IFS(Table1[[#This Row],[academic_performance]]&gt;1,"Need Improvement",Table1[[#This Row],[academic_performance]]&gt;2,"Good",Table1[[#This Row],[academic_performance]]&gt;3,"Very good",Table1[[#This Row],[academic_performance]]&gt;4,"Excellent")</f>
        <v>Need Improvement</v>
      </c>
      <c r="K64">
        <v>0.1</v>
      </c>
      <c r="L64" t="str">
        <f>IF(Table1[[#This Row],[physical_activity]]&gt;1.9,"better overall ","lower rate of depression")</f>
        <v>lower rate of depression</v>
      </c>
      <c r="M64" t="s">
        <v>19</v>
      </c>
      <c r="N64">
        <v>7</v>
      </c>
      <c r="O64">
        <v>2</v>
      </c>
      <c r="P64">
        <v>1</v>
      </c>
      <c r="Q64">
        <v>0</v>
      </c>
    </row>
    <row r="65" spans="1:17" x14ac:dyDescent="0.3">
      <c r="A65">
        <v>17</v>
      </c>
      <c r="B65" t="s">
        <v>13</v>
      </c>
      <c r="C65" t="str">
        <f>IF(Table1[[#This Row],[age]]&gt;18,"Adult","Teenage")</f>
        <v>Teenage</v>
      </c>
      <c r="D65">
        <v>2.5</v>
      </c>
      <c r="E65" t="s">
        <v>20</v>
      </c>
      <c r="F65">
        <v>6.7</v>
      </c>
      <c r="G65">
        <f>Table1[[#This Row],[sleep_hours]]-Table1[[#This Row],[daily_social_media_hours]]</f>
        <v>4.2</v>
      </c>
      <c r="H65">
        <v>2</v>
      </c>
      <c r="I65">
        <v>2.56</v>
      </c>
      <c r="J65" t="str" cm="1">
        <f t="array" ref="J65">_xlfn.IFS(Table1[[#This Row],[academic_performance]]&gt;1,"Need Improvement",Table1[[#This Row],[academic_performance]]&gt;2,"Good",Table1[[#This Row],[academic_performance]]&gt;3,"Very good",Table1[[#This Row],[academic_performance]]&gt;4,"Excellent")</f>
        <v>Need Improvement</v>
      </c>
      <c r="K65">
        <v>1.7</v>
      </c>
      <c r="L65" t="str">
        <f>IF(Table1[[#This Row],[physical_activity]]&gt;1.9,"better overall ","lower rate of depression")</f>
        <v>lower rate of depression</v>
      </c>
      <c r="M65" t="s">
        <v>18</v>
      </c>
      <c r="N65">
        <v>5</v>
      </c>
      <c r="O65">
        <v>7</v>
      </c>
      <c r="P65">
        <v>5</v>
      </c>
      <c r="Q65">
        <v>0</v>
      </c>
    </row>
    <row r="66" spans="1:17" x14ac:dyDescent="0.3">
      <c r="A66">
        <v>19</v>
      </c>
      <c r="B66" t="s">
        <v>16</v>
      </c>
      <c r="C66" t="str">
        <f>IF(Table1[[#This Row],[age]]&gt;18,"Adult","Teenage")</f>
        <v>Adult</v>
      </c>
      <c r="D66">
        <v>7.9</v>
      </c>
      <c r="E66" t="s">
        <v>17</v>
      </c>
      <c r="F66">
        <v>5.0999999999999996</v>
      </c>
      <c r="G66">
        <f>Table1[[#This Row],[sleep_hours]]-Table1[[#This Row],[daily_social_media_hours]]</f>
        <v>-2.8000000000000007</v>
      </c>
      <c r="H66">
        <v>1.7</v>
      </c>
      <c r="I66">
        <v>2.8</v>
      </c>
      <c r="J66" t="str" cm="1">
        <f t="array" ref="J66">_xlfn.IFS(Table1[[#This Row],[academic_performance]]&gt;1,"Need Improvement",Table1[[#This Row],[academic_performance]]&gt;2,"Good",Table1[[#This Row],[academic_performance]]&gt;3,"Very good",Table1[[#This Row],[academic_performance]]&gt;4,"Excellent")</f>
        <v>Need Improvement</v>
      </c>
      <c r="K66">
        <v>0.8</v>
      </c>
      <c r="L66" t="str">
        <f>IF(Table1[[#This Row],[physical_activity]]&gt;1.9,"better overall ","lower rate of depression")</f>
        <v>lower rate of depression</v>
      </c>
      <c r="M66" t="s">
        <v>15</v>
      </c>
      <c r="N66">
        <v>6</v>
      </c>
      <c r="O66">
        <v>1</v>
      </c>
      <c r="P66">
        <v>8</v>
      </c>
      <c r="Q66">
        <v>0</v>
      </c>
    </row>
    <row r="67" spans="1:17" x14ac:dyDescent="0.3">
      <c r="A67">
        <v>17</v>
      </c>
      <c r="B67" t="s">
        <v>13</v>
      </c>
      <c r="C67" t="str">
        <f>IF(Table1[[#This Row],[age]]&gt;18,"Adult","Teenage")</f>
        <v>Teenage</v>
      </c>
      <c r="D67">
        <v>2.7</v>
      </c>
      <c r="E67" t="s">
        <v>14</v>
      </c>
      <c r="F67">
        <v>8</v>
      </c>
      <c r="G67">
        <f>Table1[[#This Row],[sleep_hours]]-Table1[[#This Row],[daily_social_media_hours]]</f>
        <v>5.3</v>
      </c>
      <c r="H67">
        <v>2.6</v>
      </c>
      <c r="I67">
        <v>3.53</v>
      </c>
      <c r="J67" t="str" cm="1">
        <f t="array" ref="J67">_xlfn.IFS(Table1[[#This Row],[academic_performance]]&gt;1,"Need Improvement",Table1[[#This Row],[academic_performance]]&gt;2,"Good",Table1[[#This Row],[academic_performance]]&gt;3,"Very good",Table1[[#This Row],[academic_performance]]&gt;4,"Excellent")</f>
        <v>Need Improvement</v>
      </c>
      <c r="K67">
        <v>1.9</v>
      </c>
      <c r="L67" t="str">
        <f>IF(Table1[[#This Row],[physical_activity]]&gt;1.9,"better overall ","lower rate of depression")</f>
        <v>lower rate of depression</v>
      </c>
      <c r="M67" t="s">
        <v>18</v>
      </c>
      <c r="N67">
        <v>1</v>
      </c>
      <c r="O67">
        <v>8</v>
      </c>
      <c r="P67">
        <v>7</v>
      </c>
      <c r="Q67">
        <v>0</v>
      </c>
    </row>
    <row r="68" spans="1:17" x14ac:dyDescent="0.3">
      <c r="A68">
        <v>13</v>
      </c>
      <c r="B68" t="s">
        <v>13</v>
      </c>
      <c r="C68" t="str">
        <f>IF(Table1[[#This Row],[age]]&gt;18,"Adult","Teenage")</f>
        <v>Teenage</v>
      </c>
      <c r="D68">
        <v>3.1</v>
      </c>
      <c r="E68" t="s">
        <v>17</v>
      </c>
      <c r="F68">
        <v>8.1999999999999993</v>
      </c>
      <c r="G68">
        <f>Table1[[#This Row],[sleep_hours]]-Table1[[#This Row],[daily_social_media_hours]]</f>
        <v>5.0999999999999996</v>
      </c>
      <c r="H68">
        <v>1.5</v>
      </c>
      <c r="I68">
        <v>2.4500000000000002</v>
      </c>
      <c r="J68" t="str" cm="1">
        <f t="array" ref="J68">_xlfn.IFS(Table1[[#This Row],[academic_performance]]&gt;1,"Need Improvement",Table1[[#This Row],[academic_performance]]&gt;2,"Good",Table1[[#This Row],[academic_performance]]&gt;3,"Very good",Table1[[#This Row],[academic_performance]]&gt;4,"Excellent")</f>
        <v>Need Improvement</v>
      </c>
      <c r="K68">
        <v>0.3</v>
      </c>
      <c r="L68" t="str">
        <f>IF(Table1[[#This Row],[physical_activity]]&gt;1.9,"better overall ","lower rate of depression")</f>
        <v>lower rate of depression</v>
      </c>
      <c r="M68" t="s">
        <v>15</v>
      </c>
      <c r="N68">
        <v>5</v>
      </c>
      <c r="O68">
        <v>8</v>
      </c>
      <c r="P68">
        <v>6</v>
      </c>
      <c r="Q68">
        <v>0</v>
      </c>
    </row>
    <row r="69" spans="1:17" x14ac:dyDescent="0.3">
      <c r="A69">
        <v>17</v>
      </c>
      <c r="B69" t="s">
        <v>13</v>
      </c>
      <c r="C69" t="str">
        <f>IF(Table1[[#This Row],[age]]&gt;18,"Adult","Teenage")</f>
        <v>Teenage</v>
      </c>
      <c r="D69">
        <v>5.8</v>
      </c>
      <c r="E69" t="s">
        <v>20</v>
      </c>
      <c r="F69">
        <v>7.6</v>
      </c>
      <c r="G69">
        <f>Table1[[#This Row],[sleep_hours]]-Table1[[#This Row],[daily_social_media_hours]]</f>
        <v>1.7999999999999998</v>
      </c>
      <c r="H69">
        <v>0.7</v>
      </c>
      <c r="I69">
        <v>2.83</v>
      </c>
      <c r="J69" t="str" cm="1">
        <f t="array" ref="J69">_xlfn.IFS(Table1[[#This Row],[academic_performance]]&gt;1,"Need Improvement",Table1[[#This Row],[academic_performance]]&gt;2,"Good",Table1[[#This Row],[academic_performance]]&gt;3,"Very good",Table1[[#This Row],[academic_performance]]&gt;4,"Excellent")</f>
        <v>Need Improvement</v>
      </c>
      <c r="K69">
        <v>1</v>
      </c>
      <c r="L69" t="str">
        <f>IF(Table1[[#This Row],[physical_activity]]&gt;1.9,"better overall ","lower rate of depression")</f>
        <v>lower rate of depression</v>
      </c>
      <c r="M69" t="s">
        <v>19</v>
      </c>
      <c r="N69">
        <v>7</v>
      </c>
      <c r="O69">
        <v>6</v>
      </c>
      <c r="P69">
        <v>8</v>
      </c>
      <c r="Q69">
        <v>0</v>
      </c>
    </row>
    <row r="70" spans="1:17" x14ac:dyDescent="0.3">
      <c r="A70">
        <v>14</v>
      </c>
      <c r="B70" t="s">
        <v>16</v>
      </c>
      <c r="C70" t="str">
        <f>IF(Table1[[#This Row],[age]]&gt;18,"Adult","Teenage")</f>
        <v>Teenage</v>
      </c>
      <c r="D70">
        <v>3.9</v>
      </c>
      <c r="E70" t="s">
        <v>20</v>
      </c>
      <c r="F70">
        <v>7</v>
      </c>
      <c r="G70">
        <f>Table1[[#This Row],[sleep_hours]]-Table1[[#This Row],[daily_social_media_hours]]</f>
        <v>3.1</v>
      </c>
      <c r="H70">
        <v>2.8</v>
      </c>
      <c r="I70">
        <v>2.8</v>
      </c>
      <c r="J70" t="str" cm="1">
        <f t="array" ref="J70">_xlfn.IFS(Table1[[#This Row],[academic_performance]]&gt;1,"Need Improvement",Table1[[#This Row],[academic_performance]]&gt;2,"Good",Table1[[#This Row],[academic_performance]]&gt;3,"Very good",Table1[[#This Row],[academic_performance]]&gt;4,"Excellent")</f>
        <v>Need Improvement</v>
      </c>
      <c r="K70">
        <v>0.1</v>
      </c>
      <c r="L70" t="str">
        <f>IF(Table1[[#This Row],[physical_activity]]&gt;1.9,"better overall ","lower rate of depression")</f>
        <v>lower rate of depression</v>
      </c>
      <c r="M70" t="s">
        <v>15</v>
      </c>
      <c r="N70">
        <v>8</v>
      </c>
      <c r="O70">
        <v>2</v>
      </c>
      <c r="P70">
        <v>8</v>
      </c>
      <c r="Q70">
        <v>0</v>
      </c>
    </row>
    <row r="71" spans="1:17" x14ac:dyDescent="0.3">
      <c r="A71">
        <v>15</v>
      </c>
      <c r="B71" t="s">
        <v>13</v>
      </c>
      <c r="C71" t="str">
        <f>IF(Table1[[#This Row],[age]]&gt;18,"Adult","Teenage")</f>
        <v>Teenage</v>
      </c>
      <c r="D71">
        <v>7.5</v>
      </c>
      <c r="E71" t="s">
        <v>20</v>
      </c>
      <c r="F71">
        <v>7</v>
      </c>
      <c r="G71">
        <f>Table1[[#This Row],[sleep_hours]]-Table1[[#This Row],[daily_social_media_hours]]</f>
        <v>-0.5</v>
      </c>
      <c r="H71">
        <v>0.9</v>
      </c>
      <c r="I71">
        <v>3.48</v>
      </c>
      <c r="J71" t="str" cm="1">
        <f t="array" ref="J71">_xlfn.IFS(Table1[[#This Row],[academic_performance]]&gt;1,"Need Improvement",Table1[[#This Row],[academic_performance]]&gt;2,"Good",Table1[[#This Row],[academic_performance]]&gt;3,"Very good",Table1[[#This Row],[academic_performance]]&gt;4,"Excellent")</f>
        <v>Need Improvement</v>
      </c>
      <c r="K71">
        <v>1.1000000000000001</v>
      </c>
      <c r="L71" t="str">
        <f>IF(Table1[[#This Row],[physical_activity]]&gt;1.9,"better overall ","lower rate of depression")</f>
        <v>lower rate of depression</v>
      </c>
      <c r="M71" t="s">
        <v>18</v>
      </c>
      <c r="N71">
        <v>2</v>
      </c>
      <c r="O71">
        <v>2</v>
      </c>
      <c r="P71">
        <v>6</v>
      </c>
      <c r="Q71">
        <v>0</v>
      </c>
    </row>
    <row r="72" spans="1:17" x14ac:dyDescent="0.3">
      <c r="A72">
        <v>14</v>
      </c>
      <c r="B72" t="s">
        <v>13</v>
      </c>
      <c r="C72" t="str">
        <f>IF(Table1[[#This Row],[age]]&gt;18,"Adult","Teenage")</f>
        <v>Teenage</v>
      </c>
      <c r="D72">
        <v>5.2</v>
      </c>
      <c r="E72" t="s">
        <v>20</v>
      </c>
      <c r="F72">
        <v>6.7</v>
      </c>
      <c r="G72">
        <f>Table1[[#This Row],[sleep_hours]]-Table1[[#This Row],[daily_social_media_hours]]</f>
        <v>1.5</v>
      </c>
      <c r="H72">
        <v>2</v>
      </c>
      <c r="I72">
        <v>3.48</v>
      </c>
      <c r="J72" t="str" cm="1">
        <f t="array" ref="J72">_xlfn.IFS(Table1[[#This Row],[academic_performance]]&gt;1,"Need Improvement",Table1[[#This Row],[academic_performance]]&gt;2,"Good",Table1[[#This Row],[academic_performance]]&gt;3,"Very good",Table1[[#This Row],[academic_performance]]&gt;4,"Excellent")</f>
        <v>Need Improvement</v>
      </c>
      <c r="K72">
        <v>1</v>
      </c>
      <c r="L72" t="str">
        <f>IF(Table1[[#This Row],[physical_activity]]&gt;1.9,"better overall ","lower rate of depression")</f>
        <v>lower rate of depression</v>
      </c>
      <c r="M72" t="s">
        <v>19</v>
      </c>
      <c r="N72">
        <v>2</v>
      </c>
      <c r="O72">
        <v>1</v>
      </c>
      <c r="P72">
        <v>5</v>
      </c>
      <c r="Q72">
        <v>0</v>
      </c>
    </row>
    <row r="73" spans="1:17" x14ac:dyDescent="0.3">
      <c r="A73">
        <v>16</v>
      </c>
      <c r="B73" t="s">
        <v>16</v>
      </c>
      <c r="C73" t="str">
        <f>IF(Table1[[#This Row],[age]]&gt;18,"Adult","Teenage")</f>
        <v>Teenage</v>
      </c>
      <c r="D73">
        <v>3.1</v>
      </c>
      <c r="E73" t="s">
        <v>17</v>
      </c>
      <c r="F73">
        <v>5</v>
      </c>
      <c r="G73">
        <f>Table1[[#This Row],[sleep_hours]]-Table1[[#This Row],[daily_social_media_hours]]</f>
        <v>1.9</v>
      </c>
      <c r="H73">
        <v>1.1000000000000001</v>
      </c>
      <c r="I73">
        <v>2.73</v>
      </c>
      <c r="J73" t="str" cm="1">
        <f t="array" ref="J73">_xlfn.IFS(Table1[[#This Row],[academic_performance]]&gt;1,"Need Improvement",Table1[[#This Row],[academic_performance]]&gt;2,"Good",Table1[[#This Row],[academic_performance]]&gt;3,"Very good",Table1[[#This Row],[academic_performance]]&gt;4,"Excellent")</f>
        <v>Need Improvement</v>
      </c>
      <c r="K73">
        <v>1.6</v>
      </c>
      <c r="L73" t="str">
        <f>IF(Table1[[#This Row],[physical_activity]]&gt;1.9,"better overall ","lower rate of depression")</f>
        <v>lower rate of depression</v>
      </c>
      <c r="M73" t="s">
        <v>15</v>
      </c>
      <c r="N73">
        <v>2</v>
      </c>
      <c r="O73">
        <v>8</v>
      </c>
      <c r="P73">
        <v>1</v>
      </c>
      <c r="Q73">
        <v>0</v>
      </c>
    </row>
    <row r="74" spans="1:17" x14ac:dyDescent="0.3">
      <c r="A74">
        <v>16</v>
      </c>
      <c r="B74" t="s">
        <v>16</v>
      </c>
      <c r="C74" t="str">
        <f>IF(Table1[[#This Row],[age]]&gt;18,"Adult","Teenage")</f>
        <v>Teenage</v>
      </c>
      <c r="D74">
        <v>2</v>
      </c>
      <c r="E74" t="s">
        <v>14</v>
      </c>
      <c r="F74">
        <v>8.6999999999999993</v>
      </c>
      <c r="G74">
        <f>Table1[[#This Row],[sleep_hours]]-Table1[[#This Row],[daily_social_media_hours]]</f>
        <v>6.6999999999999993</v>
      </c>
      <c r="H74">
        <v>1.2</v>
      </c>
      <c r="I74">
        <v>3</v>
      </c>
      <c r="J74" t="str" cm="1">
        <f t="array" ref="J74">_xlfn.IFS(Table1[[#This Row],[academic_performance]]&gt;1,"Need Improvement",Table1[[#This Row],[academic_performance]]&gt;2,"Good",Table1[[#This Row],[academic_performance]]&gt;3,"Very good",Table1[[#This Row],[academic_performance]]&gt;4,"Excellent")</f>
        <v>Need Improvement</v>
      </c>
      <c r="K74">
        <v>0</v>
      </c>
      <c r="L74" t="str">
        <f>IF(Table1[[#This Row],[physical_activity]]&gt;1.9,"better overall ","lower rate of depression")</f>
        <v>lower rate of depression</v>
      </c>
      <c r="M74" t="s">
        <v>15</v>
      </c>
      <c r="N74">
        <v>8</v>
      </c>
      <c r="O74">
        <v>8</v>
      </c>
      <c r="P74">
        <v>4</v>
      </c>
      <c r="Q74">
        <v>0</v>
      </c>
    </row>
    <row r="75" spans="1:17" x14ac:dyDescent="0.3">
      <c r="A75">
        <v>14</v>
      </c>
      <c r="B75" t="s">
        <v>13</v>
      </c>
      <c r="C75" t="str">
        <f>IF(Table1[[#This Row],[age]]&gt;18,"Adult","Teenage")</f>
        <v>Teenage</v>
      </c>
      <c r="D75">
        <v>2.7</v>
      </c>
      <c r="E75" t="s">
        <v>14</v>
      </c>
      <c r="F75">
        <v>8.4</v>
      </c>
      <c r="G75">
        <f>Table1[[#This Row],[sleep_hours]]-Table1[[#This Row],[daily_social_media_hours]]</f>
        <v>5.7</v>
      </c>
      <c r="H75">
        <v>1.3</v>
      </c>
      <c r="I75">
        <v>2.0099999999999998</v>
      </c>
      <c r="J75" t="str" cm="1">
        <f t="array" ref="J75">_xlfn.IFS(Table1[[#This Row],[academic_performance]]&gt;1,"Need Improvement",Table1[[#This Row],[academic_performance]]&gt;2,"Good",Table1[[#This Row],[academic_performance]]&gt;3,"Very good",Table1[[#This Row],[academic_performance]]&gt;4,"Excellent")</f>
        <v>Need Improvement</v>
      </c>
      <c r="K75">
        <v>0.6</v>
      </c>
      <c r="L75" t="str">
        <f>IF(Table1[[#This Row],[physical_activity]]&gt;1.9,"better overall ","lower rate of depression")</f>
        <v>lower rate of depression</v>
      </c>
      <c r="M75" t="s">
        <v>15</v>
      </c>
      <c r="N75">
        <v>6</v>
      </c>
      <c r="O75">
        <v>3</v>
      </c>
      <c r="P75">
        <v>8</v>
      </c>
      <c r="Q75">
        <v>0</v>
      </c>
    </row>
    <row r="76" spans="1:17" x14ac:dyDescent="0.3">
      <c r="A76">
        <v>14</v>
      </c>
      <c r="B76" t="s">
        <v>13</v>
      </c>
      <c r="C76" t="str">
        <f>IF(Table1[[#This Row],[age]]&gt;18,"Adult","Teenage")</f>
        <v>Teenage</v>
      </c>
      <c r="D76">
        <v>1.5</v>
      </c>
      <c r="E76" t="s">
        <v>20</v>
      </c>
      <c r="F76">
        <v>4.3</v>
      </c>
      <c r="G76">
        <f>Table1[[#This Row],[sleep_hours]]-Table1[[#This Row],[daily_social_media_hours]]</f>
        <v>2.8</v>
      </c>
      <c r="H76">
        <v>2.1</v>
      </c>
      <c r="I76">
        <v>3.9</v>
      </c>
      <c r="J76" t="str" cm="1">
        <f t="array" ref="J76">_xlfn.IFS(Table1[[#This Row],[academic_performance]]&gt;1,"Need Improvement",Table1[[#This Row],[academic_performance]]&gt;2,"Good",Table1[[#This Row],[academic_performance]]&gt;3,"Very good",Table1[[#This Row],[academic_performance]]&gt;4,"Excellent")</f>
        <v>Need Improvement</v>
      </c>
      <c r="K76">
        <v>1.5</v>
      </c>
      <c r="L76" t="str">
        <f>IF(Table1[[#This Row],[physical_activity]]&gt;1.9,"better overall ","lower rate of depression")</f>
        <v>lower rate of depression</v>
      </c>
      <c r="M76" t="s">
        <v>15</v>
      </c>
      <c r="N76">
        <v>10</v>
      </c>
      <c r="O76">
        <v>2</v>
      </c>
      <c r="P76">
        <v>4</v>
      </c>
      <c r="Q76">
        <v>0</v>
      </c>
    </row>
    <row r="77" spans="1:17" x14ac:dyDescent="0.3">
      <c r="A77">
        <v>17</v>
      </c>
      <c r="B77" t="s">
        <v>16</v>
      </c>
      <c r="C77" t="str">
        <f>IF(Table1[[#This Row],[age]]&gt;18,"Adult","Teenage")</f>
        <v>Teenage</v>
      </c>
      <c r="D77">
        <v>6.9</v>
      </c>
      <c r="E77" t="s">
        <v>14</v>
      </c>
      <c r="F77">
        <v>8.1999999999999993</v>
      </c>
      <c r="G77">
        <f>Table1[[#This Row],[sleep_hours]]-Table1[[#This Row],[daily_social_media_hours]]</f>
        <v>1.2999999999999989</v>
      </c>
      <c r="H77">
        <v>0.8</v>
      </c>
      <c r="I77">
        <v>2.36</v>
      </c>
      <c r="J77" t="str" cm="1">
        <f t="array" ref="J77">_xlfn.IFS(Table1[[#This Row],[academic_performance]]&gt;1,"Need Improvement",Table1[[#This Row],[academic_performance]]&gt;2,"Good",Table1[[#This Row],[academic_performance]]&gt;3,"Very good",Table1[[#This Row],[academic_performance]]&gt;4,"Excellent")</f>
        <v>Need Improvement</v>
      </c>
      <c r="K77">
        <v>0</v>
      </c>
      <c r="L77" t="str">
        <f>IF(Table1[[#This Row],[physical_activity]]&gt;1.9,"better overall ","lower rate of depression")</f>
        <v>lower rate of depression</v>
      </c>
      <c r="M77" t="s">
        <v>19</v>
      </c>
      <c r="N77">
        <v>10</v>
      </c>
      <c r="O77">
        <v>10</v>
      </c>
      <c r="P77">
        <v>7</v>
      </c>
      <c r="Q77">
        <v>0</v>
      </c>
    </row>
    <row r="78" spans="1:17" x14ac:dyDescent="0.3">
      <c r="A78">
        <v>13</v>
      </c>
      <c r="B78" t="s">
        <v>13</v>
      </c>
      <c r="C78" t="str">
        <f>IF(Table1[[#This Row],[age]]&gt;18,"Adult","Teenage")</f>
        <v>Teenage</v>
      </c>
      <c r="D78">
        <v>1.1000000000000001</v>
      </c>
      <c r="E78" t="s">
        <v>17</v>
      </c>
      <c r="F78">
        <v>7.1</v>
      </c>
      <c r="G78">
        <f>Table1[[#This Row],[sleep_hours]]-Table1[[#This Row],[daily_social_media_hours]]</f>
        <v>6</v>
      </c>
      <c r="H78">
        <v>1.8</v>
      </c>
      <c r="I78">
        <v>2.5499999999999998</v>
      </c>
      <c r="J78" t="str" cm="1">
        <f t="array" ref="J78">_xlfn.IFS(Table1[[#This Row],[academic_performance]]&gt;1,"Need Improvement",Table1[[#This Row],[academic_performance]]&gt;2,"Good",Table1[[#This Row],[academic_performance]]&gt;3,"Very good",Table1[[#This Row],[academic_performance]]&gt;4,"Excellent")</f>
        <v>Need Improvement</v>
      </c>
      <c r="K78">
        <v>0.8</v>
      </c>
      <c r="L78" t="str">
        <f>IF(Table1[[#This Row],[physical_activity]]&gt;1.9,"better overall ","lower rate of depression")</f>
        <v>lower rate of depression</v>
      </c>
      <c r="M78" t="s">
        <v>18</v>
      </c>
      <c r="N78">
        <v>5</v>
      </c>
      <c r="O78">
        <v>5</v>
      </c>
      <c r="P78">
        <v>10</v>
      </c>
      <c r="Q78">
        <v>0</v>
      </c>
    </row>
    <row r="79" spans="1:17" x14ac:dyDescent="0.3">
      <c r="A79">
        <v>13</v>
      </c>
      <c r="B79" t="s">
        <v>13</v>
      </c>
      <c r="C79" t="str">
        <f>IF(Table1[[#This Row],[age]]&gt;18,"Adult","Teenage")</f>
        <v>Teenage</v>
      </c>
      <c r="D79">
        <v>3.4</v>
      </c>
      <c r="E79" t="s">
        <v>17</v>
      </c>
      <c r="F79">
        <v>4.4000000000000004</v>
      </c>
      <c r="G79">
        <f>Table1[[#This Row],[sleep_hours]]-Table1[[#This Row],[daily_social_media_hours]]</f>
        <v>1.0000000000000004</v>
      </c>
      <c r="H79">
        <v>0.6</v>
      </c>
      <c r="I79">
        <v>3.41</v>
      </c>
      <c r="J79" t="str" cm="1">
        <f t="array" ref="J79">_xlfn.IFS(Table1[[#This Row],[academic_performance]]&gt;1,"Need Improvement",Table1[[#This Row],[academic_performance]]&gt;2,"Good",Table1[[#This Row],[academic_performance]]&gt;3,"Very good",Table1[[#This Row],[academic_performance]]&gt;4,"Excellent")</f>
        <v>Need Improvement</v>
      </c>
      <c r="K79">
        <v>0.2</v>
      </c>
      <c r="L79" t="str">
        <f>IF(Table1[[#This Row],[physical_activity]]&gt;1.9,"better overall ","lower rate of depression")</f>
        <v>lower rate of depression</v>
      </c>
      <c r="M79" t="s">
        <v>15</v>
      </c>
      <c r="N79">
        <v>8</v>
      </c>
      <c r="O79">
        <v>6</v>
      </c>
      <c r="P79">
        <v>3</v>
      </c>
      <c r="Q79">
        <v>0</v>
      </c>
    </row>
    <row r="80" spans="1:17" x14ac:dyDescent="0.3">
      <c r="A80">
        <v>15</v>
      </c>
      <c r="B80" t="s">
        <v>13</v>
      </c>
      <c r="C80" t="str">
        <f>IF(Table1[[#This Row],[age]]&gt;18,"Adult","Teenage")</f>
        <v>Teenage</v>
      </c>
      <c r="D80">
        <v>6.7</v>
      </c>
      <c r="E80" t="s">
        <v>20</v>
      </c>
      <c r="F80">
        <v>4.5</v>
      </c>
      <c r="G80">
        <f>Table1[[#This Row],[sleep_hours]]-Table1[[#This Row],[daily_social_media_hours]]</f>
        <v>-2.2000000000000002</v>
      </c>
      <c r="H80">
        <v>2.1</v>
      </c>
      <c r="I80">
        <v>3.71</v>
      </c>
      <c r="J80" t="str" cm="1">
        <f t="array" ref="J80">_xlfn.IFS(Table1[[#This Row],[academic_performance]]&gt;1,"Need Improvement",Table1[[#This Row],[academic_performance]]&gt;2,"Good",Table1[[#This Row],[academic_performance]]&gt;3,"Very good",Table1[[#This Row],[academic_performance]]&gt;4,"Excellent")</f>
        <v>Need Improvement</v>
      </c>
      <c r="K80">
        <v>1.3</v>
      </c>
      <c r="L80" t="str">
        <f>IF(Table1[[#This Row],[physical_activity]]&gt;1.9,"better overall ","lower rate of depression")</f>
        <v>lower rate of depression</v>
      </c>
      <c r="M80" t="s">
        <v>18</v>
      </c>
      <c r="N80">
        <v>3</v>
      </c>
      <c r="O80">
        <v>3</v>
      </c>
      <c r="P80">
        <v>3</v>
      </c>
      <c r="Q80">
        <v>0</v>
      </c>
    </row>
    <row r="81" spans="1:17" x14ac:dyDescent="0.3">
      <c r="A81">
        <v>18</v>
      </c>
      <c r="B81" t="s">
        <v>13</v>
      </c>
      <c r="C81" t="str">
        <f>IF(Table1[[#This Row],[age]]&gt;18,"Adult","Teenage")</f>
        <v>Teenage</v>
      </c>
      <c r="D81">
        <v>1.1000000000000001</v>
      </c>
      <c r="E81" t="s">
        <v>20</v>
      </c>
      <c r="F81">
        <v>7.2</v>
      </c>
      <c r="G81">
        <f>Table1[[#This Row],[sleep_hours]]-Table1[[#This Row],[daily_social_media_hours]]</f>
        <v>6.1</v>
      </c>
      <c r="H81">
        <v>1</v>
      </c>
      <c r="I81">
        <v>3.13</v>
      </c>
      <c r="J81" t="str" cm="1">
        <f t="array" ref="J81">_xlfn.IFS(Table1[[#This Row],[academic_performance]]&gt;1,"Need Improvement",Table1[[#This Row],[academic_performance]]&gt;2,"Good",Table1[[#This Row],[academic_performance]]&gt;3,"Very good",Table1[[#This Row],[academic_performance]]&gt;4,"Excellent")</f>
        <v>Need Improvement</v>
      </c>
      <c r="K81">
        <v>0.6</v>
      </c>
      <c r="L81" t="str">
        <f>IF(Table1[[#This Row],[physical_activity]]&gt;1.9,"better overall ","lower rate of depression")</f>
        <v>lower rate of depression</v>
      </c>
      <c r="M81" t="s">
        <v>19</v>
      </c>
      <c r="N81">
        <v>2</v>
      </c>
      <c r="O81">
        <v>1</v>
      </c>
      <c r="P81">
        <v>4</v>
      </c>
      <c r="Q81">
        <v>0</v>
      </c>
    </row>
    <row r="82" spans="1:17" x14ac:dyDescent="0.3">
      <c r="A82">
        <v>18</v>
      </c>
      <c r="B82" t="s">
        <v>16</v>
      </c>
      <c r="C82" t="str">
        <f>IF(Table1[[#This Row],[age]]&gt;18,"Adult","Teenage")</f>
        <v>Teenage</v>
      </c>
      <c r="D82">
        <v>7.4</v>
      </c>
      <c r="E82" t="s">
        <v>14</v>
      </c>
      <c r="F82">
        <v>7.5</v>
      </c>
      <c r="G82">
        <f>Table1[[#This Row],[sleep_hours]]-Table1[[#This Row],[daily_social_media_hours]]</f>
        <v>9.9999999999999645E-2</v>
      </c>
      <c r="H82">
        <v>2.2999999999999998</v>
      </c>
      <c r="I82">
        <v>2.39</v>
      </c>
      <c r="J82" t="str" cm="1">
        <f t="array" ref="J82">_xlfn.IFS(Table1[[#This Row],[academic_performance]]&gt;1,"Need Improvement",Table1[[#This Row],[academic_performance]]&gt;2,"Good",Table1[[#This Row],[academic_performance]]&gt;3,"Very good",Table1[[#This Row],[academic_performance]]&gt;4,"Excellent")</f>
        <v>Need Improvement</v>
      </c>
      <c r="K82">
        <v>0.9</v>
      </c>
      <c r="L82" t="str">
        <f>IF(Table1[[#This Row],[physical_activity]]&gt;1.9,"better overall ","lower rate of depression")</f>
        <v>lower rate of depression</v>
      </c>
      <c r="M82" t="s">
        <v>18</v>
      </c>
      <c r="N82">
        <v>4</v>
      </c>
      <c r="O82">
        <v>1</v>
      </c>
      <c r="P82">
        <v>4</v>
      </c>
      <c r="Q82">
        <v>0</v>
      </c>
    </row>
    <row r="83" spans="1:17" x14ac:dyDescent="0.3">
      <c r="A83">
        <v>19</v>
      </c>
      <c r="B83" t="s">
        <v>16</v>
      </c>
      <c r="C83" t="str">
        <f>IF(Table1[[#This Row],[age]]&gt;18,"Adult","Teenage")</f>
        <v>Adult</v>
      </c>
      <c r="D83">
        <v>4.8</v>
      </c>
      <c r="E83" t="s">
        <v>17</v>
      </c>
      <c r="F83">
        <v>6</v>
      </c>
      <c r="G83">
        <f>Table1[[#This Row],[sleep_hours]]-Table1[[#This Row],[daily_social_media_hours]]</f>
        <v>1.2000000000000002</v>
      </c>
      <c r="H83">
        <v>1.5</v>
      </c>
      <c r="I83">
        <v>2.61</v>
      </c>
      <c r="J83" t="str" cm="1">
        <f t="array" ref="J83">_xlfn.IFS(Table1[[#This Row],[academic_performance]]&gt;1,"Need Improvement",Table1[[#This Row],[academic_performance]]&gt;2,"Good",Table1[[#This Row],[academic_performance]]&gt;3,"Very good",Table1[[#This Row],[academic_performance]]&gt;4,"Excellent")</f>
        <v>Need Improvement</v>
      </c>
      <c r="K83">
        <v>1.2</v>
      </c>
      <c r="L83" t="str">
        <f>IF(Table1[[#This Row],[physical_activity]]&gt;1.9,"better overall ","lower rate of depression")</f>
        <v>lower rate of depression</v>
      </c>
      <c r="M83" t="s">
        <v>18</v>
      </c>
      <c r="N83">
        <v>2</v>
      </c>
      <c r="O83">
        <v>2</v>
      </c>
      <c r="P83">
        <v>6</v>
      </c>
      <c r="Q83">
        <v>0</v>
      </c>
    </row>
    <row r="84" spans="1:17" x14ac:dyDescent="0.3">
      <c r="A84">
        <v>14</v>
      </c>
      <c r="B84" t="s">
        <v>13</v>
      </c>
      <c r="C84" t="str">
        <f>IF(Table1[[#This Row],[age]]&gt;18,"Adult","Teenage")</f>
        <v>Teenage</v>
      </c>
      <c r="D84">
        <v>1.2</v>
      </c>
      <c r="E84" t="s">
        <v>20</v>
      </c>
      <c r="F84">
        <v>5.2</v>
      </c>
      <c r="G84">
        <f>Table1[[#This Row],[sleep_hours]]-Table1[[#This Row],[daily_social_media_hours]]</f>
        <v>4</v>
      </c>
      <c r="H84">
        <v>2.2000000000000002</v>
      </c>
      <c r="I84">
        <v>2.19</v>
      </c>
      <c r="J84" t="str" cm="1">
        <f t="array" ref="J84">_xlfn.IFS(Table1[[#This Row],[academic_performance]]&gt;1,"Need Improvement",Table1[[#This Row],[academic_performance]]&gt;2,"Good",Table1[[#This Row],[academic_performance]]&gt;3,"Very good",Table1[[#This Row],[academic_performance]]&gt;4,"Excellent")</f>
        <v>Need Improvement</v>
      </c>
      <c r="K84">
        <v>1.9</v>
      </c>
      <c r="L84" t="str">
        <f>IF(Table1[[#This Row],[physical_activity]]&gt;1.9,"better overall ","lower rate of depression")</f>
        <v>lower rate of depression</v>
      </c>
      <c r="M84" t="s">
        <v>19</v>
      </c>
      <c r="N84">
        <v>9</v>
      </c>
      <c r="O84">
        <v>9</v>
      </c>
      <c r="P84">
        <v>4</v>
      </c>
      <c r="Q84">
        <v>0</v>
      </c>
    </row>
    <row r="85" spans="1:17" x14ac:dyDescent="0.3">
      <c r="A85">
        <v>13</v>
      </c>
      <c r="B85" t="s">
        <v>13</v>
      </c>
      <c r="C85" t="str">
        <f>IF(Table1[[#This Row],[age]]&gt;18,"Adult","Teenage")</f>
        <v>Teenage</v>
      </c>
      <c r="D85">
        <v>7.4</v>
      </c>
      <c r="E85" t="s">
        <v>14</v>
      </c>
      <c r="F85">
        <v>5.6</v>
      </c>
      <c r="G85">
        <f>Table1[[#This Row],[sleep_hours]]-Table1[[#This Row],[daily_social_media_hours]]</f>
        <v>-1.8000000000000007</v>
      </c>
      <c r="H85">
        <v>1.4</v>
      </c>
      <c r="I85">
        <v>2.95</v>
      </c>
      <c r="J85" t="str" cm="1">
        <f t="array" ref="J85">_xlfn.IFS(Table1[[#This Row],[academic_performance]]&gt;1,"Need Improvement",Table1[[#This Row],[academic_performance]]&gt;2,"Good",Table1[[#This Row],[academic_performance]]&gt;3,"Very good",Table1[[#This Row],[academic_performance]]&gt;4,"Excellent")</f>
        <v>Need Improvement</v>
      </c>
      <c r="K85">
        <v>1.7</v>
      </c>
      <c r="L85" t="str">
        <f>IF(Table1[[#This Row],[physical_activity]]&gt;1.9,"better overall ","lower rate of depression")</f>
        <v>lower rate of depression</v>
      </c>
      <c r="M85" t="s">
        <v>18</v>
      </c>
      <c r="N85">
        <v>8</v>
      </c>
      <c r="O85">
        <v>5</v>
      </c>
      <c r="P85">
        <v>5</v>
      </c>
      <c r="Q85">
        <v>0</v>
      </c>
    </row>
    <row r="86" spans="1:17" x14ac:dyDescent="0.3">
      <c r="A86">
        <v>16</v>
      </c>
      <c r="B86" t="s">
        <v>16</v>
      </c>
      <c r="C86" t="str">
        <f>IF(Table1[[#This Row],[age]]&gt;18,"Adult","Teenage")</f>
        <v>Teenage</v>
      </c>
      <c r="D86">
        <v>2.6</v>
      </c>
      <c r="E86" t="s">
        <v>20</v>
      </c>
      <c r="F86">
        <v>8.6</v>
      </c>
      <c r="G86">
        <f>Table1[[#This Row],[sleep_hours]]-Table1[[#This Row],[daily_social_media_hours]]</f>
        <v>6</v>
      </c>
      <c r="H86">
        <v>1.3</v>
      </c>
      <c r="I86">
        <v>3.64</v>
      </c>
      <c r="J86" t="str" cm="1">
        <f t="array" ref="J86">_xlfn.IFS(Table1[[#This Row],[academic_performance]]&gt;1,"Need Improvement",Table1[[#This Row],[academic_performance]]&gt;2,"Good",Table1[[#This Row],[academic_performance]]&gt;3,"Very good",Table1[[#This Row],[academic_performance]]&gt;4,"Excellent")</f>
        <v>Need Improvement</v>
      </c>
      <c r="K86">
        <v>1.6</v>
      </c>
      <c r="L86" t="str">
        <f>IF(Table1[[#This Row],[physical_activity]]&gt;1.9,"better overall ","lower rate of depression")</f>
        <v>lower rate of depression</v>
      </c>
      <c r="M86" t="s">
        <v>18</v>
      </c>
      <c r="N86">
        <v>5</v>
      </c>
      <c r="O86">
        <v>3</v>
      </c>
      <c r="P86">
        <v>1</v>
      </c>
      <c r="Q86">
        <v>0</v>
      </c>
    </row>
    <row r="87" spans="1:17" x14ac:dyDescent="0.3">
      <c r="A87">
        <v>17</v>
      </c>
      <c r="B87" t="s">
        <v>16</v>
      </c>
      <c r="C87" t="str">
        <f>IF(Table1[[#This Row],[age]]&gt;18,"Adult","Teenage")</f>
        <v>Teenage</v>
      </c>
      <c r="D87">
        <v>5</v>
      </c>
      <c r="E87" t="s">
        <v>20</v>
      </c>
      <c r="F87">
        <v>9</v>
      </c>
      <c r="G87">
        <f>Table1[[#This Row],[sleep_hours]]-Table1[[#This Row],[daily_social_media_hours]]</f>
        <v>4</v>
      </c>
      <c r="H87">
        <v>2.5</v>
      </c>
      <c r="I87">
        <v>3.4</v>
      </c>
      <c r="J87" t="str" cm="1">
        <f t="array" ref="J87">_xlfn.IFS(Table1[[#This Row],[academic_performance]]&gt;1,"Need Improvement",Table1[[#This Row],[academic_performance]]&gt;2,"Good",Table1[[#This Row],[academic_performance]]&gt;3,"Very good",Table1[[#This Row],[academic_performance]]&gt;4,"Excellent")</f>
        <v>Need Improvement</v>
      </c>
      <c r="K87">
        <v>0.9</v>
      </c>
      <c r="L87" t="str">
        <f>IF(Table1[[#This Row],[physical_activity]]&gt;1.9,"better overall ","lower rate of depression")</f>
        <v>lower rate of depression</v>
      </c>
      <c r="M87" t="s">
        <v>18</v>
      </c>
      <c r="N87">
        <v>8</v>
      </c>
      <c r="O87">
        <v>10</v>
      </c>
      <c r="P87">
        <v>5</v>
      </c>
      <c r="Q87">
        <v>0</v>
      </c>
    </row>
    <row r="88" spans="1:17" x14ac:dyDescent="0.3">
      <c r="A88">
        <v>18</v>
      </c>
      <c r="B88" t="s">
        <v>13</v>
      </c>
      <c r="C88" t="str">
        <f>IF(Table1[[#This Row],[age]]&gt;18,"Adult","Teenage")</f>
        <v>Teenage</v>
      </c>
      <c r="D88">
        <v>7.5</v>
      </c>
      <c r="E88" t="s">
        <v>14</v>
      </c>
      <c r="F88">
        <v>7.4</v>
      </c>
      <c r="G88">
        <f>Table1[[#This Row],[sleep_hours]]-Table1[[#This Row],[daily_social_media_hours]]</f>
        <v>-9.9999999999999645E-2</v>
      </c>
      <c r="H88">
        <v>1.8</v>
      </c>
      <c r="I88">
        <v>3.47</v>
      </c>
      <c r="J88" t="str" cm="1">
        <f t="array" ref="J88">_xlfn.IFS(Table1[[#This Row],[academic_performance]]&gt;1,"Need Improvement",Table1[[#This Row],[academic_performance]]&gt;2,"Good",Table1[[#This Row],[academic_performance]]&gt;3,"Very good",Table1[[#This Row],[academic_performance]]&gt;4,"Excellent")</f>
        <v>Need Improvement</v>
      </c>
      <c r="K88">
        <v>0</v>
      </c>
      <c r="L88" t="str">
        <f>IF(Table1[[#This Row],[physical_activity]]&gt;1.9,"better overall ","lower rate of depression")</f>
        <v>lower rate of depression</v>
      </c>
      <c r="M88" t="s">
        <v>15</v>
      </c>
      <c r="N88">
        <v>9</v>
      </c>
      <c r="O88">
        <v>4</v>
      </c>
      <c r="P88">
        <v>2</v>
      </c>
      <c r="Q88">
        <v>0</v>
      </c>
    </row>
    <row r="89" spans="1:17" x14ac:dyDescent="0.3">
      <c r="A89">
        <v>17</v>
      </c>
      <c r="B89" t="s">
        <v>16</v>
      </c>
      <c r="C89" t="str">
        <f>IF(Table1[[#This Row],[age]]&gt;18,"Adult","Teenage")</f>
        <v>Teenage</v>
      </c>
      <c r="D89">
        <v>5.4</v>
      </c>
      <c r="E89" t="s">
        <v>20</v>
      </c>
      <c r="F89">
        <v>5.7</v>
      </c>
      <c r="G89">
        <f>Table1[[#This Row],[sleep_hours]]-Table1[[#This Row],[daily_social_media_hours]]</f>
        <v>0.29999999999999982</v>
      </c>
      <c r="H89">
        <v>2.5</v>
      </c>
      <c r="I89">
        <v>3.13</v>
      </c>
      <c r="J89" t="str" cm="1">
        <f t="array" ref="J89">_xlfn.IFS(Table1[[#This Row],[academic_performance]]&gt;1,"Need Improvement",Table1[[#This Row],[academic_performance]]&gt;2,"Good",Table1[[#This Row],[academic_performance]]&gt;3,"Very good",Table1[[#This Row],[academic_performance]]&gt;4,"Excellent")</f>
        <v>Need Improvement</v>
      </c>
      <c r="K89">
        <v>1.9</v>
      </c>
      <c r="L89" t="str">
        <f>IF(Table1[[#This Row],[physical_activity]]&gt;1.9,"better overall ","lower rate of depression")</f>
        <v>lower rate of depression</v>
      </c>
      <c r="M89" t="s">
        <v>19</v>
      </c>
      <c r="N89">
        <v>5</v>
      </c>
      <c r="O89">
        <v>10</v>
      </c>
      <c r="P89">
        <v>3</v>
      </c>
      <c r="Q89">
        <v>0</v>
      </c>
    </row>
    <row r="90" spans="1:17" x14ac:dyDescent="0.3">
      <c r="A90">
        <v>17</v>
      </c>
      <c r="B90" t="s">
        <v>16</v>
      </c>
      <c r="C90" t="str">
        <f>IF(Table1[[#This Row],[age]]&gt;18,"Adult","Teenage")</f>
        <v>Teenage</v>
      </c>
      <c r="D90">
        <v>5.6</v>
      </c>
      <c r="E90" t="s">
        <v>14</v>
      </c>
      <c r="F90">
        <v>5.3</v>
      </c>
      <c r="G90">
        <f>Table1[[#This Row],[sleep_hours]]-Table1[[#This Row],[daily_social_media_hours]]</f>
        <v>-0.29999999999999982</v>
      </c>
      <c r="H90">
        <v>1.7</v>
      </c>
      <c r="I90">
        <v>2.77</v>
      </c>
      <c r="J90" t="str" cm="1">
        <f t="array" ref="J90">_xlfn.IFS(Table1[[#This Row],[academic_performance]]&gt;1,"Need Improvement",Table1[[#This Row],[academic_performance]]&gt;2,"Good",Table1[[#This Row],[academic_performance]]&gt;3,"Very good",Table1[[#This Row],[academic_performance]]&gt;4,"Excellent")</f>
        <v>Need Improvement</v>
      </c>
      <c r="K90">
        <v>0.9</v>
      </c>
      <c r="L90" t="str">
        <f>IF(Table1[[#This Row],[physical_activity]]&gt;1.9,"better overall ","lower rate of depression")</f>
        <v>lower rate of depression</v>
      </c>
      <c r="M90" t="s">
        <v>19</v>
      </c>
      <c r="N90">
        <v>8</v>
      </c>
      <c r="O90">
        <v>4</v>
      </c>
      <c r="P90">
        <v>8</v>
      </c>
      <c r="Q90">
        <v>0</v>
      </c>
    </row>
    <row r="91" spans="1:17" x14ac:dyDescent="0.3">
      <c r="A91">
        <v>18</v>
      </c>
      <c r="B91" t="s">
        <v>13</v>
      </c>
      <c r="C91" t="str">
        <f>IF(Table1[[#This Row],[age]]&gt;18,"Adult","Teenage")</f>
        <v>Teenage</v>
      </c>
      <c r="D91">
        <v>6.2</v>
      </c>
      <c r="E91" t="s">
        <v>14</v>
      </c>
      <c r="F91">
        <v>4.0999999999999996</v>
      </c>
      <c r="G91">
        <f>Table1[[#This Row],[sleep_hours]]-Table1[[#This Row],[daily_social_media_hours]]</f>
        <v>-2.1000000000000005</v>
      </c>
      <c r="H91">
        <v>2.8</v>
      </c>
      <c r="I91">
        <v>3.41</v>
      </c>
      <c r="J91" t="str" cm="1">
        <f t="array" ref="J91">_xlfn.IFS(Table1[[#This Row],[academic_performance]]&gt;1,"Need Improvement",Table1[[#This Row],[academic_performance]]&gt;2,"Good",Table1[[#This Row],[academic_performance]]&gt;3,"Very good",Table1[[#This Row],[academic_performance]]&gt;4,"Excellent")</f>
        <v>Need Improvement</v>
      </c>
      <c r="K91">
        <v>1.1000000000000001</v>
      </c>
      <c r="L91" t="str">
        <f>IF(Table1[[#This Row],[physical_activity]]&gt;1.9,"better overall ","lower rate of depression")</f>
        <v>lower rate of depression</v>
      </c>
      <c r="M91" t="s">
        <v>19</v>
      </c>
      <c r="N91">
        <v>7</v>
      </c>
      <c r="O91">
        <v>8</v>
      </c>
      <c r="P91">
        <v>1</v>
      </c>
      <c r="Q91">
        <v>1</v>
      </c>
    </row>
    <row r="92" spans="1:17" x14ac:dyDescent="0.3">
      <c r="A92">
        <v>17</v>
      </c>
      <c r="B92" t="s">
        <v>16</v>
      </c>
      <c r="C92" t="str">
        <f>IF(Table1[[#This Row],[age]]&gt;18,"Adult","Teenage")</f>
        <v>Teenage</v>
      </c>
      <c r="D92">
        <v>4.7</v>
      </c>
      <c r="E92" t="s">
        <v>14</v>
      </c>
      <c r="F92">
        <v>4.7</v>
      </c>
      <c r="G92">
        <f>Table1[[#This Row],[sleep_hours]]-Table1[[#This Row],[daily_social_media_hours]]</f>
        <v>0</v>
      </c>
      <c r="H92">
        <v>2.4</v>
      </c>
      <c r="I92">
        <v>3.94</v>
      </c>
      <c r="J92" t="str" cm="1">
        <f t="array" ref="J92">_xlfn.IFS(Table1[[#This Row],[academic_performance]]&gt;1,"Need Improvement",Table1[[#This Row],[academic_performance]]&gt;2,"Good",Table1[[#This Row],[academic_performance]]&gt;3,"Very good",Table1[[#This Row],[academic_performance]]&gt;4,"Excellent")</f>
        <v>Need Improvement</v>
      </c>
      <c r="K92">
        <v>0</v>
      </c>
      <c r="L92" t="str">
        <f>IF(Table1[[#This Row],[physical_activity]]&gt;1.9,"better overall ","lower rate of depression")</f>
        <v>lower rate of depression</v>
      </c>
      <c r="M92" t="s">
        <v>19</v>
      </c>
      <c r="N92">
        <v>10</v>
      </c>
      <c r="O92">
        <v>5</v>
      </c>
      <c r="P92">
        <v>8</v>
      </c>
      <c r="Q92">
        <v>0</v>
      </c>
    </row>
    <row r="93" spans="1:17" x14ac:dyDescent="0.3">
      <c r="A93">
        <v>18</v>
      </c>
      <c r="B93" t="s">
        <v>16</v>
      </c>
      <c r="C93" t="str">
        <f>IF(Table1[[#This Row],[age]]&gt;18,"Adult","Teenage")</f>
        <v>Teenage</v>
      </c>
      <c r="D93">
        <v>4</v>
      </c>
      <c r="E93" t="s">
        <v>14</v>
      </c>
      <c r="F93">
        <v>4.5999999999999996</v>
      </c>
      <c r="G93">
        <f>Table1[[#This Row],[sleep_hours]]-Table1[[#This Row],[daily_social_media_hours]]</f>
        <v>0.59999999999999964</v>
      </c>
      <c r="H93">
        <v>2.2000000000000002</v>
      </c>
      <c r="I93">
        <v>3.7</v>
      </c>
      <c r="J93" t="str" cm="1">
        <f t="array" ref="J93">_xlfn.IFS(Table1[[#This Row],[academic_performance]]&gt;1,"Need Improvement",Table1[[#This Row],[academic_performance]]&gt;2,"Good",Table1[[#This Row],[academic_performance]]&gt;3,"Very good",Table1[[#This Row],[academic_performance]]&gt;4,"Excellent")</f>
        <v>Need Improvement</v>
      </c>
      <c r="K93">
        <v>0.6</v>
      </c>
      <c r="L93" t="str">
        <f>IF(Table1[[#This Row],[physical_activity]]&gt;1.9,"better overall ","lower rate of depression")</f>
        <v>lower rate of depression</v>
      </c>
      <c r="M93" t="s">
        <v>19</v>
      </c>
      <c r="N93">
        <v>4</v>
      </c>
      <c r="O93">
        <v>1</v>
      </c>
      <c r="P93">
        <v>4</v>
      </c>
      <c r="Q93">
        <v>0</v>
      </c>
    </row>
    <row r="94" spans="1:17" x14ac:dyDescent="0.3">
      <c r="A94">
        <v>18</v>
      </c>
      <c r="B94" t="s">
        <v>13</v>
      </c>
      <c r="C94" t="str">
        <f>IF(Table1[[#This Row],[age]]&gt;18,"Adult","Teenage")</f>
        <v>Teenage</v>
      </c>
      <c r="D94">
        <v>6.2</v>
      </c>
      <c r="E94" t="s">
        <v>17</v>
      </c>
      <c r="F94">
        <v>8.6</v>
      </c>
      <c r="G94">
        <f>Table1[[#This Row],[sleep_hours]]-Table1[[#This Row],[daily_social_media_hours]]</f>
        <v>2.3999999999999995</v>
      </c>
      <c r="H94">
        <v>1.5</v>
      </c>
      <c r="I94">
        <v>3.22</v>
      </c>
      <c r="J94" t="str" cm="1">
        <f t="array" ref="J94">_xlfn.IFS(Table1[[#This Row],[academic_performance]]&gt;1,"Need Improvement",Table1[[#This Row],[academic_performance]]&gt;2,"Good",Table1[[#This Row],[academic_performance]]&gt;3,"Very good",Table1[[#This Row],[academic_performance]]&gt;4,"Excellent")</f>
        <v>Need Improvement</v>
      </c>
      <c r="K94">
        <v>1.6</v>
      </c>
      <c r="L94" t="str">
        <f>IF(Table1[[#This Row],[physical_activity]]&gt;1.9,"better overall ","lower rate of depression")</f>
        <v>lower rate of depression</v>
      </c>
      <c r="M94" t="s">
        <v>15</v>
      </c>
      <c r="N94">
        <v>4</v>
      </c>
      <c r="O94">
        <v>5</v>
      </c>
      <c r="P94">
        <v>7</v>
      </c>
      <c r="Q94">
        <v>0</v>
      </c>
    </row>
    <row r="95" spans="1:17" x14ac:dyDescent="0.3">
      <c r="A95">
        <v>17</v>
      </c>
      <c r="B95" t="s">
        <v>16</v>
      </c>
      <c r="C95" t="str">
        <f>IF(Table1[[#This Row],[age]]&gt;18,"Adult","Teenage")</f>
        <v>Teenage</v>
      </c>
      <c r="D95">
        <v>5.6</v>
      </c>
      <c r="E95" t="s">
        <v>17</v>
      </c>
      <c r="F95">
        <v>6.8</v>
      </c>
      <c r="G95">
        <f>Table1[[#This Row],[sleep_hours]]-Table1[[#This Row],[daily_social_media_hours]]</f>
        <v>1.2000000000000002</v>
      </c>
      <c r="H95">
        <v>2</v>
      </c>
      <c r="I95">
        <v>2.2200000000000002</v>
      </c>
      <c r="J95" t="str" cm="1">
        <f t="array" ref="J95">_xlfn.IFS(Table1[[#This Row],[academic_performance]]&gt;1,"Need Improvement",Table1[[#This Row],[academic_performance]]&gt;2,"Good",Table1[[#This Row],[academic_performance]]&gt;3,"Very good",Table1[[#This Row],[academic_performance]]&gt;4,"Excellent")</f>
        <v>Need Improvement</v>
      </c>
      <c r="K95">
        <v>1</v>
      </c>
      <c r="L95" t="str">
        <f>IF(Table1[[#This Row],[physical_activity]]&gt;1.9,"better overall ","lower rate of depression")</f>
        <v>lower rate of depression</v>
      </c>
      <c r="M95" t="s">
        <v>19</v>
      </c>
      <c r="N95">
        <v>6</v>
      </c>
      <c r="O95">
        <v>9</v>
      </c>
      <c r="P95">
        <v>8</v>
      </c>
      <c r="Q95">
        <v>0</v>
      </c>
    </row>
    <row r="96" spans="1:17" x14ac:dyDescent="0.3">
      <c r="A96">
        <v>13</v>
      </c>
      <c r="B96" t="s">
        <v>16</v>
      </c>
      <c r="C96" t="str">
        <f>IF(Table1[[#This Row],[age]]&gt;18,"Adult","Teenage")</f>
        <v>Teenage</v>
      </c>
      <c r="D96">
        <v>4</v>
      </c>
      <c r="E96" t="s">
        <v>14</v>
      </c>
      <c r="F96">
        <v>4.4000000000000004</v>
      </c>
      <c r="G96">
        <f>Table1[[#This Row],[sleep_hours]]-Table1[[#This Row],[daily_social_media_hours]]</f>
        <v>0.40000000000000036</v>
      </c>
      <c r="H96">
        <v>2.5</v>
      </c>
      <c r="I96">
        <v>3.6</v>
      </c>
      <c r="J96" t="str" cm="1">
        <f t="array" ref="J96">_xlfn.IFS(Table1[[#This Row],[academic_performance]]&gt;1,"Need Improvement",Table1[[#This Row],[academic_performance]]&gt;2,"Good",Table1[[#This Row],[academic_performance]]&gt;3,"Very good",Table1[[#This Row],[academic_performance]]&gt;4,"Excellent")</f>
        <v>Need Improvement</v>
      </c>
      <c r="K96">
        <v>1.4</v>
      </c>
      <c r="L96" t="str">
        <f>IF(Table1[[#This Row],[physical_activity]]&gt;1.9,"better overall ","lower rate of depression")</f>
        <v>lower rate of depression</v>
      </c>
      <c r="M96" t="s">
        <v>19</v>
      </c>
      <c r="N96">
        <v>7</v>
      </c>
      <c r="O96">
        <v>2</v>
      </c>
      <c r="P96">
        <v>10</v>
      </c>
      <c r="Q96">
        <v>0</v>
      </c>
    </row>
    <row r="97" spans="1:17" x14ac:dyDescent="0.3">
      <c r="A97">
        <v>15</v>
      </c>
      <c r="B97" t="s">
        <v>16</v>
      </c>
      <c r="C97" t="str">
        <f>IF(Table1[[#This Row],[age]]&gt;18,"Adult","Teenage")</f>
        <v>Teenage</v>
      </c>
      <c r="D97">
        <v>1.8</v>
      </c>
      <c r="E97" t="s">
        <v>14</v>
      </c>
      <c r="F97">
        <v>6.4</v>
      </c>
      <c r="G97">
        <f>Table1[[#This Row],[sleep_hours]]-Table1[[#This Row],[daily_social_media_hours]]</f>
        <v>4.6000000000000005</v>
      </c>
      <c r="H97">
        <v>2.4</v>
      </c>
      <c r="I97">
        <v>2.16</v>
      </c>
      <c r="J97" t="str" cm="1">
        <f t="array" ref="J97">_xlfn.IFS(Table1[[#This Row],[academic_performance]]&gt;1,"Need Improvement",Table1[[#This Row],[academic_performance]]&gt;2,"Good",Table1[[#This Row],[academic_performance]]&gt;3,"Very good",Table1[[#This Row],[academic_performance]]&gt;4,"Excellent")</f>
        <v>Need Improvement</v>
      </c>
      <c r="K97">
        <v>1.9</v>
      </c>
      <c r="L97" t="str">
        <f>IF(Table1[[#This Row],[physical_activity]]&gt;1.9,"better overall ","lower rate of depression")</f>
        <v>lower rate of depression</v>
      </c>
      <c r="M97" t="s">
        <v>19</v>
      </c>
      <c r="N97">
        <v>3</v>
      </c>
      <c r="O97">
        <v>6</v>
      </c>
      <c r="P97">
        <v>9</v>
      </c>
      <c r="Q97">
        <v>0</v>
      </c>
    </row>
    <row r="98" spans="1:17" x14ac:dyDescent="0.3">
      <c r="A98">
        <v>13</v>
      </c>
      <c r="B98" t="s">
        <v>13</v>
      </c>
      <c r="C98" t="str">
        <f>IF(Table1[[#This Row],[age]]&gt;18,"Adult","Teenage")</f>
        <v>Teenage</v>
      </c>
      <c r="D98">
        <v>3.1</v>
      </c>
      <c r="E98" t="s">
        <v>17</v>
      </c>
      <c r="F98">
        <v>5.4</v>
      </c>
      <c r="G98">
        <f>Table1[[#This Row],[sleep_hours]]-Table1[[#This Row],[daily_social_media_hours]]</f>
        <v>2.3000000000000003</v>
      </c>
      <c r="H98">
        <v>1.9</v>
      </c>
      <c r="I98">
        <v>3.66</v>
      </c>
      <c r="J98" t="str" cm="1">
        <f t="array" ref="J98">_xlfn.IFS(Table1[[#This Row],[academic_performance]]&gt;1,"Need Improvement",Table1[[#This Row],[academic_performance]]&gt;2,"Good",Table1[[#This Row],[academic_performance]]&gt;3,"Very good",Table1[[#This Row],[academic_performance]]&gt;4,"Excellent")</f>
        <v>Need Improvement</v>
      </c>
      <c r="K98">
        <v>0.4</v>
      </c>
      <c r="L98" t="str">
        <f>IF(Table1[[#This Row],[physical_activity]]&gt;1.9,"better overall ","lower rate of depression")</f>
        <v>lower rate of depression</v>
      </c>
      <c r="M98" t="s">
        <v>15</v>
      </c>
      <c r="N98">
        <v>7</v>
      </c>
      <c r="O98">
        <v>4</v>
      </c>
      <c r="P98">
        <v>2</v>
      </c>
      <c r="Q98">
        <v>0</v>
      </c>
    </row>
    <row r="99" spans="1:17" x14ac:dyDescent="0.3">
      <c r="A99">
        <v>13</v>
      </c>
      <c r="B99" t="s">
        <v>16</v>
      </c>
      <c r="C99" t="str">
        <f>IF(Table1[[#This Row],[age]]&gt;18,"Adult","Teenage")</f>
        <v>Teenage</v>
      </c>
      <c r="D99">
        <v>3.5</v>
      </c>
      <c r="E99" t="s">
        <v>17</v>
      </c>
      <c r="F99">
        <v>5.2</v>
      </c>
      <c r="G99">
        <f>Table1[[#This Row],[sleep_hours]]-Table1[[#This Row],[daily_social_media_hours]]</f>
        <v>1.7000000000000002</v>
      </c>
      <c r="H99">
        <v>2.5</v>
      </c>
      <c r="I99">
        <v>2.57</v>
      </c>
      <c r="J99" t="str" cm="1">
        <f t="array" ref="J99">_xlfn.IFS(Table1[[#This Row],[academic_performance]]&gt;1,"Need Improvement",Table1[[#This Row],[academic_performance]]&gt;2,"Good",Table1[[#This Row],[academic_performance]]&gt;3,"Very good",Table1[[#This Row],[academic_performance]]&gt;4,"Excellent")</f>
        <v>Need Improvement</v>
      </c>
      <c r="K99">
        <v>1.1000000000000001</v>
      </c>
      <c r="L99" t="str">
        <f>IF(Table1[[#This Row],[physical_activity]]&gt;1.9,"better overall ","lower rate of depression")</f>
        <v>lower rate of depression</v>
      </c>
      <c r="M99" t="s">
        <v>18</v>
      </c>
      <c r="N99">
        <v>1</v>
      </c>
      <c r="O99">
        <v>6</v>
      </c>
      <c r="P99">
        <v>3</v>
      </c>
      <c r="Q99">
        <v>0</v>
      </c>
    </row>
    <row r="100" spans="1:17" x14ac:dyDescent="0.3">
      <c r="A100">
        <v>18</v>
      </c>
      <c r="B100" t="s">
        <v>13</v>
      </c>
      <c r="C100" t="str">
        <f>IF(Table1[[#This Row],[age]]&gt;18,"Adult","Teenage")</f>
        <v>Teenage</v>
      </c>
      <c r="D100">
        <v>7.4</v>
      </c>
      <c r="E100" t="s">
        <v>17</v>
      </c>
      <c r="F100">
        <v>6.4</v>
      </c>
      <c r="G100">
        <f>Table1[[#This Row],[sleep_hours]]-Table1[[#This Row],[daily_social_media_hours]]</f>
        <v>-1</v>
      </c>
      <c r="H100">
        <v>2.2000000000000002</v>
      </c>
      <c r="I100">
        <v>3.51</v>
      </c>
      <c r="J100" t="str" cm="1">
        <f t="array" ref="J100">_xlfn.IFS(Table1[[#This Row],[academic_performance]]&gt;1,"Need Improvement",Table1[[#This Row],[academic_performance]]&gt;2,"Good",Table1[[#This Row],[academic_performance]]&gt;3,"Very good",Table1[[#This Row],[academic_performance]]&gt;4,"Excellent")</f>
        <v>Need Improvement</v>
      </c>
      <c r="K100">
        <v>1</v>
      </c>
      <c r="L100" t="str">
        <f>IF(Table1[[#This Row],[physical_activity]]&gt;1.9,"better overall ","lower rate of depression")</f>
        <v>lower rate of depression</v>
      </c>
      <c r="M100" t="s">
        <v>18</v>
      </c>
      <c r="N100">
        <v>4</v>
      </c>
      <c r="O100">
        <v>5</v>
      </c>
      <c r="P100">
        <v>4</v>
      </c>
      <c r="Q100">
        <v>0</v>
      </c>
    </row>
    <row r="101" spans="1:17" x14ac:dyDescent="0.3">
      <c r="A101">
        <v>16</v>
      </c>
      <c r="B101" t="s">
        <v>13</v>
      </c>
      <c r="C101" t="str">
        <f>IF(Table1[[#This Row],[age]]&gt;18,"Adult","Teenage")</f>
        <v>Teenage</v>
      </c>
      <c r="D101">
        <v>8</v>
      </c>
      <c r="E101" t="s">
        <v>14</v>
      </c>
      <c r="F101">
        <v>5.5</v>
      </c>
      <c r="G101">
        <f>Table1[[#This Row],[sleep_hours]]-Table1[[#This Row],[daily_social_media_hours]]</f>
        <v>-2.5</v>
      </c>
      <c r="H101">
        <v>1.4</v>
      </c>
      <c r="I101">
        <v>2.95</v>
      </c>
      <c r="J101" t="str" cm="1">
        <f t="array" ref="J101">_xlfn.IFS(Table1[[#This Row],[academic_performance]]&gt;1,"Need Improvement",Table1[[#This Row],[academic_performance]]&gt;2,"Good",Table1[[#This Row],[academic_performance]]&gt;3,"Very good",Table1[[#This Row],[academic_performance]]&gt;4,"Excellent")</f>
        <v>Need Improvement</v>
      </c>
      <c r="K101">
        <v>0.3</v>
      </c>
      <c r="L101" t="str">
        <f>IF(Table1[[#This Row],[physical_activity]]&gt;1.9,"better overall ","lower rate of depression")</f>
        <v>lower rate of depression</v>
      </c>
      <c r="M101" t="s">
        <v>19</v>
      </c>
      <c r="N101">
        <v>2</v>
      </c>
      <c r="O101">
        <v>5</v>
      </c>
      <c r="P101">
        <v>2</v>
      </c>
      <c r="Q101">
        <v>0</v>
      </c>
    </row>
    <row r="102" spans="1:17" x14ac:dyDescent="0.3">
      <c r="A102">
        <v>13</v>
      </c>
      <c r="B102" t="s">
        <v>13</v>
      </c>
      <c r="C102" t="str">
        <f>IF(Table1[[#This Row],[age]]&gt;18,"Adult","Teenage")</f>
        <v>Teenage</v>
      </c>
      <c r="D102">
        <v>5.0999999999999996</v>
      </c>
      <c r="E102" t="s">
        <v>20</v>
      </c>
      <c r="F102">
        <v>4.0999999999999996</v>
      </c>
      <c r="G102">
        <f>Table1[[#This Row],[sleep_hours]]-Table1[[#This Row],[daily_social_media_hours]]</f>
        <v>-1</v>
      </c>
      <c r="H102">
        <v>1.6</v>
      </c>
      <c r="I102">
        <v>3.32</v>
      </c>
      <c r="J102" t="str" cm="1">
        <f t="array" ref="J102">_xlfn.IFS(Table1[[#This Row],[academic_performance]]&gt;1,"Need Improvement",Table1[[#This Row],[academic_performance]]&gt;2,"Good",Table1[[#This Row],[academic_performance]]&gt;3,"Very good",Table1[[#This Row],[academic_performance]]&gt;4,"Excellent")</f>
        <v>Need Improvement</v>
      </c>
      <c r="K102">
        <v>0.8</v>
      </c>
      <c r="L102" t="str">
        <f>IF(Table1[[#This Row],[physical_activity]]&gt;1.9,"better overall ","lower rate of depression")</f>
        <v>lower rate of depression</v>
      </c>
      <c r="M102" t="s">
        <v>19</v>
      </c>
      <c r="N102">
        <v>1</v>
      </c>
      <c r="O102">
        <v>3</v>
      </c>
      <c r="P102">
        <v>8</v>
      </c>
      <c r="Q102">
        <v>0</v>
      </c>
    </row>
    <row r="103" spans="1:17" x14ac:dyDescent="0.3">
      <c r="A103">
        <v>18</v>
      </c>
      <c r="B103" t="s">
        <v>16</v>
      </c>
      <c r="C103" t="str">
        <f>IF(Table1[[#This Row],[age]]&gt;18,"Adult","Teenage")</f>
        <v>Teenage</v>
      </c>
      <c r="D103">
        <v>2.4</v>
      </c>
      <c r="E103" t="s">
        <v>14</v>
      </c>
      <c r="F103">
        <v>6.3</v>
      </c>
      <c r="G103">
        <f>Table1[[#This Row],[sleep_hours]]-Table1[[#This Row],[daily_social_media_hours]]</f>
        <v>3.9</v>
      </c>
      <c r="H103">
        <v>1.3</v>
      </c>
      <c r="I103">
        <v>3.05</v>
      </c>
      <c r="J103" t="str" cm="1">
        <f t="array" ref="J103">_xlfn.IFS(Table1[[#This Row],[academic_performance]]&gt;1,"Need Improvement",Table1[[#This Row],[academic_performance]]&gt;2,"Good",Table1[[#This Row],[academic_performance]]&gt;3,"Very good",Table1[[#This Row],[academic_performance]]&gt;4,"Excellent")</f>
        <v>Need Improvement</v>
      </c>
      <c r="K103">
        <v>1.7</v>
      </c>
      <c r="L103" t="str">
        <f>IF(Table1[[#This Row],[physical_activity]]&gt;1.9,"better overall ","lower rate of depression")</f>
        <v>lower rate of depression</v>
      </c>
      <c r="M103" t="s">
        <v>15</v>
      </c>
      <c r="N103">
        <v>2</v>
      </c>
      <c r="O103">
        <v>9</v>
      </c>
      <c r="P103">
        <v>5</v>
      </c>
      <c r="Q103">
        <v>0</v>
      </c>
    </row>
    <row r="104" spans="1:17" x14ac:dyDescent="0.3">
      <c r="A104">
        <v>13</v>
      </c>
      <c r="B104" t="s">
        <v>13</v>
      </c>
      <c r="C104" t="str">
        <f>IF(Table1[[#This Row],[age]]&gt;18,"Adult","Teenage")</f>
        <v>Teenage</v>
      </c>
      <c r="D104">
        <v>1.6</v>
      </c>
      <c r="E104" t="s">
        <v>14</v>
      </c>
      <c r="F104">
        <v>4.2</v>
      </c>
      <c r="G104">
        <f>Table1[[#This Row],[sleep_hours]]-Table1[[#This Row],[daily_social_media_hours]]</f>
        <v>2.6</v>
      </c>
      <c r="H104">
        <v>1.5</v>
      </c>
      <c r="I104">
        <v>3.72</v>
      </c>
      <c r="J104" t="str" cm="1">
        <f t="array" ref="J104">_xlfn.IFS(Table1[[#This Row],[academic_performance]]&gt;1,"Need Improvement",Table1[[#This Row],[academic_performance]]&gt;2,"Good",Table1[[#This Row],[academic_performance]]&gt;3,"Very good",Table1[[#This Row],[academic_performance]]&gt;4,"Excellent")</f>
        <v>Need Improvement</v>
      </c>
      <c r="K104">
        <v>1.7</v>
      </c>
      <c r="L104" t="str">
        <f>IF(Table1[[#This Row],[physical_activity]]&gt;1.9,"better overall ","lower rate of depression")</f>
        <v>lower rate of depression</v>
      </c>
      <c r="M104" t="s">
        <v>19</v>
      </c>
      <c r="N104">
        <v>10</v>
      </c>
      <c r="O104">
        <v>1</v>
      </c>
      <c r="P104">
        <v>10</v>
      </c>
      <c r="Q104">
        <v>0</v>
      </c>
    </row>
    <row r="105" spans="1:17" x14ac:dyDescent="0.3">
      <c r="A105">
        <v>18</v>
      </c>
      <c r="B105" t="s">
        <v>13</v>
      </c>
      <c r="C105" t="str">
        <f>IF(Table1[[#This Row],[age]]&gt;18,"Adult","Teenage")</f>
        <v>Teenage</v>
      </c>
      <c r="D105">
        <v>5.8</v>
      </c>
      <c r="E105" t="s">
        <v>14</v>
      </c>
      <c r="F105">
        <v>6.7</v>
      </c>
      <c r="G105">
        <f>Table1[[#This Row],[sleep_hours]]-Table1[[#This Row],[daily_social_media_hours]]</f>
        <v>0.90000000000000036</v>
      </c>
      <c r="H105">
        <v>1.9</v>
      </c>
      <c r="I105">
        <v>3</v>
      </c>
      <c r="J105" t="str" cm="1">
        <f t="array" ref="J105">_xlfn.IFS(Table1[[#This Row],[academic_performance]]&gt;1,"Need Improvement",Table1[[#This Row],[academic_performance]]&gt;2,"Good",Table1[[#This Row],[academic_performance]]&gt;3,"Very good",Table1[[#This Row],[academic_performance]]&gt;4,"Excellent")</f>
        <v>Need Improvement</v>
      </c>
      <c r="K105">
        <v>1.9</v>
      </c>
      <c r="L105" t="str">
        <f>IF(Table1[[#This Row],[physical_activity]]&gt;1.9,"better overall ","lower rate of depression")</f>
        <v>lower rate of depression</v>
      </c>
      <c r="M105" t="s">
        <v>15</v>
      </c>
      <c r="N105">
        <v>5</v>
      </c>
      <c r="O105">
        <v>8</v>
      </c>
      <c r="P105">
        <v>2</v>
      </c>
      <c r="Q105">
        <v>0</v>
      </c>
    </row>
    <row r="106" spans="1:17" x14ac:dyDescent="0.3">
      <c r="A106">
        <v>15</v>
      </c>
      <c r="B106" t="s">
        <v>13</v>
      </c>
      <c r="C106" t="str">
        <f>IF(Table1[[#This Row],[age]]&gt;18,"Adult","Teenage")</f>
        <v>Teenage</v>
      </c>
      <c r="D106">
        <v>2.7</v>
      </c>
      <c r="E106" t="s">
        <v>17</v>
      </c>
      <c r="F106">
        <v>6.6</v>
      </c>
      <c r="G106">
        <f>Table1[[#This Row],[sleep_hours]]-Table1[[#This Row],[daily_social_media_hours]]</f>
        <v>3.8999999999999995</v>
      </c>
      <c r="H106">
        <v>1.9</v>
      </c>
      <c r="I106">
        <v>2.75</v>
      </c>
      <c r="J106" t="str" cm="1">
        <f t="array" ref="J106">_xlfn.IFS(Table1[[#This Row],[academic_performance]]&gt;1,"Need Improvement",Table1[[#This Row],[academic_performance]]&gt;2,"Good",Table1[[#This Row],[academic_performance]]&gt;3,"Very good",Table1[[#This Row],[academic_performance]]&gt;4,"Excellent")</f>
        <v>Need Improvement</v>
      </c>
      <c r="K106">
        <v>1.9</v>
      </c>
      <c r="L106" t="str">
        <f>IF(Table1[[#This Row],[physical_activity]]&gt;1.9,"better overall ","lower rate of depression")</f>
        <v>lower rate of depression</v>
      </c>
      <c r="M106" t="s">
        <v>19</v>
      </c>
      <c r="N106">
        <v>3</v>
      </c>
      <c r="O106">
        <v>6</v>
      </c>
      <c r="P106">
        <v>6</v>
      </c>
      <c r="Q106">
        <v>0</v>
      </c>
    </row>
    <row r="107" spans="1:17" x14ac:dyDescent="0.3">
      <c r="A107">
        <v>13</v>
      </c>
      <c r="B107" t="s">
        <v>16</v>
      </c>
      <c r="C107" t="str">
        <f>IF(Table1[[#This Row],[age]]&gt;18,"Adult","Teenage")</f>
        <v>Teenage</v>
      </c>
      <c r="D107">
        <v>4</v>
      </c>
      <c r="E107" t="s">
        <v>20</v>
      </c>
      <c r="F107">
        <v>4.5</v>
      </c>
      <c r="G107">
        <f>Table1[[#This Row],[sleep_hours]]-Table1[[#This Row],[daily_social_media_hours]]</f>
        <v>0.5</v>
      </c>
      <c r="H107">
        <v>1</v>
      </c>
      <c r="I107">
        <v>3.65</v>
      </c>
      <c r="J107" t="str" cm="1">
        <f t="array" ref="J107">_xlfn.IFS(Table1[[#This Row],[academic_performance]]&gt;1,"Need Improvement",Table1[[#This Row],[academic_performance]]&gt;2,"Good",Table1[[#This Row],[academic_performance]]&gt;3,"Very good",Table1[[#This Row],[academic_performance]]&gt;4,"Excellent")</f>
        <v>Need Improvement</v>
      </c>
      <c r="K107">
        <v>1.8</v>
      </c>
      <c r="L107" t="str">
        <f>IF(Table1[[#This Row],[physical_activity]]&gt;1.9,"better overall ","lower rate of depression")</f>
        <v>lower rate of depression</v>
      </c>
      <c r="M107" t="s">
        <v>15</v>
      </c>
      <c r="N107">
        <v>5</v>
      </c>
      <c r="O107">
        <v>6</v>
      </c>
      <c r="P107">
        <v>5</v>
      </c>
      <c r="Q107">
        <v>0</v>
      </c>
    </row>
    <row r="108" spans="1:17" x14ac:dyDescent="0.3">
      <c r="A108">
        <v>18</v>
      </c>
      <c r="B108" t="s">
        <v>13</v>
      </c>
      <c r="C108" t="str">
        <f>IF(Table1[[#This Row],[age]]&gt;18,"Adult","Teenage")</f>
        <v>Teenage</v>
      </c>
      <c r="D108">
        <v>3.2</v>
      </c>
      <c r="E108" t="s">
        <v>20</v>
      </c>
      <c r="F108">
        <v>8.8000000000000007</v>
      </c>
      <c r="G108">
        <f>Table1[[#This Row],[sleep_hours]]-Table1[[#This Row],[daily_social_media_hours]]</f>
        <v>5.6000000000000005</v>
      </c>
      <c r="H108">
        <v>1.2</v>
      </c>
      <c r="I108">
        <v>3.71</v>
      </c>
      <c r="J108" t="str" cm="1">
        <f t="array" ref="J108">_xlfn.IFS(Table1[[#This Row],[academic_performance]]&gt;1,"Need Improvement",Table1[[#This Row],[academic_performance]]&gt;2,"Good",Table1[[#This Row],[academic_performance]]&gt;3,"Very good",Table1[[#This Row],[academic_performance]]&gt;4,"Excellent")</f>
        <v>Need Improvement</v>
      </c>
      <c r="K108">
        <v>1.1000000000000001</v>
      </c>
      <c r="L108" t="str">
        <f>IF(Table1[[#This Row],[physical_activity]]&gt;1.9,"better overall ","lower rate of depression")</f>
        <v>lower rate of depression</v>
      </c>
      <c r="M108" t="s">
        <v>19</v>
      </c>
      <c r="N108">
        <v>7</v>
      </c>
      <c r="O108">
        <v>6</v>
      </c>
      <c r="P108">
        <v>10</v>
      </c>
      <c r="Q108">
        <v>0</v>
      </c>
    </row>
    <row r="109" spans="1:17" x14ac:dyDescent="0.3">
      <c r="A109">
        <v>13</v>
      </c>
      <c r="B109" t="s">
        <v>13</v>
      </c>
      <c r="C109" t="str">
        <f>IF(Table1[[#This Row],[age]]&gt;18,"Adult","Teenage")</f>
        <v>Teenage</v>
      </c>
      <c r="D109">
        <v>1.6</v>
      </c>
      <c r="E109" t="s">
        <v>17</v>
      </c>
      <c r="F109">
        <v>4.3</v>
      </c>
      <c r="G109">
        <f>Table1[[#This Row],[sleep_hours]]-Table1[[#This Row],[daily_social_media_hours]]</f>
        <v>2.6999999999999997</v>
      </c>
      <c r="H109">
        <v>0.6</v>
      </c>
      <c r="I109">
        <v>3.91</v>
      </c>
      <c r="J109" t="str" cm="1">
        <f t="array" ref="J109">_xlfn.IFS(Table1[[#This Row],[academic_performance]]&gt;1,"Need Improvement",Table1[[#This Row],[academic_performance]]&gt;2,"Good",Table1[[#This Row],[academic_performance]]&gt;3,"Very good",Table1[[#This Row],[academic_performance]]&gt;4,"Excellent")</f>
        <v>Need Improvement</v>
      </c>
      <c r="K109">
        <v>2</v>
      </c>
      <c r="L109" t="str">
        <f>IF(Table1[[#This Row],[physical_activity]]&gt;1.9,"better overall ","lower rate of depression")</f>
        <v xml:space="preserve">better overall </v>
      </c>
      <c r="M109" t="s">
        <v>19</v>
      </c>
      <c r="N109">
        <v>5</v>
      </c>
      <c r="O109">
        <v>10</v>
      </c>
      <c r="P109">
        <v>7</v>
      </c>
      <c r="Q109">
        <v>0</v>
      </c>
    </row>
    <row r="110" spans="1:17" x14ac:dyDescent="0.3">
      <c r="A110">
        <v>14</v>
      </c>
      <c r="B110" t="s">
        <v>13</v>
      </c>
      <c r="C110" t="str">
        <f>IF(Table1[[#This Row],[age]]&gt;18,"Adult","Teenage")</f>
        <v>Teenage</v>
      </c>
      <c r="D110">
        <v>2.2999999999999998</v>
      </c>
      <c r="E110" t="s">
        <v>17</v>
      </c>
      <c r="F110">
        <v>8</v>
      </c>
      <c r="G110">
        <f>Table1[[#This Row],[sleep_hours]]-Table1[[#This Row],[daily_social_media_hours]]</f>
        <v>5.7</v>
      </c>
      <c r="H110">
        <v>2.5</v>
      </c>
      <c r="I110">
        <v>3.08</v>
      </c>
      <c r="J110" t="str" cm="1">
        <f t="array" ref="J110">_xlfn.IFS(Table1[[#This Row],[academic_performance]]&gt;1,"Need Improvement",Table1[[#This Row],[academic_performance]]&gt;2,"Good",Table1[[#This Row],[academic_performance]]&gt;3,"Very good",Table1[[#This Row],[academic_performance]]&gt;4,"Excellent")</f>
        <v>Need Improvement</v>
      </c>
      <c r="K110">
        <v>1.7</v>
      </c>
      <c r="L110" t="str">
        <f>IF(Table1[[#This Row],[physical_activity]]&gt;1.9,"better overall ","lower rate of depression")</f>
        <v>lower rate of depression</v>
      </c>
      <c r="M110" t="s">
        <v>19</v>
      </c>
      <c r="N110">
        <v>5</v>
      </c>
      <c r="O110">
        <v>6</v>
      </c>
      <c r="P110">
        <v>7</v>
      </c>
      <c r="Q110">
        <v>0</v>
      </c>
    </row>
    <row r="111" spans="1:17" x14ac:dyDescent="0.3">
      <c r="A111">
        <v>17</v>
      </c>
      <c r="B111" t="s">
        <v>13</v>
      </c>
      <c r="C111" t="str">
        <f>IF(Table1[[#This Row],[age]]&gt;18,"Adult","Teenage")</f>
        <v>Teenage</v>
      </c>
      <c r="D111">
        <v>7.7</v>
      </c>
      <c r="E111" t="s">
        <v>17</v>
      </c>
      <c r="F111">
        <v>8.5</v>
      </c>
      <c r="G111">
        <f>Table1[[#This Row],[sleep_hours]]-Table1[[#This Row],[daily_social_media_hours]]</f>
        <v>0.79999999999999982</v>
      </c>
      <c r="H111">
        <v>1.2</v>
      </c>
      <c r="I111">
        <v>3.56</v>
      </c>
      <c r="J111" t="str" cm="1">
        <f t="array" ref="J111">_xlfn.IFS(Table1[[#This Row],[academic_performance]]&gt;1,"Need Improvement",Table1[[#This Row],[academic_performance]]&gt;2,"Good",Table1[[#This Row],[academic_performance]]&gt;3,"Very good",Table1[[#This Row],[academic_performance]]&gt;4,"Excellent")</f>
        <v>Need Improvement</v>
      </c>
      <c r="K111">
        <v>0</v>
      </c>
      <c r="L111" t="str">
        <f>IF(Table1[[#This Row],[physical_activity]]&gt;1.9,"better overall ","lower rate of depression")</f>
        <v>lower rate of depression</v>
      </c>
      <c r="M111" t="s">
        <v>19</v>
      </c>
      <c r="N111">
        <v>7</v>
      </c>
      <c r="O111">
        <v>10</v>
      </c>
      <c r="P111">
        <v>7</v>
      </c>
      <c r="Q111">
        <v>0</v>
      </c>
    </row>
    <row r="112" spans="1:17" x14ac:dyDescent="0.3">
      <c r="A112">
        <v>16</v>
      </c>
      <c r="B112" t="s">
        <v>13</v>
      </c>
      <c r="C112" t="str">
        <f>IF(Table1[[#This Row],[age]]&gt;18,"Adult","Teenage")</f>
        <v>Teenage</v>
      </c>
      <c r="D112">
        <v>4.8</v>
      </c>
      <c r="E112" t="s">
        <v>20</v>
      </c>
      <c r="F112">
        <v>7.1</v>
      </c>
      <c r="G112">
        <f>Table1[[#This Row],[sleep_hours]]-Table1[[#This Row],[daily_social_media_hours]]</f>
        <v>2.2999999999999998</v>
      </c>
      <c r="H112">
        <v>0.6</v>
      </c>
      <c r="I112">
        <v>3.36</v>
      </c>
      <c r="J112" t="str" cm="1">
        <f t="array" ref="J112">_xlfn.IFS(Table1[[#This Row],[academic_performance]]&gt;1,"Need Improvement",Table1[[#This Row],[academic_performance]]&gt;2,"Good",Table1[[#This Row],[academic_performance]]&gt;3,"Very good",Table1[[#This Row],[academic_performance]]&gt;4,"Excellent")</f>
        <v>Need Improvement</v>
      </c>
      <c r="K112">
        <v>0.7</v>
      </c>
      <c r="L112" t="str">
        <f>IF(Table1[[#This Row],[physical_activity]]&gt;1.9,"better overall ","lower rate of depression")</f>
        <v>lower rate of depression</v>
      </c>
      <c r="M112" t="s">
        <v>18</v>
      </c>
      <c r="N112">
        <v>7</v>
      </c>
      <c r="O112">
        <v>6</v>
      </c>
      <c r="P112">
        <v>9</v>
      </c>
      <c r="Q112">
        <v>0</v>
      </c>
    </row>
    <row r="113" spans="1:17" x14ac:dyDescent="0.3">
      <c r="A113">
        <v>17</v>
      </c>
      <c r="B113" t="s">
        <v>16</v>
      </c>
      <c r="C113" t="str">
        <f>IF(Table1[[#This Row],[age]]&gt;18,"Adult","Teenage")</f>
        <v>Teenage</v>
      </c>
      <c r="D113">
        <v>5.2</v>
      </c>
      <c r="E113" t="s">
        <v>20</v>
      </c>
      <c r="F113">
        <v>6</v>
      </c>
      <c r="G113">
        <f>Table1[[#This Row],[sleep_hours]]-Table1[[#This Row],[daily_social_media_hours]]</f>
        <v>0.79999999999999982</v>
      </c>
      <c r="H113">
        <v>0.6</v>
      </c>
      <c r="I113">
        <v>3.07</v>
      </c>
      <c r="J113" t="str" cm="1">
        <f t="array" ref="J113">_xlfn.IFS(Table1[[#This Row],[academic_performance]]&gt;1,"Need Improvement",Table1[[#This Row],[academic_performance]]&gt;2,"Good",Table1[[#This Row],[academic_performance]]&gt;3,"Very good",Table1[[#This Row],[academic_performance]]&gt;4,"Excellent")</f>
        <v>Need Improvement</v>
      </c>
      <c r="K113">
        <v>0.6</v>
      </c>
      <c r="L113" t="str">
        <f>IF(Table1[[#This Row],[physical_activity]]&gt;1.9,"better overall ","lower rate of depression")</f>
        <v>lower rate of depression</v>
      </c>
      <c r="M113" t="s">
        <v>19</v>
      </c>
      <c r="N113">
        <v>6</v>
      </c>
      <c r="O113">
        <v>2</v>
      </c>
      <c r="P113">
        <v>9</v>
      </c>
      <c r="Q113">
        <v>0</v>
      </c>
    </row>
    <row r="114" spans="1:17" x14ac:dyDescent="0.3">
      <c r="A114">
        <v>13</v>
      </c>
      <c r="B114" t="s">
        <v>13</v>
      </c>
      <c r="C114" t="str">
        <f>IF(Table1[[#This Row],[age]]&gt;18,"Adult","Teenage")</f>
        <v>Teenage</v>
      </c>
      <c r="D114">
        <v>5.7</v>
      </c>
      <c r="E114" t="s">
        <v>20</v>
      </c>
      <c r="F114">
        <v>6.6</v>
      </c>
      <c r="G114">
        <f>Table1[[#This Row],[sleep_hours]]-Table1[[#This Row],[daily_social_media_hours]]</f>
        <v>0.89999999999999947</v>
      </c>
      <c r="H114">
        <v>2.4</v>
      </c>
      <c r="I114">
        <v>3.99</v>
      </c>
      <c r="J114" t="str" cm="1">
        <f t="array" ref="J114">_xlfn.IFS(Table1[[#This Row],[academic_performance]]&gt;1,"Need Improvement",Table1[[#This Row],[academic_performance]]&gt;2,"Good",Table1[[#This Row],[academic_performance]]&gt;3,"Very good",Table1[[#This Row],[academic_performance]]&gt;4,"Excellent")</f>
        <v>Need Improvement</v>
      </c>
      <c r="K114">
        <v>1.7</v>
      </c>
      <c r="L114" t="str">
        <f>IF(Table1[[#This Row],[physical_activity]]&gt;1.9,"better overall ","lower rate of depression")</f>
        <v>lower rate of depression</v>
      </c>
      <c r="M114" t="s">
        <v>18</v>
      </c>
      <c r="N114">
        <v>1</v>
      </c>
      <c r="O114">
        <v>3</v>
      </c>
      <c r="P114">
        <v>1</v>
      </c>
      <c r="Q114">
        <v>0</v>
      </c>
    </row>
    <row r="115" spans="1:17" x14ac:dyDescent="0.3">
      <c r="A115">
        <v>15</v>
      </c>
      <c r="B115" t="s">
        <v>13</v>
      </c>
      <c r="C115" t="str">
        <f>IF(Table1[[#This Row],[age]]&gt;18,"Adult","Teenage")</f>
        <v>Teenage</v>
      </c>
      <c r="D115">
        <v>4.5999999999999996</v>
      </c>
      <c r="E115" t="s">
        <v>17</v>
      </c>
      <c r="F115">
        <v>5.2</v>
      </c>
      <c r="G115">
        <f>Table1[[#This Row],[sleep_hours]]-Table1[[#This Row],[daily_social_media_hours]]</f>
        <v>0.60000000000000053</v>
      </c>
      <c r="H115">
        <v>1.4</v>
      </c>
      <c r="I115">
        <v>2.98</v>
      </c>
      <c r="J115" t="str" cm="1">
        <f t="array" ref="J115">_xlfn.IFS(Table1[[#This Row],[academic_performance]]&gt;1,"Need Improvement",Table1[[#This Row],[academic_performance]]&gt;2,"Good",Table1[[#This Row],[academic_performance]]&gt;3,"Very good",Table1[[#This Row],[academic_performance]]&gt;4,"Excellent")</f>
        <v>Need Improvement</v>
      </c>
      <c r="K115">
        <v>1.9</v>
      </c>
      <c r="L115" t="str">
        <f>IF(Table1[[#This Row],[physical_activity]]&gt;1.9,"better overall ","lower rate of depression")</f>
        <v>lower rate of depression</v>
      </c>
      <c r="M115" t="s">
        <v>15</v>
      </c>
      <c r="N115">
        <v>1</v>
      </c>
      <c r="O115">
        <v>4</v>
      </c>
      <c r="P115">
        <v>5</v>
      </c>
      <c r="Q115">
        <v>0</v>
      </c>
    </row>
    <row r="116" spans="1:17" x14ac:dyDescent="0.3">
      <c r="A116">
        <v>13</v>
      </c>
      <c r="B116" t="s">
        <v>13</v>
      </c>
      <c r="C116" t="str">
        <f>IF(Table1[[#This Row],[age]]&gt;18,"Adult","Teenage")</f>
        <v>Teenage</v>
      </c>
      <c r="D116">
        <v>4.3</v>
      </c>
      <c r="E116" t="s">
        <v>17</v>
      </c>
      <c r="F116">
        <v>7.5</v>
      </c>
      <c r="G116">
        <f>Table1[[#This Row],[sleep_hours]]-Table1[[#This Row],[daily_social_media_hours]]</f>
        <v>3.2</v>
      </c>
      <c r="H116">
        <v>2.7</v>
      </c>
      <c r="I116">
        <v>2.29</v>
      </c>
      <c r="J116" t="str" cm="1">
        <f t="array" ref="J116">_xlfn.IFS(Table1[[#This Row],[academic_performance]]&gt;1,"Need Improvement",Table1[[#This Row],[academic_performance]]&gt;2,"Good",Table1[[#This Row],[academic_performance]]&gt;3,"Very good",Table1[[#This Row],[academic_performance]]&gt;4,"Excellent")</f>
        <v>Need Improvement</v>
      </c>
      <c r="K116">
        <v>0.8</v>
      </c>
      <c r="L116" t="str">
        <f>IF(Table1[[#This Row],[physical_activity]]&gt;1.9,"better overall ","lower rate of depression")</f>
        <v>lower rate of depression</v>
      </c>
      <c r="M116" t="s">
        <v>18</v>
      </c>
      <c r="N116">
        <v>1</v>
      </c>
      <c r="O116">
        <v>10</v>
      </c>
      <c r="P116">
        <v>1</v>
      </c>
      <c r="Q116">
        <v>0</v>
      </c>
    </row>
    <row r="117" spans="1:17" x14ac:dyDescent="0.3">
      <c r="A117">
        <v>17</v>
      </c>
      <c r="B117" t="s">
        <v>16</v>
      </c>
      <c r="C117" t="str">
        <f>IF(Table1[[#This Row],[age]]&gt;18,"Adult","Teenage")</f>
        <v>Teenage</v>
      </c>
      <c r="D117">
        <v>4.0999999999999996</v>
      </c>
      <c r="E117" t="s">
        <v>14</v>
      </c>
      <c r="F117">
        <v>8.6</v>
      </c>
      <c r="G117">
        <f>Table1[[#This Row],[sleep_hours]]-Table1[[#This Row],[daily_social_media_hours]]</f>
        <v>4.5</v>
      </c>
      <c r="H117">
        <v>3</v>
      </c>
      <c r="I117">
        <v>2.77</v>
      </c>
      <c r="J117" t="str" cm="1">
        <f t="array" ref="J117">_xlfn.IFS(Table1[[#This Row],[academic_performance]]&gt;1,"Need Improvement",Table1[[#This Row],[academic_performance]]&gt;2,"Good",Table1[[#This Row],[academic_performance]]&gt;3,"Very good",Table1[[#This Row],[academic_performance]]&gt;4,"Excellent")</f>
        <v>Need Improvement</v>
      </c>
      <c r="K117">
        <v>0.1</v>
      </c>
      <c r="L117" t="str">
        <f>IF(Table1[[#This Row],[physical_activity]]&gt;1.9,"better overall ","lower rate of depression")</f>
        <v>lower rate of depression</v>
      </c>
      <c r="M117" t="s">
        <v>19</v>
      </c>
      <c r="N117">
        <v>3</v>
      </c>
      <c r="O117">
        <v>6</v>
      </c>
      <c r="P117">
        <v>1</v>
      </c>
      <c r="Q117">
        <v>0</v>
      </c>
    </row>
    <row r="118" spans="1:17" x14ac:dyDescent="0.3">
      <c r="A118">
        <v>15</v>
      </c>
      <c r="B118" t="s">
        <v>13</v>
      </c>
      <c r="C118" t="str">
        <f>IF(Table1[[#This Row],[age]]&gt;18,"Adult","Teenage")</f>
        <v>Teenage</v>
      </c>
      <c r="D118">
        <v>6.5</v>
      </c>
      <c r="E118" t="s">
        <v>20</v>
      </c>
      <c r="F118">
        <v>8.1</v>
      </c>
      <c r="G118">
        <f>Table1[[#This Row],[sleep_hours]]-Table1[[#This Row],[daily_social_media_hours]]</f>
        <v>1.5999999999999996</v>
      </c>
      <c r="H118">
        <v>2</v>
      </c>
      <c r="I118">
        <v>3.89</v>
      </c>
      <c r="J118" t="str" cm="1">
        <f t="array" ref="J118">_xlfn.IFS(Table1[[#This Row],[academic_performance]]&gt;1,"Need Improvement",Table1[[#This Row],[academic_performance]]&gt;2,"Good",Table1[[#This Row],[academic_performance]]&gt;3,"Very good",Table1[[#This Row],[academic_performance]]&gt;4,"Excellent")</f>
        <v>Need Improvement</v>
      </c>
      <c r="K118">
        <v>1.3</v>
      </c>
      <c r="L118" t="str">
        <f>IF(Table1[[#This Row],[physical_activity]]&gt;1.9,"better overall ","lower rate of depression")</f>
        <v>lower rate of depression</v>
      </c>
      <c r="M118" t="s">
        <v>18</v>
      </c>
      <c r="N118">
        <v>8</v>
      </c>
      <c r="O118">
        <v>2</v>
      </c>
      <c r="P118">
        <v>2</v>
      </c>
      <c r="Q118">
        <v>0</v>
      </c>
    </row>
    <row r="119" spans="1:17" x14ac:dyDescent="0.3">
      <c r="A119">
        <v>19</v>
      </c>
      <c r="B119" t="s">
        <v>16</v>
      </c>
      <c r="C119" t="str">
        <f>IF(Table1[[#This Row],[age]]&gt;18,"Adult","Teenage")</f>
        <v>Adult</v>
      </c>
      <c r="D119">
        <v>7.8</v>
      </c>
      <c r="E119" t="s">
        <v>20</v>
      </c>
      <c r="F119">
        <v>8.8000000000000007</v>
      </c>
      <c r="G119">
        <f>Table1[[#This Row],[sleep_hours]]-Table1[[#This Row],[daily_social_media_hours]]</f>
        <v>1.0000000000000009</v>
      </c>
      <c r="H119">
        <v>2.1</v>
      </c>
      <c r="I119">
        <v>3.75</v>
      </c>
      <c r="J119" t="str" cm="1">
        <f t="array" ref="J119">_xlfn.IFS(Table1[[#This Row],[academic_performance]]&gt;1,"Need Improvement",Table1[[#This Row],[academic_performance]]&gt;2,"Good",Table1[[#This Row],[academic_performance]]&gt;3,"Very good",Table1[[#This Row],[academic_performance]]&gt;4,"Excellent")</f>
        <v>Need Improvement</v>
      </c>
      <c r="K119">
        <v>1.3</v>
      </c>
      <c r="L119" t="str">
        <f>IF(Table1[[#This Row],[physical_activity]]&gt;1.9,"better overall ","lower rate of depression")</f>
        <v>lower rate of depression</v>
      </c>
      <c r="M119" t="s">
        <v>18</v>
      </c>
      <c r="N119">
        <v>10</v>
      </c>
      <c r="O119">
        <v>9</v>
      </c>
      <c r="P119">
        <v>6</v>
      </c>
      <c r="Q119">
        <v>0</v>
      </c>
    </row>
    <row r="120" spans="1:17" x14ac:dyDescent="0.3">
      <c r="A120">
        <v>17</v>
      </c>
      <c r="B120" t="s">
        <v>13</v>
      </c>
      <c r="C120" t="str">
        <f>IF(Table1[[#This Row],[age]]&gt;18,"Adult","Teenage")</f>
        <v>Teenage</v>
      </c>
      <c r="D120">
        <v>6.5</v>
      </c>
      <c r="E120" t="s">
        <v>14</v>
      </c>
      <c r="F120">
        <v>4.0999999999999996</v>
      </c>
      <c r="G120">
        <f>Table1[[#This Row],[sleep_hours]]-Table1[[#This Row],[daily_social_media_hours]]</f>
        <v>-2.4000000000000004</v>
      </c>
      <c r="H120">
        <v>2.7</v>
      </c>
      <c r="I120">
        <v>3.66</v>
      </c>
      <c r="J120" t="str" cm="1">
        <f t="array" ref="J120">_xlfn.IFS(Table1[[#This Row],[academic_performance]]&gt;1,"Need Improvement",Table1[[#This Row],[academic_performance]]&gt;2,"Good",Table1[[#This Row],[academic_performance]]&gt;3,"Very good",Table1[[#This Row],[academic_performance]]&gt;4,"Excellent")</f>
        <v>Need Improvement</v>
      </c>
      <c r="K120">
        <v>1.1000000000000001</v>
      </c>
      <c r="L120" t="str">
        <f>IF(Table1[[#This Row],[physical_activity]]&gt;1.9,"better overall ","lower rate of depression")</f>
        <v>lower rate of depression</v>
      </c>
      <c r="M120" t="s">
        <v>19</v>
      </c>
      <c r="N120">
        <v>6</v>
      </c>
      <c r="O120">
        <v>10</v>
      </c>
      <c r="P120">
        <v>10</v>
      </c>
      <c r="Q120">
        <v>0</v>
      </c>
    </row>
    <row r="121" spans="1:17" x14ac:dyDescent="0.3">
      <c r="A121">
        <v>17</v>
      </c>
      <c r="B121" t="s">
        <v>16</v>
      </c>
      <c r="C121" t="str">
        <f>IF(Table1[[#This Row],[age]]&gt;18,"Adult","Teenage")</f>
        <v>Teenage</v>
      </c>
      <c r="D121">
        <v>3.2</v>
      </c>
      <c r="E121" t="s">
        <v>17</v>
      </c>
      <c r="F121">
        <v>4.2</v>
      </c>
      <c r="G121">
        <f>Table1[[#This Row],[sleep_hours]]-Table1[[#This Row],[daily_social_media_hours]]</f>
        <v>1</v>
      </c>
      <c r="H121">
        <v>0.6</v>
      </c>
      <c r="I121">
        <v>2.21</v>
      </c>
      <c r="J121" t="str" cm="1">
        <f t="array" ref="J121">_xlfn.IFS(Table1[[#This Row],[academic_performance]]&gt;1,"Need Improvement",Table1[[#This Row],[academic_performance]]&gt;2,"Good",Table1[[#This Row],[academic_performance]]&gt;3,"Very good",Table1[[#This Row],[academic_performance]]&gt;4,"Excellent")</f>
        <v>Need Improvement</v>
      </c>
      <c r="K121">
        <v>1.4</v>
      </c>
      <c r="L121" t="str">
        <f>IF(Table1[[#This Row],[physical_activity]]&gt;1.9,"better overall ","lower rate of depression")</f>
        <v>lower rate of depression</v>
      </c>
      <c r="M121" t="s">
        <v>19</v>
      </c>
      <c r="N121">
        <v>6</v>
      </c>
      <c r="O121">
        <v>6</v>
      </c>
      <c r="P121">
        <v>3</v>
      </c>
      <c r="Q121">
        <v>0</v>
      </c>
    </row>
    <row r="122" spans="1:17" x14ac:dyDescent="0.3">
      <c r="A122">
        <v>13</v>
      </c>
      <c r="B122" t="s">
        <v>13</v>
      </c>
      <c r="C122" t="str">
        <f>IF(Table1[[#This Row],[age]]&gt;18,"Adult","Teenage")</f>
        <v>Teenage</v>
      </c>
      <c r="D122">
        <v>2.4</v>
      </c>
      <c r="E122" t="s">
        <v>17</v>
      </c>
      <c r="F122">
        <v>4.0999999999999996</v>
      </c>
      <c r="G122">
        <f>Table1[[#This Row],[sleep_hours]]-Table1[[#This Row],[daily_social_media_hours]]</f>
        <v>1.6999999999999997</v>
      </c>
      <c r="H122">
        <v>0.8</v>
      </c>
      <c r="I122">
        <v>2.79</v>
      </c>
      <c r="J122" t="str" cm="1">
        <f t="array" ref="J122">_xlfn.IFS(Table1[[#This Row],[academic_performance]]&gt;1,"Need Improvement",Table1[[#This Row],[academic_performance]]&gt;2,"Good",Table1[[#This Row],[academic_performance]]&gt;3,"Very good",Table1[[#This Row],[academic_performance]]&gt;4,"Excellent")</f>
        <v>Need Improvement</v>
      </c>
      <c r="K122">
        <v>1.1000000000000001</v>
      </c>
      <c r="L122" t="str">
        <f>IF(Table1[[#This Row],[physical_activity]]&gt;1.9,"better overall ","lower rate of depression")</f>
        <v>lower rate of depression</v>
      </c>
      <c r="M122" t="s">
        <v>19</v>
      </c>
      <c r="N122">
        <v>8</v>
      </c>
      <c r="O122">
        <v>6</v>
      </c>
      <c r="P122">
        <v>3</v>
      </c>
      <c r="Q122">
        <v>0</v>
      </c>
    </row>
    <row r="123" spans="1:17" x14ac:dyDescent="0.3">
      <c r="A123">
        <v>15</v>
      </c>
      <c r="B123" t="s">
        <v>16</v>
      </c>
      <c r="C123" t="str">
        <f>IF(Table1[[#This Row],[age]]&gt;18,"Adult","Teenage")</f>
        <v>Teenage</v>
      </c>
      <c r="D123">
        <v>4</v>
      </c>
      <c r="E123" t="s">
        <v>14</v>
      </c>
      <c r="F123">
        <v>8.1</v>
      </c>
      <c r="G123">
        <f>Table1[[#This Row],[sleep_hours]]-Table1[[#This Row],[daily_social_media_hours]]</f>
        <v>4.0999999999999996</v>
      </c>
      <c r="H123">
        <v>2.1</v>
      </c>
      <c r="I123">
        <v>2.0099999999999998</v>
      </c>
      <c r="J123" t="str" cm="1">
        <f t="array" ref="J123">_xlfn.IFS(Table1[[#This Row],[academic_performance]]&gt;1,"Need Improvement",Table1[[#This Row],[academic_performance]]&gt;2,"Good",Table1[[#This Row],[academic_performance]]&gt;3,"Very good",Table1[[#This Row],[academic_performance]]&gt;4,"Excellent")</f>
        <v>Need Improvement</v>
      </c>
      <c r="K123">
        <v>0.4</v>
      </c>
      <c r="L123" t="str">
        <f>IF(Table1[[#This Row],[physical_activity]]&gt;1.9,"better overall ","lower rate of depression")</f>
        <v>lower rate of depression</v>
      </c>
      <c r="M123" t="s">
        <v>19</v>
      </c>
      <c r="N123">
        <v>4</v>
      </c>
      <c r="O123">
        <v>8</v>
      </c>
      <c r="P123">
        <v>8</v>
      </c>
      <c r="Q123">
        <v>0</v>
      </c>
    </row>
    <row r="124" spans="1:17" x14ac:dyDescent="0.3">
      <c r="A124">
        <v>17</v>
      </c>
      <c r="B124" t="s">
        <v>16</v>
      </c>
      <c r="C124" t="str">
        <f>IF(Table1[[#This Row],[age]]&gt;18,"Adult","Teenage")</f>
        <v>Teenage</v>
      </c>
      <c r="D124">
        <v>6</v>
      </c>
      <c r="E124" t="s">
        <v>20</v>
      </c>
      <c r="F124">
        <v>8.8000000000000007</v>
      </c>
      <c r="G124">
        <f>Table1[[#This Row],[sleep_hours]]-Table1[[#This Row],[daily_social_media_hours]]</f>
        <v>2.8000000000000007</v>
      </c>
      <c r="H124">
        <v>1.3</v>
      </c>
      <c r="I124">
        <v>4</v>
      </c>
      <c r="J124" t="str" cm="1">
        <f t="array" ref="J124">_xlfn.IFS(Table1[[#This Row],[academic_performance]]&gt;1,"Need Improvement",Table1[[#This Row],[academic_performance]]&gt;2,"Good",Table1[[#This Row],[academic_performance]]&gt;3,"Very good",Table1[[#This Row],[academic_performance]]&gt;4,"Excellent")</f>
        <v>Need Improvement</v>
      </c>
      <c r="K124">
        <v>0.9</v>
      </c>
      <c r="L124" t="str">
        <f>IF(Table1[[#This Row],[physical_activity]]&gt;1.9,"better overall ","lower rate of depression")</f>
        <v>lower rate of depression</v>
      </c>
      <c r="M124" t="s">
        <v>19</v>
      </c>
      <c r="N124">
        <v>8</v>
      </c>
      <c r="O124">
        <v>10</v>
      </c>
      <c r="P124">
        <v>7</v>
      </c>
      <c r="Q124">
        <v>0</v>
      </c>
    </row>
    <row r="125" spans="1:17" x14ac:dyDescent="0.3">
      <c r="A125">
        <v>18</v>
      </c>
      <c r="B125" t="s">
        <v>13</v>
      </c>
      <c r="C125" t="str">
        <f>IF(Table1[[#This Row],[age]]&gt;18,"Adult","Teenage")</f>
        <v>Teenage</v>
      </c>
      <c r="D125">
        <v>1.2</v>
      </c>
      <c r="E125" t="s">
        <v>17</v>
      </c>
      <c r="F125">
        <v>8</v>
      </c>
      <c r="G125">
        <f>Table1[[#This Row],[sleep_hours]]-Table1[[#This Row],[daily_social_media_hours]]</f>
        <v>6.8</v>
      </c>
      <c r="H125">
        <v>1.7</v>
      </c>
      <c r="I125">
        <v>3.12</v>
      </c>
      <c r="J125" t="str" cm="1">
        <f t="array" ref="J125">_xlfn.IFS(Table1[[#This Row],[academic_performance]]&gt;1,"Need Improvement",Table1[[#This Row],[academic_performance]]&gt;2,"Good",Table1[[#This Row],[academic_performance]]&gt;3,"Very good",Table1[[#This Row],[academic_performance]]&gt;4,"Excellent")</f>
        <v>Need Improvement</v>
      </c>
      <c r="K125">
        <v>0.1</v>
      </c>
      <c r="L125" t="str">
        <f>IF(Table1[[#This Row],[physical_activity]]&gt;1.9,"better overall ","lower rate of depression")</f>
        <v>lower rate of depression</v>
      </c>
      <c r="M125" t="s">
        <v>15</v>
      </c>
      <c r="N125">
        <v>6</v>
      </c>
      <c r="O125">
        <v>4</v>
      </c>
      <c r="P125">
        <v>2</v>
      </c>
      <c r="Q125">
        <v>0</v>
      </c>
    </row>
    <row r="126" spans="1:17" x14ac:dyDescent="0.3">
      <c r="A126">
        <v>16</v>
      </c>
      <c r="B126" t="s">
        <v>13</v>
      </c>
      <c r="C126" t="str">
        <f>IF(Table1[[#This Row],[age]]&gt;18,"Adult","Teenage")</f>
        <v>Teenage</v>
      </c>
      <c r="D126">
        <v>5.7</v>
      </c>
      <c r="E126" t="s">
        <v>20</v>
      </c>
      <c r="F126">
        <v>5.8</v>
      </c>
      <c r="G126">
        <f>Table1[[#This Row],[sleep_hours]]-Table1[[#This Row],[daily_social_media_hours]]</f>
        <v>9.9999999999999645E-2</v>
      </c>
      <c r="H126">
        <v>2.8</v>
      </c>
      <c r="I126">
        <v>2.17</v>
      </c>
      <c r="J126" t="str" cm="1">
        <f t="array" ref="J126">_xlfn.IFS(Table1[[#This Row],[academic_performance]]&gt;1,"Need Improvement",Table1[[#This Row],[academic_performance]]&gt;2,"Good",Table1[[#This Row],[academic_performance]]&gt;3,"Very good",Table1[[#This Row],[academic_performance]]&gt;4,"Excellent")</f>
        <v>Need Improvement</v>
      </c>
      <c r="K126">
        <v>0.5</v>
      </c>
      <c r="L126" t="str">
        <f>IF(Table1[[#This Row],[physical_activity]]&gt;1.9,"better overall ","lower rate of depression")</f>
        <v>lower rate of depression</v>
      </c>
      <c r="M126" t="s">
        <v>19</v>
      </c>
      <c r="N126">
        <v>3</v>
      </c>
      <c r="O126">
        <v>9</v>
      </c>
      <c r="P126">
        <v>2</v>
      </c>
      <c r="Q126">
        <v>0</v>
      </c>
    </row>
    <row r="127" spans="1:17" x14ac:dyDescent="0.3">
      <c r="A127">
        <v>19</v>
      </c>
      <c r="B127" t="s">
        <v>13</v>
      </c>
      <c r="C127" t="str">
        <f>IF(Table1[[#This Row],[age]]&gt;18,"Adult","Teenage")</f>
        <v>Adult</v>
      </c>
      <c r="D127">
        <v>6.5</v>
      </c>
      <c r="E127" t="s">
        <v>20</v>
      </c>
      <c r="F127">
        <v>8.1</v>
      </c>
      <c r="G127">
        <f>Table1[[#This Row],[sleep_hours]]-Table1[[#This Row],[daily_social_media_hours]]</f>
        <v>1.5999999999999996</v>
      </c>
      <c r="H127">
        <v>2.2999999999999998</v>
      </c>
      <c r="I127">
        <v>2.21</v>
      </c>
      <c r="J127" t="str" cm="1">
        <f t="array" ref="J127">_xlfn.IFS(Table1[[#This Row],[academic_performance]]&gt;1,"Need Improvement",Table1[[#This Row],[academic_performance]]&gt;2,"Good",Table1[[#This Row],[academic_performance]]&gt;3,"Very good",Table1[[#This Row],[academic_performance]]&gt;4,"Excellent")</f>
        <v>Need Improvement</v>
      </c>
      <c r="K127">
        <v>0.4</v>
      </c>
      <c r="L127" t="str">
        <f>IF(Table1[[#This Row],[physical_activity]]&gt;1.9,"better overall ","lower rate of depression")</f>
        <v>lower rate of depression</v>
      </c>
      <c r="M127" t="s">
        <v>18</v>
      </c>
      <c r="N127">
        <v>8</v>
      </c>
      <c r="O127">
        <v>8</v>
      </c>
      <c r="P127">
        <v>6</v>
      </c>
      <c r="Q127">
        <v>0</v>
      </c>
    </row>
    <row r="128" spans="1:17" x14ac:dyDescent="0.3">
      <c r="A128">
        <v>16</v>
      </c>
      <c r="B128" t="s">
        <v>13</v>
      </c>
      <c r="C128" t="str">
        <f>IF(Table1[[#This Row],[age]]&gt;18,"Adult","Teenage")</f>
        <v>Teenage</v>
      </c>
      <c r="D128">
        <v>6.6</v>
      </c>
      <c r="E128" t="s">
        <v>14</v>
      </c>
      <c r="F128">
        <v>5.6</v>
      </c>
      <c r="G128">
        <f>Table1[[#This Row],[sleep_hours]]-Table1[[#This Row],[daily_social_media_hours]]</f>
        <v>-1</v>
      </c>
      <c r="H128">
        <v>0.8</v>
      </c>
      <c r="I128">
        <v>3.48</v>
      </c>
      <c r="J128" t="str" cm="1">
        <f t="array" ref="J128">_xlfn.IFS(Table1[[#This Row],[academic_performance]]&gt;1,"Need Improvement",Table1[[#This Row],[academic_performance]]&gt;2,"Good",Table1[[#This Row],[academic_performance]]&gt;3,"Very good",Table1[[#This Row],[academic_performance]]&gt;4,"Excellent")</f>
        <v>Need Improvement</v>
      </c>
      <c r="K128">
        <v>1.7</v>
      </c>
      <c r="L128" t="str">
        <f>IF(Table1[[#This Row],[physical_activity]]&gt;1.9,"better overall ","lower rate of depression")</f>
        <v>lower rate of depression</v>
      </c>
      <c r="M128" t="s">
        <v>19</v>
      </c>
      <c r="N128">
        <v>4</v>
      </c>
      <c r="O128">
        <v>3</v>
      </c>
      <c r="P128">
        <v>4</v>
      </c>
      <c r="Q128">
        <v>0</v>
      </c>
    </row>
    <row r="129" spans="1:17" x14ac:dyDescent="0.3">
      <c r="A129">
        <v>13</v>
      </c>
      <c r="B129" t="s">
        <v>13</v>
      </c>
      <c r="C129" t="str">
        <f>IF(Table1[[#This Row],[age]]&gt;18,"Adult","Teenage")</f>
        <v>Teenage</v>
      </c>
      <c r="D129">
        <v>6</v>
      </c>
      <c r="E129" t="s">
        <v>17</v>
      </c>
      <c r="F129">
        <v>7.2</v>
      </c>
      <c r="G129">
        <f>Table1[[#This Row],[sleep_hours]]-Table1[[#This Row],[daily_social_media_hours]]</f>
        <v>1.2000000000000002</v>
      </c>
      <c r="H129">
        <v>1.5</v>
      </c>
      <c r="I129">
        <v>2.36</v>
      </c>
      <c r="J129" t="str" cm="1">
        <f t="array" ref="J129">_xlfn.IFS(Table1[[#This Row],[academic_performance]]&gt;1,"Need Improvement",Table1[[#This Row],[academic_performance]]&gt;2,"Good",Table1[[#This Row],[academic_performance]]&gt;3,"Very good",Table1[[#This Row],[academic_performance]]&gt;4,"Excellent")</f>
        <v>Need Improvement</v>
      </c>
      <c r="K129">
        <v>0.2</v>
      </c>
      <c r="L129" t="str">
        <f>IF(Table1[[#This Row],[physical_activity]]&gt;1.9,"better overall ","lower rate of depression")</f>
        <v>lower rate of depression</v>
      </c>
      <c r="M129" t="s">
        <v>15</v>
      </c>
      <c r="N129">
        <v>1</v>
      </c>
      <c r="O129">
        <v>3</v>
      </c>
      <c r="P129">
        <v>4</v>
      </c>
      <c r="Q129">
        <v>0</v>
      </c>
    </row>
    <row r="130" spans="1:17" x14ac:dyDescent="0.3">
      <c r="A130">
        <v>18</v>
      </c>
      <c r="B130" t="s">
        <v>16</v>
      </c>
      <c r="C130" t="str">
        <f>IF(Table1[[#This Row],[age]]&gt;18,"Adult","Teenage")</f>
        <v>Teenage</v>
      </c>
      <c r="D130">
        <v>1.1000000000000001</v>
      </c>
      <c r="E130" t="s">
        <v>20</v>
      </c>
      <c r="F130">
        <v>8</v>
      </c>
      <c r="G130">
        <f>Table1[[#This Row],[sleep_hours]]-Table1[[#This Row],[daily_social_media_hours]]</f>
        <v>6.9</v>
      </c>
      <c r="H130">
        <v>2.7</v>
      </c>
      <c r="I130">
        <v>2.04</v>
      </c>
      <c r="J130" t="str" cm="1">
        <f t="array" ref="J130">_xlfn.IFS(Table1[[#This Row],[academic_performance]]&gt;1,"Need Improvement",Table1[[#This Row],[academic_performance]]&gt;2,"Good",Table1[[#This Row],[academic_performance]]&gt;3,"Very good",Table1[[#This Row],[academic_performance]]&gt;4,"Excellent")</f>
        <v>Need Improvement</v>
      </c>
      <c r="K130">
        <v>0.1</v>
      </c>
      <c r="L130" t="str">
        <f>IF(Table1[[#This Row],[physical_activity]]&gt;1.9,"better overall ","lower rate of depression")</f>
        <v>lower rate of depression</v>
      </c>
      <c r="M130" t="s">
        <v>15</v>
      </c>
      <c r="N130">
        <v>7</v>
      </c>
      <c r="O130">
        <v>10</v>
      </c>
      <c r="P130">
        <v>2</v>
      </c>
      <c r="Q130">
        <v>0</v>
      </c>
    </row>
    <row r="131" spans="1:17" x14ac:dyDescent="0.3">
      <c r="A131">
        <v>13</v>
      </c>
      <c r="B131" t="s">
        <v>16</v>
      </c>
      <c r="C131" t="str">
        <f>IF(Table1[[#This Row],[age]]&gt;18,"Adult","Teenage")</f>
        <v>Teenage</v>
      </c>
      <c r="D131">
        <v>3.8</v>
      </c>
      <c r="E131" t="s">
        <v>14</v>
      </c>
      <c r="F131">
        <v>7.9</v>
      </c>
      <c r="G131">
        <f>Table1[[#This Row],[sleep_hours]]-Table1[[#This Row],[daily_social_media_hours]]</f>
        <v>4.1000000000000005</v>
      </c>
      <c r="H131">
        <v>1.3</v>
      </c>
      <c r="I131">
        <v>3.97</v>
      </c>
      <c r="J131" t="str" cm="1">
        <f t="array" ref="J131">_xlfn.IFS(Table1[[#This Row],[academic_performance]]&gt;1,"Need Improvement",Table1[[#This Row],[academic_performance]]&gt;2,"Good",Table1[[#This Row],[academic_performance]]&gt;3,"Very good",Table1[[#This Row],[academic_performance]]&gt;4,"Excellent")</f>
        <v>Need Improvement</v>
      </c>
      <c r="K131">
        <v>0.2</v>
      </c>
      <c r="L131" t="str">
        <f>IF(Table1[[#This Row],[physical_activity]]&gt;1.9,"better overall ","lower rate of depression")</f>
        <v>lower rate of depression</v>
      </c>
      <c r="M131" t="s">
        <v>19</v>
      </c>
      <c r="N131">
        <v>7</v>
      </c>
      <c r="O131">
        <v>10</v>
      </c>
      <c r="P131">
        <v>9</v>
      </c>
      <c r="Q131">
        <v>0</v>
      </c>
    </row>
    <row r="132" spans="1:17" x14ac:dyDescent="0.3">
      <c r="A132">
        <v>13</v>
      </c>
      <c r="B132" t="s">
        <v>16</v>
      </c>
      <c r="C132" t="str">
        <f>IF(Table1[[#This Row],[age]]&gt;18,"Adult","Teenage")</f>
        <v>Teenage</v>
      </c>
      <c r="D132">
        <v>4.7</v>
      </c>
      <c r="E132" t="s">
        <v>20</v>
      </c>
      <c r="F132">
        <v>6.8</v>
      </c>
      <c r="G132">
        <f>Table1[[#This Row],[sleep_hours]]-Table1[[#This Row],[daily_social_media_hours]]</f>
        <v>2.0999999999999996</v>
      </c>
      <c r="H132">
        <v>1.7</v>
      </c>
      <c r="I132">
        <v>3.27</v>
      </c>
      <c r="J132" t="str" cm="1">
        <f t="array" ref="J132">_xlfn.IFS(Table1[[#This Row],[academic_performance]]&gt;1,"Need Improvement",Table1[[#This Row],[academic_performance]]&gt;2,"Good",Table1[[#This Row],[academic_performance]]&gt;3,"Very good",Table1[[#This Row],[academic_performance]]&gt;4,"Excellent")</f>
        <v>Need Improvement</v>
      </c>
      <c r="K132">
        <v>1.4</v>
      </c>
      <c r="L132" t="str">
        <f>IF(Table1[[#This Row],[physical_activity]]&gt;1.9,"better overall ","lower rate of depression")</f>
        <v>lower rate of depression</v>
      </c>
      <c r="M132" t="s">
        <v>15</v>
      </c>
      <c r="N132">
        <v>4</v>
      </c>
      <c r="O132">
        <v>2</v>
      </c>
      <c r="P132">
        <v>4</v>
      </c>
      <c r="Q132">
        <v>0</v>
      </c>
    </row>
    <row r="133" spans="1:17" x14ac:dyDescent="0.3">
      <c r="A133">
        <v>15</v>
      </c>
      <c r="B133" t="s">
        <v>13</v>
      </c>
      <c r="C133" t="str">
        <f>IF(Table1[[#This Row],[age]]&gt;18,"Adult","Teenage")</f>
        <v>Teenage</v>
      </c>
      <c r="D133">
        <v>7.4</v>
      </c>
      <c r="E133" t="s">
        <v>17</v>
      </c>
      <c r="F133">
        <v>6.3</v>
      </c>
      <c r="G133">
        <f>Table1[[#This Row],[sleep_hours]]-Table1[[#This Row],[daily_social_media_hours]]</f>
        <v>-1.1000000000000005</v>
      </c>
      <c r="H133">
        <v>1.3</v>
      </c>
      <c r="I133">
        <v>3.47</v>
      </c>
      <c r="J133" t="str" cm="1">
        <f t="array" ref="J133">_xlfn.IFS(Table1[[#This Row],[academic_performance]]&gt;1,"Need Improvement",Table1[[#This Row],[academic_performance]]&gt;2,"Good",Table1[[#This Row],[academic_performance]]&gt;3,"Very good",Table1[[#This Row],[academic_performance]]&gt;4,"Excellent")</f>
        <v>Need Improvement</v>
      </c>
      <c r="K133">
        <v>1.2</v>
      </c>
      <c r="L133" t="str">
        <f>IF(Table1[[#This Row],[physical_activity]]&gt;1.9,"better overall ","lower rate of depression")</f>
        <v>lower rate of depression</v>
      </c>
      <c r="M133" t="s">
        <v>19</v>
      </c>
      <c r="N133">
        <v>1</v>
      </c>
      <c r="O133">
        <v>3</v>
      </c>
      <c r="P133">
        <v>9</v>
      </c>
      <c r="Q133">
        <v>0</v>
      </c>
    </row>
    <row r="134" spans="1:17" x14ac:dyDescent="0.3">
      <c r="A134">
        <v>17</v>
      </c>
      <c r="B134" t="s">
        <v>13</v>
      </c>
      <c r="C134" t="str">
        <f>IF(Table1[[#This Row],[age]]&gt;18,"Adult","Teenage")</f>
        <v>Teenage</v>
      </c>
      <c r="D134">
        <v>3.9</v>
      </c>
      <c r="E134" t="s">
        <v>14</v>
      </c>
      <c r="F134">
        <v>7.1</v>
      </c>
      <c r="G134">
        <f>Table1[[#This Row],[sleep_hours]]-Table1[[#This Row],[daily_social_media_hours]]</f>
        <v>3.1999999999999997</v>
      </c>
      <c r="H134">
        <v>2.4</v>
      </c>
      <c r="I134">
        <v>3.82</v>
      </c>
      <c r="J134" t="str" cm="1">
        <f t="array" ref="J134">_xlfn.IFS(Table1[[#This Row],[academic_performance]]&gt;1,"Need Improvement",Table1[[#This Row],[academic_performance]]&gt;2,"Good",Table1[[#This Row],[academic_performance]]&gt;3,"Very good",Table1[[#This Row],[academic_performance]]&gt;4,"Excellent")</f>
        <v>Need Improvement</v>
      </c>
      <c r="K134">
        <v>0.8</v>
      </c>
      <c r="L134" t="str">
        <f>IF(Table1[[#This Row],[physical_activity]]&gt;1.9,"better overall ","lower rate of depression")</f>
        <v>lower rate of depression</v>
      </c>
      <c r="M134" t="s">
        <v>18</v>
      </c>
      <c r="N134">
        <v>3</v>
      </c>
      <c r="O134">
        <v>6</v>
      </c>
      <c r="P134">
        <v>10</v>
      </c>
      <c r="Q134">
        <v>0</v>
      </c>
    </row>
    <row r="135" spans="1:17" x14ac:dyDescent="0.3">
      <c r="A135">
        <v>18</v>
      </c>
      <c r="B135" t="s">
        <v>13</v>
      </c>
      <c r="C135" t="str">
        <f>IF(Table1[[#This Row],[age]]&gt;18,"Adult","Teenage")</f>
        <v>Teenage</v>
      </c>
      <c r="D135">
        <v>3.1</v>
      </c>
      <c r="E135" t="s">
        <v>14</v>
      </c>
      <c r="F135">
        <v>5.7</v>
      </c>
      <c r="G135">
        <f>Table1[[#This Row],[sleep_hours]]-Table1[[#This Row],[daily_social_media_hours]]</f>
        <v>2.6</v>
      </c>
      <c r="H135">
        <v>2.9</v>
      </c>
      <c r="I135">
        <v>3.1</v>
      </c>
      <c r="J135" t="str" cm="1">
        <f t="array" ref="J135">_xlfn.IFS(Table1[[#This Row],[academic_performance]]&gt;1,"Need Improvement",Table1[[#This Row],[academic_performance]]&gt;2,"Good",Table1[[#This Row],[academic_performance]]&gt;3,"Very good",Table1[[#This Row],[academic_performance]]&gt;4,"Excellent")</f>
        <v>Need Improvement</v>
      </c>
      <c r="K135">
        <v>0.6</v>
      </c>
      <c r="L135" t="str">
        <f>IF(Table1[[#This Row],[physical_activity]]&gt;1.9,"better overall ","lower rate of depression")</f>
        <v>lower rate of depression</v>
      </c>
      <c r="M135" t="s">
        <v>19</v>
      </c>
      <c r="N135">
        <v>9</v>
      </c>
      <c r="O135">
        <v>4</v>
      </c>
      <c r="P135">
        <v>2</v>
      </c>
      <c r="Q135">
        <v>0</v>
      </c>
    </row>
    <row r="136" spans="1:17" x14ac:dyDescent="0.3">
      <c r="A136">
        <v>16</v>
      </c>
      <c r="B136" t="s">
        <v>16</v>
      </c>
      <c r="C136" t="str">
        <f>IF(Table1[[#This Row],[age]]&gt;18,"Adult","Teenage")</f>
        <v>Teenage</v>
      </c>
      <c r="D136">
        <v>2.6</v>
      </c>
      <c r="E136" t="s">
        <v>17</v>
      </c>
      <c r="F136">
        <v>8.8000000000000007</v>
      </c>
      <c r="G136">
        <f>Table1[[#This Row],[sleep_hours]]-Table1[[#This Row],[daily_social_media_hours]]</f>
        <v>6.2000000000000011</v>
      </c>
      <c r="H136">
        <v>1.7</v>
      </c>
      <c r="I136">
        <v>2.39</v>
      </c>
      <c r="J136" t="str" cm="1">
        <f t="array" ref="J136">_xlfn.IFS(Table1[[#This Row],[academic_performance]]&gt;1,"Need Improvement",Table1[[#This Row],[academic_performance]]&gt;2,"Good",Table1[[#This Row],[academic_performance]]&gt;3,"Very good",Table1[[#This Row],[academic_performance]]&gt;4,"Excellent")</f>
        <v>Need Improvement</v>
      </c>
      <c r="K136">
        <v>1</v>
      </c>
      <c r="L136" t="str">
        <f>IF(Table1[[#This Row],[physical_activity]]&gt;1.9,"better overall ","lower rate of depression")</f>
        <v>lower rate of depression</v>
      </c>
      <c r="M136" t="s">
        <v>19</v>
      </c>
      <c r="N136">
        <v>5</v>
      </c>
      <c r="O136">
        <v>2</v>
      </c>
      <c r="P136">
        <v>6</v>
      </c>
      <c r="Q136">
        <v>0</v>
      </c>
    </row>
    <row r="137" spans="1:17" x14ac:dyDescent="0.3">
      <c r="A137">
        <v>13</v>
      </c>
      <c r="B137" t="s">
        <v>13</v>
      </c>
      <c r="C137" t="str">
        <f>IF(Table1[[#This Row],[age]]&gt;18,"Adult","Teenage")</f>
        <v>Teenage</v>
      </c>
      <c r="D137">
        <v>5</v>
      </c>
      <c r="E137" t="s">
        <v>17</v>
      </c>
      <c r="F137">
        <v>6.9</v>
      </c>
      <c r="G137">
        <f>Table1[[#This Row],[sleep_hours]]-Table1[[#This Row],[daily_social_media_hours]]</f>
        <v>1.9000000000000004</v>
      </c>
      <c r="H137">
        <v>0.6</v>
      </c>
      <c r="I137">
        <v>3.03</v>
      </c>
      <c r="J137" t="str" cm="1">
        <f t="array" ref="J137">_xlfn.IFS(Table1[[#This Row],[academic_performance]]&gt;1,"Need Improvement",Table1[[#This Row],[academic_performance]]&gt;2,"Good",Table1[[#This Row],[academic_performance]]&gt;3,"Very good",Table1[[#This Row],[academic_performance]]&gt;4,"Excellent")</f>
        <v>Need Improvement</v>
      </c>
      <c r="K137">
        <v>0.8</v>
      </c>
      <c r="L137" t="str">
        <f>IF(Table1[[#This Row],[physical_activity]]&gt;1.9,"better overall ","lower rate of depression")</f>
        <v>lower rate of depression</v>
      </c>
      <c r="M137" t="s">
        <v>15</v>
      </c>
      <c r="N137">
        <v>9</v>
      </c>
      <c r="O137">
        <v>3</v>
      </c>
      <c r="P137">
        <v>8</v>
      </c>
      <c r="Q137">
        <v>0</v>
      </c>
    </row>
    <row r="138" spans="1:17" x14ac:dyDescent="0.3">
      <c r="A138">
        <v>18</v>
      </c>
      <c r="B138" t="s">
        <v>13</v>
      </c>
      <c r="C138" t="str">
        <f>IF(Table1[[#This Row],[age]]&gt;18,"Adult","Teenage")</f>
        <v>Teenage</v>
      </c>
      <c r="D138">
        <v>4.5</v>
      </c>
      <c r="E138" t="s">
        <v>14</v>
      </c>
      <c r="F138">
        <v>8.1</v>
      </c>
      <c r="G138">
        <f>Table1[[#This Row],[sleep_hours]]-Table1[[#This Row],[daily_social_media_hours]]</f>
        <v>3.5999999999999996</v>
      </c>
      <c r="H138">
        <v>1.6</v>
      </c>
      <c r="I138">
        <v>3.72</v>
      </c>
      <c r="J138" t="str" cm="1">
        <f t="array" ref="J138">_xlfn.IFS(Table1[[#This Row],[academic_performance]]&gt;1,"Need Improvement",Table1[[#This Row],[academic_performance]]&gt;2,"Good",Table1[[#This Row],[academic_performance]]&gt;3,"Very good",Table1[[#This Row],[academic_performance]]&gt;4,"Excellent")</f>
        <v>Need Improvement</v>
      </c>
      <c r="K138">
        <v>1.2</v>
      </c>
      <c r="L138" t="str">
        <f>IF(Table1[[#This Row],[physical_activity]]&gt;1.9,"better overall ","lower rate of depression")</f>
        <v>lower rate of depression</v>
      </c>
      <c r="M138" t="s">
        <v>15</v>
      </c>
      <c r="N138">
        <v>1</v>
      </c>
      <c r="O138">
        <v>2</v>
      </c>
      <c r="P138">
        <v>1</v>
      </c>
      <c r="Q138">
        <v>0</v>
      </c>
    </row>
    <row r="139" spans="1:17" x14ac:dyDescent="0.3">
      <c r="A139">
        <v>17</v>
      </c>
      <c r="B139" t="s">
        <v>13</v>
      </c>
      <c r="C139" t="str">
        <f>IF(Table1[[#This Row],[age]]&gt;18,"Adult","Teenage")</f>
        <v>Teenage</v>
      </c>
      <c r="D139">
        <v>2.1</v>
      </c>
      <c r="E139" t="s">
        <v>17</v>
      </c>
      <c r="F139">
        <v>4.7</v>
      </c>
      <c r="G139">
        <f>Table1[[#This Row],[sleep_hours]]-Table1[[#This Row],[daily_social_media_hours]]</f>
        <v>2.6</v>
      </c>
      <c r="H139">
        <v>2</v>
      </c>
      <c r="I139">
        <v>2.99</v>
      </c>
      <c r="J139" t="str" cm="1">
        <f t="array" ref="J139">_xlfn.IFS(Table1[[#This Row],[academic_performance]]&gt;1,"Need Improvement",Table1[[#This Row],[academic_performance]]&gt;2,"Good",Table1[[#This Row],[academic_performance]]&gt;3,"Very good",Table1[[#This Row],[academic_performance]]&gt;4,"Excellent")</f>
        <v>Need Improvement</v>
      </c>
      <c r="K139">
        <v>1.9</v>
      </c>
      <c r="L139" t="str">
        <f>IF(Table1[[#This Row],[physical_activity]]&gt;1.9,"better overall ","lower rate of depression")</f>
        <v>lower rate of depression</v>
      </c>
      <c r="M139" t="s">
        <v>15</v>
      </c>
      <c r="N139">
        <v>5</v>
      </c>
      <c r="O139">
        <v>1</v>
      </c>
      <c r="P139">
        <v>8</v>
      </c>
      <c r="Q139">
        <v>0</v>
      </c>
    </row>
    <row r="140" spans="1:17" x14ac:dyDescent="0.3">
      <c r="A140">
        <v>14</v>
      </c>
      <c r="B140" t="s">
        <v>16</v>
      </c>
      <c r="C140" t="str">
        <f>IF(Table1[[#This Row],[age]]&gt;18,"Adult","Teenage")</f>
        <v>Teenage</v>
      </c>
      <c r="D140">
        <v>6.4</v>
      </c>
      <c r="E140" t="s">
        <v>14</v>
      </c>
      <c r="F140">
        <v>6</v>
      </c>
      <c r="G140">
        <f>Table1[[#This Row],[sleep_hours]]-Table1[[#This Row],[daily_social_media_hours]]</f>
        <v>-0.40000000000000036</v>
      </c>
      <c r="H140">
        <v>1.1000000000000001</v>
      </c>
      <c r="I140">
        <v>3.81</v>
      </c>
      <c r="J140" t="str" cm="1">
        <f t="array" ref="J140">_xlfn.IFS(Table1[[#This Row],[academic_performance]]&gt;1,"Need Improvement",Table1[[#This Row],[academic_performance]]&gt;2,"Good",Table1[[#This Row],[academic_performance]]&gt;3,"Very good",Table1[[#This Row],[academic_performance]]&gt;4,"Excellent")</f>
        <v>Need Improvement</v>
      </c>
      <c r="K140">
        <v>0.9</v>
      </c>
      <c r="L140" t="str">
        <f>IF(Table1[[#This Row],[physical_activity]]&gt;1.9,"better overall ","lower rate of depression")</f>
        <v>lower rate of depression</v>
      </c>
      <c r="M140" t="s">
        <v>19</v>
      </c>
      <c r="N140">
        <v>8</v>
      </c>
      <c r="O140">
        <v>2</v>
      </c>
      <c r="P140">
        <v>3</v>
      </c>
      <c r="Q140">
        <v>0</v>
      </c>
    </row>
    <row r="141" spans="1:17" x14ac:dyDescent="0.3">
      <c r="A141">
        <v>15</v>
      </c>
      <c r="B141" t="s">
        <v>16</v>
      </c>
      <c r="C141" t="str">
        <f>IF(Table1[[#This Row],[age]]&gt;18,"Adult","Teenage")</f>
        <v>Teenage</v>
      </c>
      <c r="D141">
        <v>2.2999999999999998</v>
      </c>
      <c r="E141" t="s">
        <v>17</v>
      </c>
      <c r="F141">
        <v>6.5</v>
      </c>
      <c r="G141">
        <f>Table1[[#This Row],[sleep_hours]]-Table1[[#This Row],[daily_social_media_hours]]</f>
        <v>4.2</v>
      </c>
      <c r="H141">
        <v>2.6</v>
      </c>
      <c r="I141">
        <v>3.18</v>
      </c>
      <c r="J141" t="str" cm="1">
        <f t="array" ref="J141">_xlfn.IFS(Table1[[#This Row],[academic_performance]]&gt;1,"Need Improvement",Table1[[#This Row],[academic_performance]]&gt;2,"Good",Table1[[#This Row],[academic_performance]]&gt;3,"Very good",Table1[[#This Row],[academic_performance]]&gt;4,"Excellent")</f>
        <v>Need Improvement</v>
      </c>
      <c r="K141">
        <v>0.1</v>
      </c>
      <c r="L141" t="str">
        <f>IF(Table1[[#This Row],[physical_activity]]&gt;1.9,"better overall ","lower rate of depression")</f>
        <v>lower rate of depression</v>
      </c>
      <c r="M141" t="s">
        <v>15</v>
      </c>
      <c r="N141">
        <v>1</v>
      </c>
      <c r="O141">
        <v>8</v>
      </c>
      <c r="P141">
        <v>4</v>
      </c>
      <c r="Q141">
        <v>0</v>
      </c>
    </row>
    <row r="142" spans="1:17" x14ac:dyDescent="0.3">
      <c r="A142">
        <v>13</v>
      </c>
      <c r="B142" t="s">
        <v>16</v>
      </c>
      <c r="C142" t="str">
        <f>IF(Table1[[#This Row],[age]]&gt;18,"Adult","Teenage")</f>
        <v>Teenage</v>
      </c>
      <c r="D142">
        <v>4.4000000000000004</v>
      </c>
      <c r="E142" t="s">
        <v>17</v>
      </c>
      <c r="F142">
        <v>8.8000000000000007</v>
      </c>
      <c r="G142">
        <f>Table1[[#This Row],[sleep_hours]]-Table1[[#This Row],[daily_social_media_hours]]</f>
        <v>4.4000000000000004</v>
      </c>
      <c r="H142">
        <v>1.3</v>
      </c>
      <c r="I142">
        <v>2.69</v>
      </c>
      <c r="J142" t="str" cm="1">
        <f t="array" ref="J142">_xlfn.IFS(Table1[[#This Row],[academic_performance]]&gt;1,"Need Improvement",Table1[[#This Row],[academic_performance]]&gt;2,"Good",Table1[[#This Row],[academic_performance]]&gt;3,"Very good",Table1[[#This Row],[academic_performance]]&gt;4,"Excellent")</f>
        <v>Need Improvement</v>
      </c>
      <c r="K142">
        <v>0.4</v>
      </c>
      <c r="L142" t="str">
        <f>IF(Table1[[#This Row],[physical_activity]]&gt;1.9,"better overall ","lower rate of depression")</f>
        <v>lower rate of depression</v>
      </c>
      <c r="M142" t="s">
        <v>15</v>
      </c>
      <c r="N142">
        <v>3</v>
      </c>
      <c r="O142">
        <v>1</v>
      </c>
      <c r="P142">
        <v>7</v>
      </c>
      <c r="Q142">
        <v>0</v>
      </c>
    </row>
    <row r="143" spans="1:17" x14ac:dyDescent="0.3">
      <c r="A143">
        <v>19</v>
      </c>
      <c r="B143" t="s">
        <v>13</v>
      </c>
      <c r="C143" t="str">
        <f>IF(Table1[[#This Row],[age]]&gt;18,"Adult","Teenage")</f>
        <v>Adult</v>
      </c>
      <c r="D143">
        <v>2.2999999999999998</v>
      </c>
      <c r="E143" t="s">
        <v>14</v>
      </c>
      <c r="F143">
        <v>6.9</v>
      </c>
      <c r="G143">
        <f>Table1[[#This Row],[sleep_hours]]-Table1[[#This Row],[daily_social_media_hours]]</f>
        <v>4.6000000000000005</v>
      </c>
      <c r="H143">
        <v>2.2999999999999998</v>
      </c>
      <c r="I143">
        <v>2.17</v>
      </c>
      <c r="J143" t="str" cm="1">
        <f t="array" ref="J143">_xlfn.IFS(Table1[[#This Row],[academic_performance]]&gt;1,"Need Improvement",Table1[[#This Row],[academic_performance]]&gt;2,"Good",Table1[[#This Row],[academic_performance]]&gt;3,"Very good",Table1[[#This Row],[academic_performance]]&gt;4,"Excellent")</f>
        <v>Need Improvement</v>
      </c>
      <c r="K143">
        <v>1.6</v>
      </c>
      <c r="L143" t="str">
        <f>IF(Table1[[#This Row],[physical_activity]]&gt;1.9,"better overall ","lower rate of depression")</f>
        <v>lower rate of depression</v>
      </c>
      <c r="M143" t="s">
        <v>19</v>
      </c>
      <c r="N143">
        <v>3</v>
      </c>
      <c r="O143">
        <v>6</v>
      </c>
      <c r="P143">
        <v>10</v>
      </c>
      <c r="Q143">
        <v>0</v>
      </c>
    </row>
    <row r="144" spans="1:17" x14ac:dyDescent="0.3">
      <c r="A144">
        <v>13</v>
      </c>
      <c r="B144" t="s">
        <v>13</v>
      </c>
      <c r="C144" t="str">
        <f>IF(Table1[[#This Row],[age]]&gt;18,"Adult","Teenage")</f>
        <v>Teenage</v>
      </c>
      <c r="D144">
        <v>4.3</v>
      </c>
      <c r="E144" t="s">
        <v>14</v>
      </c>
      <c r="F144">
        <v>4.4000000000000004</v>
      </c>
      <c r="G144">
        <f>Table1[[#This Row],[sleep_hours]]-Table1[[#This Row],[daily_social_media_hours]]</f>
        <v>0.10000000000000053</v>
      </c>
      <c r="H144">
        <v>0.7</v>
      </c>
      <c r="I144">
        <v>3.19</v>
      </c>
      <c r="J144" t="str" cm="1">
        <f t="array" ref="J144">_xlfn.IFS(Table1[[#This Row],[academic_performance]]&gt;1,"Need Improvement",Table1[[#This Row],[academic_performance]]&gt;2,"Good",Table1[[#This Row],[academic_performance]]&gt;3,"Very good",Table1[[#This Row],[academic_performance]]&gt;4,"Excellent")</f>
        <v>Need Improvement</v>
      </c>
      <c r="K144">
        <v>0.3</v>
      </c>
      <c r="L144" t="str">
        <f>IF(Table1[[#This Row],[physical_activity]]&gt;1.9,"better overall ","lower rate of depression")</f>
        <v>lower rate of depression</v>
      </c>
      <c r="M144" t="s">
        <v>15</v>
      </c>
      <c r="N144">
        <v>6</v>
      </c>
      <c r="O144">
        <v>2</v>
      </c>
      <c r="P144">
        <v>6</v>
      </c>
      <c r="Q144">
        <v>0</v>
      </c>
    </row>
    <row r="145" spans="1:17" x14ac:dyDescent="0.3">
      <c r="A145">
        <v>18</v>
      </c>
      <c r="B145" t="s">
        <v>16</v>
      </c>
      <c r="C145" t="str">
        <f>IF(Table1[[#This Row],[age]]&gt;18,"Adult","Teenage")</f>
        <v>Teenage</v>
      </c>
      <c r="D145">
        <v>3.9</v>
      </c>
      <c r="E145" t="s">
        <v>17</v>
      </c>
      <c r="F145">
        <v>5.2</v>
      </c>
      <c r="G145">
        <f>Table1[[#This Row],[sleep_hours]]-Table1[[#This Row],[daily_social_media_hours]]</f>
        <v>1.3000000000000003</v>
      </c>
      <c r="H145">
        <v>1.8</v>
      </c>
      <c r="I145">
        <v>2.41</v>
      </c>
      <c r="J145" t="str" cm="1">
        <f t="array" ref="J145">_xlfn.IFS(Table1[[#This Row],[academic_performance]]&gt;1,"Need Improvement",Table1[[#This Row],[academic_performance]]&gt;2,"Good",Table1[[#This Row],[academic_performance]]&gt;3,"Very good",Table1[[#This Row],[academic_performance]]&gt;4,"Excellent")</f>
        <v>Need Improvement</v>
      </c>
      <c r="K145">
        <v>0.6</v>
      </c>
      <c r="L145" t="str">
        <f>IF(Table1[[#This Row],[physical_activity]]&gt;1.9,"better overall ","lower rate of depression")</f>
        <v>lower rate of depression</v>
      </c>
      <c r="M145" t="s">
        <v>18</v>
      </c>
      <c r="N145">
        <v>9</v>
      </c>
      <c r="O145">
        <v>5</v>
      </c>
      <c r="P145">
        <v>5</v>
      </c>
      <c r="Q145">
        <v>0</v>
      </c>
    </row>
    <row r="146" spans="1:17" x14ac:dyDescent="0.3">
      <c r="A146">
        <v>18</v>
      </c>
      <c r="B146" t="s">
        <v>13</v>
      </c>
      <c r="C146" t="str">
        <f>IF(Table1[[#This Row],[age]]&gt;18,"Adult","Teenage")</f>
        <v>Teenage</v>
      </c>
      <c r="D146">
        <v>2.9</v>
      </c>
      <c r="E146" t="s">
        <v>17</v>
      </c>
      <c r="F146">
        <v>7.5</v>
      </c>
      <c r="G146">
        <f>Table1[[#This Row],[sleep_hours]]-Table1[[#This Row],[daily_social_media_hours]]</f>
        <v>4.5999999999999996</v>
      </c>
      <c r="H146">
        <v>0.9</v>
      </c>
      <c r="I146">
        <v>2.62</v>
      </c>
      <c r="J146" t="str" cm="1">
        <f t="array" ref="J146">_xlfn.IFS(Table1[[#This Row],[academic_performance]]&gt;1,"Need Improvement",Table1[[#This Row],[academic_performance]]&gt;2,"Good",Table1[[#This Row],[academic_performance]]&gt;3,"Very good",Table1[[#This Row],[academic_performance]]&gt;4,"Excellent")</f>
        <v>Need Improvement</v>
      </c>
      <c r="K146">
        <v>2</v>
      </c>
      <c r="L146" t="str">
        <f>IF(Table1[[#This Row],[physical_activity]]&gt;1.9,"better overall ","lower rate of depression")</f>
        <v xml:space="preserve">better overall </v>
      </c>
      <c r="M146" t="s">
        <v>18</v>
      </c>
      <c r="N146">
        <v>3</v>
      </c>
      <c r="O146">
        <v>1</v>
      </c>
      <c r="P146">
        <v>9</v>
      </c>
      <c r="Q146">
        <v>0</v>
      </c>
    </row>
    <row r="147" spans="1:17" x14ac:dyDescent="0.3">
      <c r="A147">
        <v>14</v>
      </c>
      <c r="B147" t="s">
        <v>13</v>
      </c>
      <c r="C147" t="str">
        <f>IF(Table1[[#This Row],[age]]&gt;18,"Adult","Teenage")</f>
        <v>Teenage</v>
      </c>
      <c r="D147">
        <v>2.1</v>
      </c>
      <c r="E147" t="s">
        <v>14</v>
      </c>
      <c r="F147">
        <v>8.5</v>
      </c>
      <c r="G147">
        <f>Table1[[#This Row],[sleep_hours]]-Table1[[#This Row],[daily_social_media_hours]]</f>
        <v>6.4</v>
      </c>
      <c r="H147">
        <v>1.1000000000000001</v>
      </c>
      <c r="I147">
        <v>3.03</v>
      </c>
      <c r="J147" t="str" cm="1">
        <f t="array" ref="J147">_xlfn.IFS(Table1[[#This Row],[academic_performance]]&gt;1,"Need Improvement",Table1[[#This Row],[academic_performance]]&gt;2,"Good",Table1[[#This Row],[academic_performance]]&gt;3,"Very good",Table1[[#This Row],[academic_performance]]&gt;4,"Excellent")</f>
        <v>Need Improvement</v>
      </c>
      <c r="K147">
        <v>1.6</v>
      </c>
      <c r="L147" t="str">
        <f>IF(Table1[[#This Row],[physical_activity]]&gt;1.9,"better overall ","lower rate of depression")</f>
        <v>lower rate of depression</v>
      </c>
      <c r="M147" t="s">
        <v>19</v>
      </c>
      <c r="N147">
        <v>5</v>
      </c>
      <c r="O147">
        <v>6</v>
      </c>
      <c r="P147">
        <v>7</v>
      </c>
      <c r="Q147">
        <v>0</v>
      </c>
    </row>
    <row r="148" spans="1:17" x14ac:dyDescent="0.3">
      <c r="A148">
        <v>14</v>
      </c>
      <c r="B148" t="s">
        <v>13</v>
      </c>
      <c r="C148" t="str">
        <f>IF(Table1[[#This Row],[age]]&gt;18,"Adult","Teenage")</f>
        <v>Teenage</v>
      </c>
      <c r="D148">
        <v>2.1</v>
      </c>
      <c r="E148" t="s">
        <v>17</v>
      </c>
      <c r="F148">
        <v>5</v>
      </c>
      <c r="G148">
        <f>Table1[[#This Row],[sleep_hours]]-Table1[[#This Row],[daily_social_media_hours]]</f>
        <v>2.9</v>
      </c>
      <c r="H148">
        <v>1.4</v>
      </c>
      <c r="I148">
        <v>2.96</v>
      </c>
      <c r="J148" t="str" cm="1">
        <f t="array" ref="J148">_xlfn.IFS(Table1[[#This Row],[academic_performance]]&gt;1,"Need Improvement",Table1[[#This Row],[academic_performance]]&gt;2,"Good",Table1[[#This Row],[academic_performance]]&gt;3,"Very good",Table1[[#This Row],[academic_performance]]&gt;4,"Excellent")</f>
        <v>Need Improvement</v>
      </c>
      <c r="K148">
        <v>1.1000000000000001</v>
      </c>
      <c r="L148" t="str">
        <f>IF(Table1[[#This Row],[physical_activity]]&gt;1.9,"better overall ","lower rate of depression")</f>
        <v>lower rate of depression</v>
      </c>
      <c r="M148" t="s">
        <v>15</v>
      </c>
      <c r="N148">
        <v>7</v>
      </c>
      <c r="O148">
        <v>1</v>
      </c>
      <c r="P148">
        <v>9</v>
      </c>
      <c r="Q148">
        <v>0</v>
      </c>
    </row>
    <row r="149" spans="1:17" x14ac:dyDescent="0.3">
      <c r="A149">
        <v>16</v>
      </c>
      <c r="B149" t="s">
        <v>13</v>
      </c>
      <c r="C149" t="str">
        <f>IF(Table1[[#This Row],[age]]&gt;18,"Adult","Teenage")</f>
        <v>Teenage</v>
      </c>
      <c r="D149">
        <v>3.8</v>
      </c>
      <c r="E149" t="s">
        <v>17</v>
      </c>
      <c r="F149">
        <v>5.7</v>
      </c>
      <c r="G149">
        <f>Table1[[#This Row],[sleep_hours]]-Table1[[#This Row],[daily_social_media_hours]]</f>
        <v>1.9000000000000004</v>
      </c>
      <c r="H149">
        <v>1.3</v>
      </c>
      <c r="I149">
        <v>3.84</v>
      </c>
      <c r="J149" t="str" cm="1">
        <f t="array" ref="J149">_xlfn.IFS(Table1[[#This Row],[academic_performance]]&gt;1,"Need Improvement",Table1[[#This Row],[academic_performance]]&gt;2,"Good",Table1[[#This Row],[academic_performance]]&gt;3,"Very good",Table1[[#This Row],[academic_performance]]&gt;4,"Excellent")</f>
        <v>Need Improvement</v>
      </c>
      <c r="K149">
        <v>1.6</v>
      </c>
      <c r="L149" t="str">
        <f>IF(Table1[[#This Row],[physical_activity]]&gt;1.9,"better overall ","lower rate of depression")</f>
        <v>lower rate of depression</v>
      </c>
      <c r="M149" t="s">
        <v>19</v>
      </c>
      <c r="N149">
        <v>3</v>
      </c>
      <c r="O149">
        <v>4</v>
      </c>
      <c r="P149">
        <v>10</v>
      </c>
      <c r="Q149">
        <v>0</v>
      </c>
    </row>
    <row r="150" spans="1:17" x14ac:dyDescent="0.3">
      <c r="A150">
        <v>15</v>
      </c>
      <c r="B150" t="s">
        <v>16</v>
      </c>
      <c r="C150" t="str">
        <f>IF(Table1[[#This Row],[age]]&gt;18,"Adult","Teenage")</f>
        <v>Teenage</v>
      </c>
      <c r="D150">
        <v>1.1000000000000001</v>
      </c>
      <c r="E150" t="s">
        <v>17</v>
      </c>
      <c r="F150">
        <v>8.1999999999999993</v>
      </c>
      <c r="G150">
        <f>Table1[[#This Row],[sleep_hours]]-Table1[[#This Row],[daily_social_media_hours]]</f>
        <v>7.1</v>
      </c>
      <c r="H150">
        <v>0.7</v>
      </c>
      <c r="I150">
        <v>2.94</v>
      </c>
      <c r="J150" t="str" cm="1">
        <f t="array" ref="J150">_xlfn.IFS(Table1[[#This Row],[academic_performance]]&gt;1,"Need Improvement",Table1[[#This Row],[academic_performance]]&gt;2,"Good",Table1[[#This Row],[academic_performance]]&gt;3,"Very good",Table1[[#This Row],[academic_performance]]&gt;4,"Excellent")</f>
        <v>Need Improvement</v>
      </c>
      <c r="K150">
        <v>0.7</v>
      </c>
      <c r="L150" t="str">
        <f>IF(Table1[[#This Row],[physical_activity]]&gt;1.9,"better overall ","lower rate of depression")</f>
        <v>lower rate of depression</v>
      </c>
      <c r="M150" t="s">
        <v>18</v>
      </c>
      <c r="N150">
        <v>10</v>
      </c>
      <c r="O150">
        <v>7</v>
      </c>
      <c r="P150">
        <v>9</v>
      </c>
      <c r="Q150">
        <v>0</v>
      </c>
    </row>
    <row r="151" spans="1:17" x14ac:dyDescent="0.3">
      <c r="A151">
        <v>14</v>
      </c>
      <c r="B151" t="s">
        <v>13</v>
      </c>
      <c r="C151" t="str">
        <f>IF(Table1[[#This Row],[age]]&gt;18,"Adult","Teenage")</f>
        <v>Teenage</v>
      </c>
      <c r="D151">
        <v>2.5</v>
      </c>
      <c r="E151" t="s">
        <v>20</v>
      </c>
      <c r="F151">
        <v>5.3</v>
      </c>
      <c r="G151">
        <f>Table1[[#This Row],[sleep_hours]]-Table1[[#This Row],[daily_social_media_hours]]</f>
        <v>2.8</v>
      </c>
      <c r="H151">
        <v>2.4</v>
      </c>
      <c r="I151">
        <v>3.87</v>
      </c>
      <c r="J151" t="str" cm="1">
        <f t="array" ref="J151">_xlfn.IFS(Table1[[#This Row],[academic_performance]]&gt;1,"Need Improvement",Table1[[#This Row],[academic_performance]]&gt;2,"Good",Table1[[#This Row],[academic_performance]]&gt;3,"Very good",Table1[[#This Row],[academic_performance]]&gt;4,"Excellent")</f>
        <v>Need Improvement</v>
      </c>
      <c r="K151">
        <v>1.3</v>
      </c>
      <c r="L151" t="str">
        <f>IF(Table1[[#This Row],[physical_activity]]&gt;1.9,"better overall ","lower rate of depression")</f>
        <v>lower rate of depression</v>
      </c>
      <c r="M151" t="s">
        <v>18</v>
      </c>
      <c r="N151">
        <v>10</v>
      </c>
      <c r="O151">
        <v>9</v>
      </c>
      <c r="P151">
        <v>6</v>
      </c>
      <c r="Q151">
        <v>0</v>
      </c>
    </row>
    <row r="152" spans="1:17" x14ac:dyDescent="0.3">
      <c r="A152">
        <v>19</v>
      </c>
      <c r="B152" t="s">
        <v>16</v>
      </c>
      <c r="C152" t="str">
        <f>IF(Table1[[#This Row],[age]]&gt;18,"Adult","Teenage")</f>
        <v>Adult</v>
      </c>
      <c r="D152">
        <v>4.0999999999999996</v>
      </c>
      <c r="E152" t="s">
        <v>14</v>
      </c>
      <c r="F152">
        <v>6.4</v>
      </c>
      <c r="G152">
        <f>Table1[[#This Row],[sleep_hours]]-Table1[[#This Row],[daily_social_media_hours]]</f>
        <v>2.3000000000000007</v>
      </c>
      <c r="H152">
        <v>0.9</v>
      </c>
      <c r="I152">
        <v>2.4700000000000002</v>
      </c>
      <c r="J152" t="str" cm="1">
        <f t="array" ref="J152">_xlfn.IFS(Table1[[#This Row],[academic_performance]]&gt;1,"Need Improvement",Table1[[#This Row],[academic_performance]]&gt;2,"Good",Table1[[#This Row],[academic_performance]]&gt;3,"Very good",Table1[[#This Row],[academic_performance]]&gt;4,"Excellent")</f>
        <v>Need Improvement</v>
      </c>
      <c r="K152">
        <v>1.2</v>
      </c>
      <c r="L152" t="str">
        <f>IF(Table1[[#This Row],[physical_activity]]&gt;1.9,"better overall ","lower rate of depression")</f>
        <v>lower rate of depression</v>
      </c>
      <c r="M152" t="s">
        <v>18</v>
      </c>
      <c r="N152">
        <v>7</v>
      </c>
      <c r="O152">
        <v>3</v>
      </c>
      <c r="P152">
        <v>4</v>
      </c>
      <c r="Q152">
        <v>0</v>
      </c>
    </row>
    <row r="153" spans="1:17" x14ac:dyDescent="0.3">
      <c r="A153">
        <v>16</v>
      </c>
      <c r="B153" t="s">
        <v>13</v>
      </c>
      <c r="C153" t="str">
        <f>IF(Table1[[#This Row],[age]]&gt;18,"Adult","Teenage")</f>
        <v>Teenage</v>
      </c>
      <c r="D153">
        <v>3</v>
      </c>
      <c r="E153" t="s">
        <v>14</v>
      </c>
      <c r="F153">
        <v>8.6</v>
      </c>
      <c r="G153">
        <f>Table1[[#This Row],[sleep_hours]]-Table1[[#This Row],[daily_social_media_hours]]</f>
        <v>5.6</v>
      </c>
      <c r="H153">
        <v>1.5</v>
      </c>
      <c r="I153">
        <v>2.84</v>
      </c>
      <c r="J153" t="str" cm="1">
        <f t="array" ref="J153">_xlfn.IFS(Table1[[#This Row],[academic_performance]]&gt;1,"Need Improvement",Table1[[#This Row],[academic_performance]]&gt;2,"Good",Table1[[#This Row],[academic_performance]]&gt;3,"Very good",Table1[[#This Row],[academic_performance]]&gt;4,"Excellent")</f>
        <v>Need Improvement</v>
      </c>
      <c r="K153">
        <v>0.3</v>
      </c>
      <c r="L153" t="str">
        <f>IF(Table1[[#This Row],[physical_activity]]&gt;1.9,"better overall ","lower rate of depression")</f>
        <v>lower rate of depression</v>
      </c>
      <c r="M153" t="s">
        <v>18</v>
      </c>
      <c r="N153">
        <v>6</v>
      </c>
      <c r="O153">
        <v>4</v>
      </c>
      <c r="P153">
        <v>3</v>
      </c>
      <c r="Q153">
        <v>0</v>
      </c>
    </row>
    <row r="154" spans="1:17" x14ac:dyDescent="0.3">
      <c r="A154">
        <v>13</v>
      </c>
      <c r="B154" t="s">
        <v>16</v>
      </c>
      <c r="C154" t="str">
        <f>IF(Table1[[#This Row],[age]]&gt;18,"Adult","Teenage")</f>
        <v>Teenage</v>
      </c>
      <c r="D154">
        <v>3.9</v>
      </c>
      <c r="E154" t="s">
        <v>14</v>
      </c>
      <c r="F154">
        <v>5</v>
      </c>
      <c r="G154">
        <f>Table1[[#This Row],[sleep_hours]]-Table1[[#This Row],[daily_social_media_hours]]</f>
        <v>1.1000000000000001</v>
      </c>
      <c r="H154">
        <v>0.7</v>
      </c>
      <c r="I154">
        <v>2.98</v>
      </c>
      <c r="J154" t="str" cm="1">
        <f t="array" ref="J154">_xlfn.IFS(Table1[[#This Row],[academic_performance]]&gt;1,"Need Improvement",Table1[[#This Row],[academic_performance]]&gt;2,"Good",Table1[[#This Row],[academic_performance]]&gt;3,"Very good",Table1[[#This Row],[academic_performance]]&gt;4,"Excellent")</f>
        <v>Need Improvement</v>
      </c>
      <c r="K154">
        <v>0.3</v>
      </c>
      <c r="L154" t="str">
        <f>IF(Table1[[#This Row],[physical_activity]]&gt;1.9,"better overall ","lower rate of depression")</f>
        <v>lower rate of depression</v>
      </c>
      <c r="M154" t="s">
        <v>19</v>
      </c>
      <c r="N154">
        <v>10</v>
      </c>
      <c r="O154">
        <v>8</v>
      </c>
      <c r="P154">
        <v>3</v>
      </c>
      <c r="Q154">
        <v>0</v>
      </c>
    </row>
    <row r="155" spans="1:17" x14ac:dyDescent="0.3">
      <c r="A155">
        <v>13</v>
      </c>
      <c r="B155" t="s">
        <v>13</v>
      </c>
      <c r="C155" t="str">
        <f>IF(Table1[[#This Row],[age]]&gt;18,"Adult","Teenage")</f>
        <v>Teenage</v>
      </c>
      <c r="D155">
        <v>7</v>
      </c>
      <c r="E155" t="s">
        <v>17</v>
      </c>
      <c r="F155">
        <v>8.9</v>
      </c>
      <c r="G155">
        <f>Table1[[#This Row],[sleep_hours]]-Table1[[#This Row],[daily_social_media_hours]]</f>
        <v>1.9000000000000004</v>
      </c>
      <c r="H155">
        <v>0.6</v>
      </c>
      <c r="I155">
        <v>2.7</v>
      </c>
      <c r="J155" t="str" cm="1">
        <f t="array" ref="J155">_xlfn.IFS(Table1[[#This Row],[academic_performance]]&gt;1,"Need Improvement",Table1[[#This Row],[academic_performance]]&gt;2,"Good",Table1[[#This Row],[academic_performance]]&gt;3,"Very good",Table1[[#This Row],[academic_performance]]&gt;4,"Excellent")</f>
        <v>Need Improvement</v>
      </c>
      <c r="K155">
        <v>1.8</v>
      </c>
      <c r="L155" t="str">
        <f>IF(Table1[[#This Row],[physical_activity]]&gt;1.9,"better overall ","lower rate of depression")</f>
        <v>lower rate of depression</v>
      </c>
      <c r="M155" t="s">
        <v>19</v>
      </c>
      <c r="N155">
        <v>5</v>
      </c>
      <c r="O155">
        <v>4</v>
      </c>
      <c r="P155">
        <v>1</v>
      </c>
      <c r="Q155">
        <v>0</v>
      </c>
    </row>
    <row r="156" spans="1:17" x14ac:dyDescent="0.3">
      <c r="A156">
        <v>16</v>
      </c>
      <c r="B156" t="s">
        <v>13</v>
      </c>
      <c r="C156" t="str">
        <f>IF(Table1[[#This Row],[age]]&gt;18,"Adult","Teenage")</f>
        <v>Teenage</v>
      </c>
      <c r="D156">
        <v>3.6</v>
      </c>
      <c r="E156" t="s">
        <v>20</v>
      </c>
      <c r="F156">
        <v>8.9</v>
      </c>
      <c r="G156">
        <f>Table1[[#This Row],[sleep_hours]]-Table1[[#This Row],[daily_social_media_hours]]</f>
        <v>5.3000000000000007</v>
      </c>
      <c r="H156">
        <v>1.9</v>
      </c>
      <c r="I156">
        <v>2.11</v>
      </c>
      <c r="J156" t="str" cm="1">
        <f t="array" ref="J156">_xlfn.IFS(Table1[[#This Row],[academic_performance]]&gt;1,"Need Improvement",Table1[[#This Row],[academic_performance]]&gt;2,"Good",Table1[[#This Row],[academic_performance]]&gt;3,"Very good",Table1[[#This Row],[academic_performance]]&gt;4,"Excellent")</f>
        <v>Need Improvement</v>
      </c>
      <c r="K156">
        <v>1.7</v>
      </c>
      <c r="L156" t="str">
        <f>IF(Table1[[#This Row],[physical_activity]]&gt;1.9,"better overall ","lower rate of depression")</f>
        <v>lower rate of depression</v>
      </c>
      <c r="M156" t="s">
        <v>15</v>
      </c>
      <c r="N156">
        <v>9</v>
      </c>
      <c r="O156">
        <v>5</v>
      </c>
      <c r="P156">
        <v>2</v>
      </c>
      <c r="Q156">
        <v>0</v>
      </c>
    </row>
    <row r="157" spans="1:17" x14ac:dyDescent="0.3">
      <c r="A157">
        <v>15</v>
      </c>
      <c r="B157" t="s">
        <v>13</v>
      </c>
      <c r="C157" t="str">
        <f>IF(Table1[[#This Row],[age]]&gt;18,"Adult","Teenage")</f>
        <v>Teenage</v>
      </c>
      <c r="D157">
        <v>7.6</v>
      </c>
      <c r="E157" t="s">
        <v>14</v>
      </c>
      <c r="F157">
        <v>7.6</v>
      </c>
      <c r="G157">
        <f>Table1[[#This Row],[sleep_hours]]-Table1[[#This Row],[daily_social_media_hours]]</f>
        <v>0</v>
      </c>
      <c r="H157">
        <v>2.7</v>
      </c>
      <c r="I157">
        <v>2.36</v>
      </c>
      <c r="J157" t="str" cm="1">
        <f t="array" ref="J157">_xlfn.IFS(Table1[[#This Row],[academic_performance]]&gt;1,"Need Improvement",Table1[[#This Row],[academic_performance]]&gt;2,"Good",Table1[[#This Row],[academic_performance]]&gt;3,"Very good",Table1[[#This Row],[academic_performance]]&gt;4,"Excellent")</f>
        <v>Need Improvement</v>
      </c>
      <c r="K157">
        <v>1.2</v>
      </c>
      <c r="L157" t="str">
        <f>IF(Table1[[#This Row],[physical_activity]]&gt;1.9,"better overall ","lower rate of depression")</f>
        <v>lower rate of depression</v>
      </c>
      <c r="M157" t="s">
        <v>19</v>
      </c>
      <c r="N157">
        <v>5</v>
      </c>
      <c r="O157">
        <v>10</v>
      </c>
      <c r="P157">
        <v>3</v>
      </c>
      <c r="Q157">
        <v>0</v>
      </c>
    </row>
    <row r="158" spans="1:17" x14ac:dyDescent="0.3">
      <c r="A158">
        <v>19</v>
      </c>
      <c r="B158" t="s">
        <v>13</v>
      </c>
      <c r="C158" t="str">
        <f>IF(Table1[[#This Row],[age]]&gt;18,"Adult","Teenage")</f>
        <v>Adult</v>
      </c>
      <c r="D158">
        <v>1.3</v>
      </c>
      <c r="E158" t="s">
        <v>14</v>
      </c>
      <c r="F158">
        <v>4.5</v>
      </c>
      <c r="G158">
        <f>Table1[[#This Row],[sleep_hours]]-Table1[[#This Row],[daily_social_media_hours]]</f>
        <v>3.2</v>
      </c>
      <c r="H158">
        <v>0.7</v>
      </c>
      <c r="I158">
        <v>2.5099999999999998</v>
      </c>
      <c r="J158" t="str" cm="1">
        <f t="array" ref="J158">_xlfn.IFS(Table1[[#This Row],[academic_performance]]&gt;1,"Need Improvement",Table1[[#This Row],[academic_performance]]&gt;2,"Good",Table1[[#This Row],[academic_performance]]&gt;3,"Very good",Table1[[#This Row],[academic_performance]]&gt;4,"Excellent")</f>
        <v>Need Improvement</v>
      </c>
      <c r="K158">
        <v>0.8</v>
      </c>
      <c r="L158" t="str">
        <f>IF(Table1[[#This Row],[physical_activity]]&gt;1.9,"better overall ","lower rate of depression")</f>
        <v>lower rate of depression</v>
      </c>
      <c r="M158" t="s">
        <v>15</v>
      </c>
      <c r="N158">
        <v>10</v>
      </c>
      <c r="O158">
        <v>9</v>
      </c>
      <c r="P158">
        <v>7</v>
      </c>
      <c r="Q158">
        <v>0</v>
      </c>
    </row>
    <row r="159" spans="1:17" x14ac:dyDescent="0.3">
      <c r="A159">
        <v>17</v>
      </c>
      <c r="B159" t="s">
        <v>16</v>
      </c>
      <c r="C159" t="str">
        <f>IF(Table1[[#This Row],[age]]&gt;18,"Adult","Teenage")</f>
        <v>Teenage</v>
      </c>
      <c r="D159">
        <v>2.1</v>
      </c>
      <c r="E159" t="s">
        <v>20</v>
      </c>
      <c r="F159">
        <v>7.8</v>
      </c>
      <c r="G159">
        <f>Table1[[#This Row],[sleep_hours]]-Table1[[#This Row],[daily_social_media_hours]]</f>
        <v>5.6999999999999993</v>
      </c>
      <c r="H159">
        <v>2.1</v>
      </c>
      <c r="I159">
        <v>3.29</v>
      </c>
      <c r="J159" t="str" cm="1">
        <f t="array" ref="J159">_xlfn.IFS(Table1[[#This Row],[academic_performance]]&gt;1,"Need Improvement",Table1[[#This Row],[academic_performance]]&gt;2,"Good",Table1[[#This Row],[academic_performance]]&gt;3,"Very good",Table1[[#This Row],[academic_performance]]&gt;4,"Excellent")</f>
        <v>Need Improvement</v>
      </c>
      <c r="K159">
        <v>1.5</v>
      </c>
      <c r="L159" t="str">
        <f>IF(Table1[[#This Row],[physical_activity]]&gt;1.9,"better overall ","lower rate of depression")</f>
        <v>lower rate of depression</v>
      </c>
      <c r="M159" t="s">
        <v>15</v>
      </c>
      <c r="N159">
        <v>8</v>
      </c>
      <c r="O159">
        <v>1</v>
      </c>
      <c r="P159">
        <v>7</v>
      </c>
      <c r="Q159">
        <v>0</v>
      </c>
    </row>
    <row r="160" spans="1:17" x14ac:dyDescent="0.3">
      <c r="A160">
        <v>15</v>
      </c>
      <c r="B160" t="s">
        <v>16</v>
      </c>
      <c r="C160" t="str">
        <f>IF(Table1[[#This Row],[age]]&gt;18,"Adult","Teenage")</f>
        <v>Teenage</v>
      </c>
      <c r="D160">
        <v>2.7</v>
      </c>
      <c r="E160" t="s">
        <v>20</v>
      </c>
      <c r="F160">
        <v>8.8000000000000007</v>
      </c>
      <c r="G160">
        <f>Table1[[#This Row],[sleep_hours]]-Table1[[#This Row],[daily_social_media_hours]]</f>
        <v>6.1000000000000005</v>
      </c>
      <c r="H160">
        <v>1.9</v>
      </c>
      <c r="I160">
        <v>2.14</v>
      </c>
      <c r="J160" t="str" cm="1">
        <f t="array" ref="J160">_xlfn.IFS(Table1[[#This Row],[academic_performance]]&gt;1,"Need Improvement",Table1[[#This Row],[academic_performance]]&gt;2,"Good",Table1[[#This Row],[academic_performance]]&gt;3,"Very good",Table1[[#This Row],[academic_performance]]&gt;4,"Excellent")</f>
        <v>Need Improvement</v>
      </c>
      <c r="K160">
        <v>0.4</v>
      </c>
      <c r="L160" t="str">
        <f>IF(Table1[[#This Row],[physical_activity]]&gt;1.9,"better overall ","lower rate of depression")</f>
        <v>lower rate of depression</v>
      </c>
      <c r="M160" t="s">
        <v>18</v>
      </c>
      <c r="N160">
        <v>8</v>
      </c>
      <c r="O160">
        <v>10</v>
      </c>
      <c r="P160">
        <v>3</v>
      </c>
      <c r="Q160">
        <v>0</v>
      </c>
    </row>
    <row r="161" spans="1:17" x14ac:dyDescent="0.3">
      <c r="A161">
        <v>13</v>
      </c>
      <c r="B161" t="s">
        <v>13</v>
      </c>
      <c r="C161" t="str">
        <f>IF(Table1[[#This Row],[age]]&gt;18,"Adult","Teenage")</f>
        <v>Teenage</v>
      </c>
      <c r="D161">
        <v>7.5</v>
      </c>
      <c r="E161" t="s">
        <v>20</v>
      </c>
      <c r="F161">
        <v>8</v>
      </c>
      <c r="G161">
        <f>Table1[[#This Row],[sleep_hours]]-Table1[[#This Row],[daily_social_media_hours]]</f>
        <v>0.5</v>
      </c>
      <c r="H161">
        <v>2</v>
      </c>
      <c r="I161">
        <v>3.25</v>
      </c>
      <c r="J161" t="str" cm="1">
        <f t="array" ref="J161">_xlfn.IFS(Table1[[#This Row],[academic_performance]]&gt;1,"Need Improvement",Table1[[#This Row],[academic_performance]]&gt;2,"Good",Table1[[#This Row],[academic_performance]]&gt;3,"Very good",Table1[[#This Row],[academic_performance]]&gt;4,"Excellent")</f>
        <v>Need Improvement</v>
      </c>
      <c r="K161">
        <v>0.7</v>
      </c>
      <c r="L161" t="str">
        <f>IF(Table1[[#This Row],[physical_activity]]&gt;1.9,"better overall ","lower rate of depression")</f>
        <v>lower rate of depression</v>
      </c>
      <c r="M161" t="s">
        <v>19</v>
      </c>
      <c r="N161">
        <v>9</v>
      </c>
      <c r="O161">
        <v>10</v>
      </c>
      <c r="P161">
        <v>2</v>
      </c>
      <c r="Q161">
        <v>0</v>
      </c>
    </row>
    <row r="162" spans="1:17" x14ac:dyDescent="0.3">
      <c r="A162">
        <v>16</v>
      </c>
      <c r="B162" t="s">
        <v>16</v>
      </c>
      <c r="C162" t="str">
        <f>IF(Table1[[#This Row],[age]]&gt;18,"Adult","Teenage")</f>
        <v>Teenage</v>
      </c>
      <c r="D162">
        <v>6.1</v>
      </c>
      <c r="E162" t="s">
        <v>20</v>
      </c>
      <c r="F162">
        <v>8.8000000000000007</v>
      </c>
      <c r="G162">
        <f>Table1[[#This Row],[sleep_hours]]-Table1[[#This Row],[daily_social_media_hours]]</f>
        <v>2.7000000000000011</v>
      </c>
      <c r="H162">
        <v>1.7</v>
      </c>
      <c r="I162">
        <v>3.55</v>
      </c>
      <c r="J162" t="str" cm="1">
        <f t="array" ref="J162">_xlfn.IFS(Table1[[#This Row],[academic_performance]]&gt;1,"Need Improvement",Table1[[#This Row],[academic_performance]]&gt;2,"Good",Table1[[#This Row],[academic_performance]]&gt;3,"Very good",Table1[[#This Row],[academic_performance]]&gt;4,"Excellent")</f>
        <v>Need Improvement</v>
      </c>
      <c r="K162">
        <v>1.3</v>
      </c>
      <c r="L162" t="str">
        <f>IF(Table1[[#This Row],[physical_activity]]&gt;1.9,"better overall ","lower rate of depression")</f>
        <v>lower rate of depression</v>
      </c>
      <c r="M162" t="s">
        <v>19</v>
      </c>
      <c r="N162">
        <v>6</v>
      </c>
      <c r="O162">
        <v>10</v>
      </c>
      <c r="P162">
        <v>9</v>
      </c>
      <c r="Q162">
        <v>0</v>
      </c>
    </row>
    <row r="163" spans="1:17" x14ac:dyDescent="0.3">
      <c r="A163">
        <v>19</v>
      </c>
      <c r="B163" t="s">
        <v>13</v>
      </c>
      <c r="C163" t="str">
        <f>IF(Table1[[#This Row],[age]]&gt;18,"Adult","Teenage")</f>
        <v>Adult</v>
      </c>
      <c r="D163">
        <v>2.4</v>
      </c>
      <c r="E163" t="s">
        <v>20</v>
      </c>
      <c r="F163">
        <v>7.4</v>
      </c>
      <c r="G163">
        <f>Table1[[#This Row],[sleep_hours]]-Table1[[#This Row],[daily_social_media_hours]]</f>
        <v>5</v>
      </c>
      <c r="H163">
        <v>1.2</v>
      </c>
      <c r="I163">
        <v>2.5</v>
      </c>
      <c r="J163" t="str" cm="1">
        <f t="array" ref="J163">_xlfn.IFS(Table1[[#This Row],[academic_performance]]&gt;1,"Need Improvement",Table1[[#This Row],[academic_performance]]&gt;2,"Good",Table1[[#This Row],[academic_performance]]&gt;3,"Very good",Table1[[#This Row],[academic_performance]]&gt;4,"Excellent")</f>
        <v>Need Improvement</v>
      </c>
      <c r="K163">
        <v>1.8</v>
      </c>
      <c r="L163" t="str">
        <f>IF(Table1[[#This Row],[physical_activity]]&gt;1.9,"better overall ","lower rate of depression")</f>
        <v>lower rate of depression</v>
      </c>
      <c r="M163" t="s">
        <v>18</v>
      </c>
      <c r="N163">
        <v>2</v>
      </c>
      <c r="O163">
        <v>5</v>
      </c>
      <c r="P163">
        <v>2</v>
      </c>
      <c r="Q163">
        <v>0</v>
      </c>
    </row>
    <row r="164" spans="1:17" x14ac:dyDescent="0.3">
      <c r="A164">
        <v>19</v>
      </c>
      <c r="B164" t="s">
        <v>13</v>
      </c>
      <c r="C164" t="str">
        <f>IF(Table1[[#This Row],[age]]&gt;18,"Adult","Teenage")</f>
        <v>Adult</v>
      </c>
      <c r="D164">
        <v>2</v>
      </c>
      <c r="E164" t="s">
        <v>17</v>
      </c>
      <c r="F164">
        <v>5.3</v>
      </c>
      <c r="G164">
        <f>Table1[[#This Row],[sleep_hours]]-Table1[[#This Row],[daily_social_media_hours]]</f>
        <v>3.3</v>
      </c>
      <c r="H164">
        <v>1.7</v>
      </c>
      <c r="I164">
        <v>2.91</v>
      </c>
      <c r="J164" t="str" cm="1">
        <f t="array" ref="J164">_xlfn.IFS(Table1[[#This Row],[academic_performance]]&gt;1,"Need Improvement",Table1[[#This Row],[academic_performance]]&gt;2,"Good",Table1[[#This Row],[academic_performance]]&gt;3,"Very good",Table1[[#This Row],[academic_performance]]&gt;4,"Excellent")</f>
        <v>Need Improvement</v>
      </c>
      <c r="K164">
        <v>0.8</v>
      </c>
      <c r="L164" t="str">
        <f>IF(Table1[[#This Row],[physical_activity]]&gt;1.9,"better overall ","lower rate of depression")</f>
        <v>lower rate of depression</v>
      </c>
      <c r="M164" t="s">
        <v>15</v>
      </c>
      <c r="N164">
        <v>9</v>
      </c>
      <c r="O164">
        <v>5</v>
      </c>
      <c r="P164">
        <v>9</v>
      </c>
      <c r="Q164">
        <v>0</v>
      </c>
    </row>
    <row r="165" spans="1:17" x14ac:dyDescent="0.3">
      <c r="A165">
        <v>15</v>
      </c>
      <c r="B165" t="s">
        <v>16</v>
      </c>
      <c r="C165" t="str">
        <f>IF(Table1[[#This Row],[age]]&gt;18,"Adult","Teenage")</f>
        <v>Teenage</v>
      </c>
      <c r="D165">
        <v>7.8</v>
      </c>
      <c r="E165" t="s">
        <v>17</v>
      </c>
      <c r="F165">
        <v>5.3</v>
      </c>
      <c r="G165">
        <f>Table1[[#This Row],[sleep_hours]]-Table1[[#This Row],[daily_social_media_hours]]</f>
        <v>-2.5</v>
      </c>
      <c r="H165">
        <v>0.5</v>
      </c>
      <c r="I165">
        <v>2.3199999999999998</v>
      </c>
      <c r="J165" t="str" cm="1">
        <f t="array" ref="J165">_xlfn.IFS(Table1[[#This Row],[academic_performance]]&gt;1,"Need Improvement",Table1[[#This Row],[academic_performance]]&gt;2,"Good",Table1[[#This Row],[academic_performance]]&gt;3,"Very good",Table1[[#This Row],[academic_performance]]&gt;4,"Excellent")</f>
        <v>Need Improvement</v>
      </c>
      <c r="K165">
        <v>0.8</v>
      </c>
      <c r="L165" t="str">
        <f>IF(Table1[[#This Row],[physical_activity]]&gt;1.9,"better overall ","lower rate of depression")</f>
        <v>lower rate of depression</v>
      </c>
      <c r="M165" t="s">
        <v>15</v>
      </c>
      <c r="N165">
        <v>8</v>
      </c>
      <c r="O165">
        <v>9</v>
      </c>
      <c r="P165">
        <v>3</v>
      </c>
      <c r="Q165">
        <v>1</v>
      </c>
    </row>
    <row r="166" spans="1:17" x14ac:dyDescent="0.3">
      <c r="A166">
        <v>16</v>
      </c>
      <c r="B166" t="s">
        <v>16</v>
      </c>
      <c r="C166" t="str">
        <f>IF(Table1[[#This Row],[age]]&gt;18,"Adult","Teenage")</f>
        <v>Teenage</v>
      </c>
      <c r="D166">
        <v>6.8</v>
      </c>
      <c r="E166" t="s">
        <v>17</v>
      </c>
      <c r="F166">
        <v>7.2</v>
      </c>
      <c r="G166">
        <f>Table1[[#This Row],[sleep_hours]]-Table1[[#This Row],[daily_social_media_hours]]</f>
        <v>0.40000000000000036</v>
      </c>
      <c r="H166">
        <v>2.5</v>
      </c>
      <c r="I166">
        <v>3.61</v>
      </c>
      <c r="J166" t="str" cm="1">
        <f t="array" ref="J166">_xlfn.IFS(Table1[[#This Row],[academic_performance]]&gt;1,"Need Improvement",Table1[[#This Row],[academic_performance]]&gt;2,"Good",Table1[[#This Row],[academic_performance]]&gt;3,"Very good",Table1[[#This Row],[academic_performance]]&gt;4,"Excellent")</f>
        <v>Need Improvement</v>
      </c>
      <c r="K166">
        <v>0.5</v>
      </c>
      <c r="L166" t="str">
        <f>IF(Table1[[#This Row],[physical_activity]]&gt;1.9,"better overall ","lower rate of depression")</f>
        <v>lower rate of depression</v>
      </c>
      <c r="M166" t="s">
        <v>19</v>
      </c>
      <c r="N166">
        <v>10</v>
      </c>
      <c r="O166">
        <v>1</v>
      </c>
      <c r="P166">
        <v>9</v>
      </c>
      <c r="Q166">
        <v>0</v>
      </c>
    </row>
    <row r="167" spans="1:17" x14ac:dyDescent="0.3">
      <c r="A167">
        <v>17</v>
      </c>
      <c r="B167" t="s">
        <v>13</v>
      </c>
      <c r="C167" t="str">
        <f>IF(Table1[[#This Row],[age]]&gt;18,"Adult","Teenage")</f>
        <v>Teenage</v>
      </c>
      <c r="D167">
        <v>8</v>
      </c>
      <c r="E167" t="s">
        <v>14</v>
      </c>
      <c r="F167">
        <v>4.5999999999999996</v>
      </c>
      <c r="G167">
        <f>Table1[[#This Row],[sleep_hours]]-Table1[[#This Row],[daily_social_media_hours]]</f>
        <v>-3.4000000000000004</v>
      </c>
      <c r="H167">
        <v>2.6</v>
      </c>
      <c r="I167">
        <v>3.06</v>
      </c>
      <c r="J167" t="str" cm="1">
        <f t="array" ref="J167">_xlfn.IFS(Table1[[#This Row],[academic_performance]]&gt;1,"Need Improvement",Table1[[#This Row],[academic_performance]]&gt;2,"Good",Table1[[#This Row],[academic_performance]]&gt;3,"Very good",Table1[[#This Row],[academic_performance]]&gt;4,"Excellent")</f>
        <v>Need Improvement</v>
      </c>
      <c r="K167">
        <v>0.1</v>
      </c>
      <c r="L167" t="str">
        <f>IF(Table1[[#This Row],[physical_activity]]&gt;1.9,"better overall ","lower rate of depression")</f>
        <v>lower rate of depression</v>
      </c>
      <c r="M167" t="s">
        <v>18</v>
      </c>
      <c r="N167">
        <v>9</v>
      </c>
      <c r="O167">
        <v>2</v>
      </c>
      <c r="P167">
        <v>6</v>
      </c>
      <c r="Q167">
        <v>0</v>
      </c>
    </row>
    <row r="168" spans="1:17" x14ac:dyDescent="0.3">
      <c r="A168">
        <v>13</v>
      </c>
      <c r="B168" t="s">
        <v>16</v>
      </c>
      <c r="C168" t="str">
        <f>IF(Table1[[#This Row],[age]]&gt;18,"Adult","Teenage")</f>
        <v>Teenage</v>
      </c>
      <c r="D168">
        <v>7.3</v>
      </c>
      <c r="E168" t="s">
        <v>20</v>
      </c>
      <c r="F168">
        <v>8.9</v>
      </c>
      <c r="G168">
        <f>Table1[[#This Row],[sleep_hours]]-Table1[[#This Row],[daily_social_media_hours]]</f>
        <v>1.6000000000000005</v>
      </c>
      <c r="H168">
        <v>2.7</v>
      </c>
      <c r="I168">
        <v>3.68</v>
      </c>
      <c r="J168" t="str" cm="1">
        <f t="array" ref="J168">_xlfn.IFS(Table1[[#This Row],[academic_performance]]&gt;1,"Need Improvement",Table1[[#This Row],[academic_performance]]&gt;2,"Good",Table1[[#This Row],[academic_performance]]&gt;3,"Very good",Table1[[#This Row],[academic_performance]]&gt;4,"Excellent")</f>
        <v>Need Improvement</v>
      </c>
      <c r="K168">
        <v>1.9</v>
      </c>
      <c r="L168" t="str">
        <f>IF(Table1[[#This Row],[physical_activity]]&gt;1.9,"better overall ","lower rate of depression")</f>
        <v>lower rate of depression</v>
      </c>
      <c r="M168" t="s">
        <v>15</v>
      </c>
      <c r="N168">
        <v>6</v>
      </c>
      <c r="O168">
        <v>6</v>
      </c>
      <c r="P168">
        <v>10</v>
      </c>
      <c r="Q168">
        <v>0</v>
      </c>
    </row>
    <row r="169" spans="1:17" x14ac:dyDescent="0.3">
      <c r="A169">
        <v>15</v>
      </c>
      <c r="B169" t="s">
        <v>16</v>
      </c>
      <c r="C169" t="str">
        <f>IF(Table1[[#This Row],[age]]&gt;18,"Adult","Teenage")</f>
        <v>Teenage</v>
      </c>
      <c r="D169">
        <v>1.5</v>
      </c>
      <c r="E169" t="s">
        <v>20</v>
      </c>
      <c r="F169">
        <v>8.6999999999999993</v>
      </c>
      <c r="G169">
        <f>Table1[[#This Row],[sleep_hours]]-Table1[[#This Row],[daily_social_media_hours]]</f>
        <v>7.1999999999999993</v>
      </c>
      <c r="H169">
        <v>1.2</v>
      </c>
      <c r="I169">
        <v>2.52</v>
      </c>
      <c r="J169" t="str" cm="1">
        <f t="array" ref="J169">_xlfn.IFS(Table1[[#This Row],[academic_performance]]&gt;1,"Need Improvement",Table1[[#This Row],[academic_performance]]&gt;2,"Good",Table1[[#This Row],[academic_performance]]&gt;3,"Very good",Table1[[#This Row],[academic_performance]]&gt;4,"Excellent")</f>
        <v>Need Improvement</v>
      </c>
      <c r="K169">
        <v>0.1</v>
      </c>
      <c r="L169" t="str">
        <f>IF(Table1[[#This Row],[physical_activity]]&gt;1.9,"better overall ","lower rate of depression")</f>
        <v>lower rate of depression</v>
      </c>
      <c r="M169" t="s">
        <v>15</v>
      </c>
      <c r="N169">
        <v>9</v>
      </c>
      <c r="O169">
        <v>7</v>
      </c>
      <c r="P169">
        <v>2</v>
      </c>
      <c r="Q169">
        <v>0</v>
      </c>
    </row>
    <row r="170" spans="1:17" x14ac:dyDescent="0.3">
      <c r="A170">
        <v>15</v>
      </c>
      <c r="B170" t="s">
        <v>16</v>
      </c>
      <c r="C170" t="str">
        <f>IF(Table1[[#This Row],[age]]&gt;18,"Adult","Teenage")</f>
        <v>Teenage</v>
      </c>
      <c r="D170">
        <v>3.4</v>
      </c>
      <c r="E170" t="s">
        <v>14</v>
      </c>
      <c r="F170">
        <v>5</v>
      </c>
      <c r="G170">
        <f>Table1[[#This Row],[sleep_hours]]-Table1[[#This Row],[daily_social_media_hours]]</f>
        <v>1.6</v>
      </c>
      <c r="H170">
        <v>1.8</v>
      </c>
      <c r="I170">
        <v>3.2</v>
      </c>
      <c r="J170" t="str" cm="1">
        <f t="array" ref="J170">_xlfn.IFS(Table1[[#This Row],[academic_performance]]&gt;1,"Need Improvement",Table1[[#This Row],[academic_performance]]&gt;2,"Good",Table1[[#This Row],[academic_performance]]&gt;3,"Very good",Table1[[#This Row],[academic_performance]]&gt;4,"Excellent")</f>
        <v>Need Improvement</v>
      </c>
      <c r="K170">
        <v>1.5</v>
      </c>
      <c r="L170" t="str">
        <f>IF(Table1[[#This Row],[physical_activity]]&gt;1.9,"better overall ","lower rate of depression")</f>
        <v>lower rate of depression</v>
      </c>
      <c r="M170" t="s">
        <v>19</v>
      </c>
      <c r="N170">
        <v>4</v>
      </c>
      <c r="O170">
        <v>5</v>
      </c>
      <c r="P170">
        <v>1</v>
      </c>
      <c r="Q170">
        <v>0</v>
      </c>
    </row>
    <row r="171" spans="1:17" x14ac:dyDescent="0.3">
      <c r="A171">
        <v>15</v>
      </c>
      <c r="B171" t="s">
        <v>13</v>
      </c>
      <c r="C171" t="str">
        <f>IF(Table1[[#This Row],[age]]&gt;18,"Adult","Teenage")</f>
        <v>Teenage</v>
      </c>
      <c r="D171">
        <v>7.3</v>
      </c>
      <c r="E171" t="s">
        <v>20</v>
      </c>
      <c r="F171">
        <v>4.8</v>
      </c>
      <c r="G171">
        <f>Table1[[#This Row],[sleep_hours]]-Table1[[#This Row],[daily_social_media_hours]]</f>
        <v>-2.5</v>
      </c>
      <c r="H171">
        <v>2.6</v>
      </c>
      <c r="I171">
        <v>3.81</v>
      </c>
      <c r="J171" t="str" cm="1">
        <f t="array" ref="J171">_xlfn.IFS(Table1[[#This Row],[academic_performance]]&gt;1,"Need Improvement",Table1[[#This Row],[academic_performance]]&gt;2,"Good",Table1[[#This Row],[academic_performance]]&gt;3,"Very good",Table1[[#This Row],[academic_performance]]&gt;4,"Excellent")</f>
        <v>Need Improvement</v>
      </c>
      <c r="K171">
        <v>1.5</v>
      </c>
      <c r="L171" t="str">
        <f>IF(Table1[[#This Row],[physical_activity]]&gt;1.9,"better overall ","lower rate of depression")</f>
        <v>lower rate of depression</v>
      </c>
      <c r="M171" t="s">
        <v>15</v>
      </c>
      <c r="N171">
        <v>4</v>
      </c>
      <c r="O171">
        <v>7</v>
      </c>
      <c r="P171">
        <v>4</v>
      </c>
      <c r="Q171">
        <v>0</v>
      </c>
    </row>
    <row r="172" spans="1:17" x14ac:dyDescent="0.3">
      <c r="A172">
        <v>13</v>
      </c>
      <c r="B172" t="s">
        <v>16</v>
      </c>
      <c r="C172" t="str">
        <f>IF(Table1[[#This Row],[age]]&gt;18,"Adult","Teenage")</f>
        <v>Teenage</v>
      </c>
      <c r="D172">
        <v>1.9</v>
      </c>
      <c r="E172" t="s">
        <v>17</v>
      </c>
      <c r="F172">
        <v>8.5</v>
      </c>
      <c r="G172">
        <f>Table1[[#This Row],[sleep_hours]]-Table1[[#This Row],[daily_social_media_hours]]</f>
        <v>6.6</v>
      </c>
      <c r="H172">
        <v>0.8</v>
      </c>
      <c r="I172">
        <v>3.33</v>
      </c>
      <c r="J172" t="str" cm="1">
        <f t="array" ref="J172">_xlfn.IFS(Table1[[#This Row],[academic_performance]]&gt;1,"Need Improvement",Table1[[#This Row],[academic_performance]]&gt;2,"Good",Table1[[#This Row],[academic_performance]]&gt;3,"Very good",Table1[[#This Row],[academic_performance]]&gt;4,"Excellent")</f>
        <v>Need Improvement</v>
      </c>
      <c r="K172">
        <v>1.3</v>
      </c>
      <c r="L172" t="str">
        <f>IF(Table1[[#This Row],[physical_activity]]&gt;1.9,"better overall ","lower rate of depression")</f>
        <v>lower rate of depression</v>
      </c>
      <c r="M172" t="s">
        <v>19</v>
      </c>
      <c r="N172">
        <v>5</v>
      </c>
      <c r="O172">
        <v>1</v>
      </c>
      <c r="P172">
        <v>3</v>
      </c>
      <c r="Q172">
        <v>0</v>
      </c>
    </row>
    <row r="173" spans="1:17" x14ac:dyDescent="0.3">
      <c r="A173">
        <v>17</v>
      </c>
      <c r="B173" t="s">
        <v>16</v>
      </c>
      <c r="C173" t="str">
        <f>IF(Table1[[#This Row],[age]]&gt;18,"Adult","Teenage")</f>
        <v>Teenage</v>
      </c>
      <c r="D173">
        <v>3.9</v>
      </c>
      <c r="E173" t="s">
        <v>14</v>
      </c>
      <c r="F173">
        <v>8.1999999999999993</v>
      </c>
      <c r="G173">
        <f>Table1[[#This Row],[sleep_hours]]-Table1[[#This Row],[daily_social_media_hours]]</f>
        <v>4.2999999999999989</v>
      </c>
      <c r="H173">
        <v>1.3</v>
      </c>
      <c r="I173">
        <v>3.21</v>
      </c>
      <c r="J173" t="str" cm="1">
        <f t="array" ref="J173">_xlfn.IFS(Table1[[#This Row],[academic_performance]]&gt;1,"Need Improvement",Table1[[#This Row],[academic_performance]]&gt;2,"Good",Table1[[#This Row],[academic_performance]]&gt;3,"Very good",Table1[[#This Row],[academic_performance]]&gt;4,"Excellent")</f>
        <v>Need Improvement</v>
      </c>
      <c r="K173">
        <v>1.8</v>
      </c>
      <c r="L173" t="str">
        <f>IF(Table1[[#This Row],[physical_activity]]&gt;1.9,"better overall ","lower rate of depression")</f>
        <v>lower rate of depression</v>
      </c>
      <c r="M173" t="s">
        <v>19</v>
      </c>
      <c r="N173">
        <v>3</v>
      </c>
      <c r="O173">
        <v>7</v>
      </c>
      <c r="P173">
        <v>7</v>
      </c>
      <c r="Q173">
        <v>0</v>
      </c>
    </row>
    <row r="174" spans="1:17" x14ac:dyDescent="0.3">
      <c r="A174">
        <v>18</v>
      </c>
      <c r="B174" t="s">
        <v>13</v>
      </c>
      <c r="C174" t="str">
        <f>IF(Table1[[#This Row],[age]]&gt;18,"Adult","Teenage")</f>
        <v>Teenage</v>
      </c>
      <c r="D174">
        <v>1.3</v>
      </c>
      <c r="E174" t="s">
        <v>14</v>
      </c>
      <c r="F174">
        <v>5.8</v>
      </c>
      <c r="G174">
        <f>Table1[[#This Row],[sleep_hours]]-Table1[[#This Row],[daily_social_media_hours]]</f>
        <v>4.5</v>
      </c>
      <c r="H174">
        <v>1.3</v>
      </c>
      <c r="I174">
        <v>3.35</v>
      </c>
      <c r="J174" t="str" cm="1">
        <f t="array" ref="J174">_xlfn.IFS(Table1[[#This Row],[academic_performance]]&gt;1,"Need Improvement",Table1[[#This Row],[academic_performance]]&gt;2,"Good",Table1[[#This Row],[academic_performance]]&gt;3,"Very good",Table1[[#This Row],[academic_performance]]&gt;4,"Excellent")</f>
        <v>Need Improvement</v>
      </c>
      <c r="K174">
        <v>1.9</v>
      </c>
      <c r="L174" t="str">
        <f>IF(Table1[[#This Row],[physical_activity]]&gt;1.9,"better overall ","lower rate of depression")</f>
        <v>lower rate of depression</v>
      </c>
      <c r="M174" t="s">
        <v>19</v>
      </c>
      <c r="N174">
        <v>9</v>
      </c>
      <c r="O174">
        <v>4</v>
      </c>
      <c r="P174">
        <v>9</v>
      </c>
      <c r="Q174">
        <v>0</v>
      </c>
    </row>
    <row r="175" spans="1:17" x14ac:dyDescent="0.3">
      <c r="A175">
        <v>19</v>
      </c>
      <c r="B175" t="s">
        <v>13</v>
      </c>
      <c r="C175" t="str">
        <f>IF(Table1[[#This Row],[age]]&gt;18,"Adult","Teenage")</f>
        <v>Adult</v>
      </c>
      <c r="D175">
        <v>4.7</v>
      </c>
      <c r="E175" t="s">
        <v>17</v>
      </c>
      <c r="F175">
        <v>8.1999999999999993</v>
      </c>
      <c r="G175">
        <f>Table1[[#This Row],[sleep_hours]]-Table1[[#This Row],[daily_social_media_hours]]</f>
        <v>3.4999999999999991</v>
      </c>
      <c r="H175">
        <v>1.8</v>
      </c>
      <c r="I175">
        <v>2.2599999999999998</v>
      </c>
      <c r="J175" t="str" cm="1">
        <f t="array" ref="J175">_xlfn.IFS(Table1[[#This Row],[academic_performance]]&gt;1,"Need Improvement",Table1[[#This Row],[academic_performance]]&gt;2,"Good",Table1[[#This Row],[academic_performance]]&gt;3,"Very good",Table1[[#This Row],[academic_performance]]&gt;4,"Excellent")</f>
        <v>Need Improvement</v>
      </c>
      <c r="K175">
        <v>1</v>
      </c>
      <c r="L175" t="str">
        <f>IF(Table1[[#This Row],[physical_activity]]&gt;1.9,"better overall ","lower rate of depression")</f>
        <v>lower rate of depression</v>
      </c>
      <c r="M175" t="s">
        <v>15</v>
      </c>
      <c r="N175">
        <v>7</v>
      </c>
      <c r="O175">
        <v>4</v>
      </c>
      <c r="P175">
        <v>7</v>
      </c>
      <c r="Q175">
        <v>0</v>
      </c>
    </row>
    <row r="176" spans="1:17" x14ac:dyDescent="0.3">
      <c r="A176">
        <v>15</v>
      </c>
      <c r="B176" t="s">
        <v>13</v>
      </c>
      <c r="C176" t="str">
        <f>IF(Table1[[#This Row],[age]]&gt;18,"Adult","Teenage")</f>
        <v>Teenage</v>
      </c>
      <c r="D176">
        <v>1.9</v>
      </c>
      <c r="E176" t="s">
        <v>17</v>
      </c>
      <c r="F176">
        <v>5.8</v>
      </c>
      <c r="G176">
        <f>Table1[[#This Row],[sleep_hours]]-Table1[[#This Row],[daily_social_media_hours]]</f>
        <v>3.9</v>
      </c>
      <c r="H176">
        <v>2.2999999999999998</v>
      </c>
      <c r="I176">
        <v>2.4700000000000002</v>
      </c>
      <c r="J176" t="str" cm="1">
        <f t="array" ref="J176">_xlfn.IFS(Table1[[#This Row],[academic_performance]]&gt;1,"Need Improvement",Table1[[#This Row],[academic_performance]]&gt;2,"Good",Table1[[#This Row],[academic_performance]]&gt;3,"Very good",Table1[[#This Row],[academic_performance]]&gt;4,"Excellent")</f>
        <v>Need Improvement</v>
      </c>
      <c r="K176">
        <v>0.3</v>
      </c>
      <c r="L176" t="str">
        <f>IF(Table1[[#This Row],[physical_activity]]&gt;1.9,"better overall ","lower rate of depression")</f>
        <v>lower rate of depression</v>
      </c>
      <c r="M176" t="s">
        <v>18</v>
      </c>
      <c r="N176">
        <v>10</v>
      </c>
      <c r="O176">
        <v>9</v>
      </c>
      <c r="P176">
        <v>4</v>
      </c>
      <c r="Q176">
        <v>0</v>
      </c>
    </row>
    <row r="177" spans="1:17" x14ac:dyDescent="0.3">
      <c r="A177">
        <v>18</v>
      </c>
      <c r="B177" t="s">
        <v>16</v>
      </c>
      <c r="C177" t="str">
        <f>IF(Table1[[#This Row],[age]]&gt;18,"Adult","Teenage")</f>
        <v>Teenage</v>
      </c>
      <c r="D177">
        <v>7</v>
      </c>
      <c r="E177" t="s">
        <v>20</v>
      </c>
      <c r="F177">
        <v>6.3</v>
      </c>
      <c r="G177">
        <f>Table1[[#This Row],[sleep_hours]]-Table1[[#This Row],[daily_social_media_hours]]</f>
        <v>-0.70000000000000018</v>
      </c>
      <c r="H177">
        <v>1.6</v>
      </c>
      <c r="I177">
        <v>2.5499999999999998</v>
      </c>
      <c r="J177" t="str" cm="1">
        <f t="array" ref="J177">_xlfn.IFS(Table1[[#This Row],[academic_performance]]&gt;1,"Need Improvement",Table1[[#This Row],[academic_performance]]&gt;2,"Good",Table1[[#This Row],[academic_performance]]&gt;3,"Very good",Table1[[#This Row],[academic_performance]]&gt;4,"Excellent")</f>
        <v>Need Improvement</v>
      </c>
      <c r="K177">
        <v>0.5</v>
      </c>
      <c r="L177" t="str">
        <f>IF(Table1[[#This Row],[physical_activity]]&gt;1.9,"better overall ","lower rate of depression")</f>
        <v>lower rate of depression</v>
      </c>
      <c r="M177" t="s">
        <v>19</v>
      </c>
      <c r="N177">
        <v>10</v>
      </c>
      <c r="O177">
        <v>1</v>
      </c>
      <c r="P177">
        <v>8</v>
      </c>
      <c r="Q177">
        <v>0</v>
      </c>
    </row>
    <row r="178" spans="1:17" x14ac:dyDescent="0.3">
      <c r="A178">
        <v>15</v>
      </c>
      <c r="B178" t="s">
        <v>13</v>
      </c>
      <c r="C178" t="str">
        <f>IF(Table1[[#This Row],[age]]&gt;18,"Adult","Teenage")</f>
        <v>Teenage</v>
      </c>
      <c r="D178">
        <v>6.2</v>
      </c>
      <c r="E178" t="s">
        <v>17</v>
      </c>
      <c r="F178">
        <v>6.3</v>
      </c>
      <c r="G178">
        <f>Table1[[#This Row],[sleep_hours]]-Table1[[#This Row],[daily_social_media_hours]]</f>
        <v>9.9999999999999645E-2</v>
      </c>
      <c r="H178">
        <v>1.7</v>
      </c>
      <c r="I178">
        <v>2.2599999999999998</v>
      </c>
      <c r="J178" t="str" cm="1">
        <f t="array" ref="J178">_xlfn.IFS(Table1[[#This Row],[academic_performance]]&gt;1,"Need Improvement",Table1[[#This Row],[academic_performance]]&gt;2,"Good",Table1[[#This Row],[academic_performance]]&gt;3,"Very good",Table1[[#This Row],[academic_performance]]&gt;4,"Excellent")</f>
        <v>Need Improvement</v>
      </c>
      <c r="K178">
        <v>1.1000000000000001</v>
      </c>
      <c r="L178" t="str">
        <f>IF(Table1[[#This Row],[physical_activity]]&gt;1.9,"better overall ","lower rate of depression")</f>
        <v>lower rate of depression</v>
      </c>
      <c r="M178" t="s">
        <v>18</v>
      </c>
      <c r="N178">
        <v>9</v>
      </c>
      <c r="O178">
        <v>6</v>
      </c>
      <c r="P178">
        <v>2</v>
      </c>
      <c r="Q178">
        <v>0</v>
      </c>
    </row>
    <row r="179" spans="1:17" x14ac:dyDescent="0.3">
      <c r="A179">
        <v>14</v>
      </c>
      <c r="B179" t="s">
        <v>13</v>
      </c>
      <c r="C179" t="str">
        <f>IF(Table1[[#This Row],[age]]&gt;18,"Adult","Teenage")</f>
        <v>Teenage</v>
      </c>
      <c r="D179">
        <v>3.2</v>
      </c>
      <c r="E179" t="s">
        <v>17</v>
      </c>
      <c r="F179">
        <v>8</v>
      </c>
      <c r="G179">
        <f>Table1[[#This Row],[sleep_hours]]-Table1[[#This Row],[daily_social_media_hours]]</f>
        <v>4.8</v>
      </c>
      <c r="H179">
        <v>1.3</v>
      </c>
      <c r="I179">
        <v>2.5</v>
      </c>
      <c r="J179" t="str" cm="1">
        <f t="array" ref="J179">_xlfn.IFS(Table1[[#This Row],[academic_performance]]&gt;1,"Need Improvement",Table1[[#This Row],[academic_performance]]&gt;2,"Good",Table1[[#This Row],[academic_performance]]&gt;3,"Very good",Table1[[#This Row],[academic_performance]]&gt;4,"Excellent")</f>
        <v>Need Improvement</v>
      </c>
      <c r="K179">
        <v>1.1000000000000001</v>
      </c>
      <c r="L179" t="str">
        <f>IF(Table1[[#This Row],[physical_activity]]&gt;1.9,"better overall ","lower rate of depression")</f>
        <v>lower rate of depression</v>
      </c>
      <c r="M179" t="s">
        <v>18</v>
      </c>
      <c r="N179">
        <v>2</v>
      </c>
      <c r="O179">
        <v>7</v>
      </c>
      <c r="P179">
        <v>5</v>
      </c>
      <c r="Q179">
        <v>0</v>
      </c>
    </row>
    <row r="180" spans="1:17" x14ac:dyDescent="0.3">
      <c r="A180">
        <v>18</v>
      </c>
      <c r="B180" t="s">
        <v>16</v>
      </c>
      <c r="C180" t="str">
        <f>IF(Table1[[#This Row],[age]]&gt;18,"Adult","Teenage")</f>
        <v>Teenage</v>
      </c>
      <c r="D180">
        <v>4.5</v>
      </c>
      <c r="E180" t="s">
        <v>20</v>
      </c>
      <c r="F180">
        <v>7.9</v>
      </c>
      <c r="G180">
        <f>Table1[[#This Row],[sleep_hours]]-Table1[[#This Row],[daily_social_media_hours]]</f>
        <v>3.4000000000000004</v>
      </c>
      <c r="H180">
        <v>1.4</v>
      </c>
      <c r="I180">
        <v>2.38</v>
      </c>
      <c r="J180" t="str" cm="1">
        <f t="array" ref="J180">_xlfn.IFS(Table1[[#This Row],[academic_performance]]&gt;1,"Need Improvement",Table1[[#This Row],[academic_performance]]&gt;2,"Good",Table1[[#This Row],[academic_performance]]&gt;3,"Very good",Table1[[#This Row],[academic_performance]]&gt;4,"Excellent")</f>
        <v>Need Improvement</v>
      </c>
      <c r="K180">
        <v>0.1</v>
      </c>
      <c r="L180" t="str">
        <f>IF(Table1[[#This Row],[physical_activity]]&gt;1.9,"better overall ","lower rate of depression")</f>
        <v>lower rate of depression</v>
      </c>
      <c r="M180" t="s">
        <v>18</v>
      </c>
      <c r="N180">
        <v>7</v>
      </c>
      <c r="O180">
        <v>9</v>
      </c>
      <c r="P180">
        <v>1</v>
      </c>
      <c r="Q180">
        <v>0</v>
      </c>
    </row>
    <row r="181" spans="1:17" x14ac:dyDescent="0.3">
      <c r="A181">
        <v>14</v>
      </c>
      <c r="B181" t="s">
        <v>16</v>
      </c>
      <c r="C181" t="str">
        <f>IF(Table1[[#This Row],[age]]&gt;18,"Adult","Teenage")</f>
        <v>Teenage</v>
      </c>
      <c r="D181">
        <v>1.1000000000000001</v>
      </c>
      <c r="E181" t="s">
        <v>20</v>
      </c>
      <c r="F181">
        <v>6.1</v>
      </c>
      <c r="G181">
        <f>Table1[[#This Row],[sleep_hours]]-Table1[[#This Row],[daily_social_media_hours]]</f>
        <v>5</v>
      </c>
      <c r="H181">
        <v>2.5</v>
      </c>
      <c r="I181">
        <v>2.8</v>
      </c>
      <c r="J181" t="str" cm="1">
        <f t="array" ref="J181">_xlfn.IFS(Table1[[#This Row],[academic_performance]]&gt;1,"Need Improvement",Table1[[#This Row],[academic_performance]]&gt;2,"Good",Table1[[#This Row],[academic_performance]]&gt;3,"Very good",Table1[[#This Row],[academic_performance]]&gt;4,"Excellent")</f>
        <v>Need Improvement</v>
      </c>
      <c r="K181">
        <v>1.8</v>
      </c>
      <c r="L181" t="str">
        <f>IF(Table1[[#This Row],[physical_activity]]&gt;1.9,"better overall ","lower rate of depression")</f>
        <v>lower rate of depression</v>
      </c>
      <c r="M181" t="s">
        <v>18</v>
      </c>
      <c r="N181">
        <v>4</v>
      </c>
      <c r="O181">
        <v>10</v>
      </c>
      <c r="P181">
        <v>3</v>
      </c>
      <c r="Q181">
        <v>0</v>
      </c>
    </row>
    <row r="182" spans="1:17" x14ac:dyDescent="0.3">
      <c r="A182">
        <v>13</v>
      </c>
      <c r="B182" t="s">
        <v>13</v>
      </c>
      <c r="C182" t="str">
        <f>IF(Table1[[#This Row],[age]]&gt;18,"Adult","Teenage")</f>
        <v>Teenage</v>
      </c>
      <c r="D182">
        <v>5.9</v>
      </c>
      <c r="E182" t="s">
        <v>14</v>
      </c>
      <c r="F182">
        <v>8</v>
      </c>
      <c r="G182">
        <f>Table1[[#This Row],[sleep_hours]]-Table1[[#This Row],[daily_social_media_hours]]</f>
        <v>2.0999999999999996</v>
      </c>
      <c r="H182">
        <v>2.8</v>
      </c>
      <c r="I182">
        <v>3.21</v>
      </c>
      <c r="J182" t="str" cm="1">
        <f t="array" ref="J182">_xlfn.IFS(Table1[[#This Row],[academic_performance]]&gt;1,"Need Improvement",Table1[[#This Row],[academic_performance]]&gt;2,"Good",Table1[[#This Row],[academic_performance]]&gt;3,"Very good",Table1[[#This Row],[academic_performance]]&gt;4,"Excellent")</f>
        <v>Need Improvement</v>
      </c>
      <c r="K182">
        <v>1.6</v>
      </c>
      <c r="L182" t="str">
        <f>IF(Table1[[#This Row],[physical_activity]]&gt;1.9,"better overall ","lower rate of depression")</f>
        <v>lower rate of depression</v>
      </c>
      <c r="M182" t="s">
        <v>19</v>
      </c>
      <c r="N182">
        <v>2</v>
      </c>
      <c r="O182">
        <v>8</v>
      </c>
      <c r="P182">
        <v>8</v>
      </c>
      <c r="Q182">
        <v>0</v>
      </c>
    </row>
    <row r="183" spans="1:17" x14ac:dyDescent="0.3">
      <c r="A183">
        <v>17</v>
      </c>
      <c r="B183" t="s">
        <v>13</v>
      </c>
      <c r="C183" t="str">
        <f>IF(Table1[[#This Row],[age]]&gt;18,"Adult","Teenage")</f>
        <v>Teenage</v>
      </c>
      <c r="D183">
        <v>5.0999999999999996</v>
      </c>
      <c r="E183" t="s">
        <v>20</v>
      </c>
      <c r="F183">
        <v>5</v>
      </c>
      <c r="G183">
        <f>Table1[[#This Row],[sleep_hours]]-Table1[[#This Row],[daily_social_media_hours]]</f>
        <v>-9.9999999999999645E-2</v>
      </c>
      <c r="H183">
        <v>2.2000000000000002</v>
      </c>
      <c r="I183">
        <v>3.58</v>
      </c>
      <c r="J183" t="str" cm="1">
        <f t="array" ref="J183">_xlfn.IFS(Table1[[#This Row],[academic_performance]]&gt;1,"Need Improvement",Table1[[#This Row],[academic_performance]]&gt;2,"Good",Table1[[#This Row],[academic_performance]]&gt;3,"Very good",Table1[[#This Row],[academic_performance]]&gt;4,"Excellent")</f>
        <v>Need Improvement</v>
      </c>
      <c r="K183">
        <v>1.2</v>
      </c>
      <c r="L183" t="str">
        <f>IF(Table1[[#This Row],[physical_activity]]&gt;1.9,"better overall ","lower rate of depression")</f>
        <v>lower rate of depression</v>
      </c>
      <c r="M183" t="s">
        <v>18</v>
      </c>
      <c r="N183">
        <v>6</v>
      </c>
      <c r="O183">
        <v>3</v>
      </c>
      <c r="P183">
        <v>9</v>
      </c>
      <c r="Q183">
        <v>0</v>
      </c>
    </row>
    <row r="184" spans="1:17" x14ac:dyDescent="0.3">
      <c r="A184">
        <v>15</v>
      </c>
      <c r="B184" t="s">
        <v>13</v>
      </c>
      <c r="C184" t="str">
        <f>IF(Table1[[#This Row],[age]]&gt;18,"Adult","Teenage")</f>
        <v>Teenage</v>
      </c>
      <c r="D184">
        <v>1.6</v>
      </c>
      <c r="E184" t="s">
        <v>14</v>
      </c>
      <c r="F184">
        <v>6.9</v>
      </c>
      <c r="G184">
        <f>Table1[[#This Row],[sleep_hours]]-Table1[[#This Row],[daily_social_media_hours]]</f>
        <v>5.3000000000000007</v>
      </c>
      <c r="H184">
        <v>2.2999999999999998</v>
      </c>
      <c r="I184">
        <v>3.16</v>
      </c>
      <c r="J184" t="str" cm="1">
        <f t="array" ref="J184">_xlfn.IFS(Table1[[#This Row],[academic_performance]]&gt;1,"Need Improvement",Table1[[#This Row],[academic_performance]]&gt;2,"Good",Table1[[#This Row],[academic_performance]]&gt;3,"Very good",Table1[[#This Row],[academic_performance]]&gt;4,"Excellent")</f>
        <v>Need Improvement</v>
      </c>
      <c r="K184">
        <v>0.9</v>
      </c>
      <c r="L184" t="str">
        <f>IF(Table1[[#This Row],[physical_activity]]&gt;1.9,"better overall ","lower rate of depression")</f>
        <v>lower rate of depression</v>
      </c>
      <c r="M184" t="s">
        <v>19</v>
      </c>
      <c r="N184">
        <v>3</v>
      </c>
      <c r="O184">
        <v>1</v>
      </c>
      <c r="P184">
        <v>5</v>
      </c>
      <c r="Q184">
        <v>0</v>
      </c>
    </row>
    <row r="185" spans="1:17" x14ac:dyDescent="0.3">
      <c r="A185">
        <v>15</v>
      </c>
      <c r="B185" t="s">
        <v>16</v>
      </c>
      <c r="C185" t="str">
        <f>IF(Table1[[#This Row],[age]]&gt;18,"Adult","Teenage")</f>
        <v>Teenage</v>
      </c>
      <c r="D185">
        <v>7.2</v>
      </c>
      <c r="E185" t="s">
        <v>17</v>
      </c>
      <c r="F185">
        <v>8</v>
      </c>
      <c r="G185">
        <f>Table1[[#This Row],[sleep_hours]]-Table1[[#This Row],[daily_social_media_hours]]</f>
        <v>0.79999999999999982</v>
      </c>
      <c r="H185">
        <v>1.4</v>
      </c>
      <c r="I185">
        <v>3.64</v>
      </c>
      <c r="J185" t="str" cm="1">
        <f t="array" ref="J185">_xlfn.IFS(Table1[[#This Row],[academic_performance]]&gt;1,"Need Improvement",Table1[[#This Row],[academic_performance]]&gt;2,"Good",Table1[[#This Row],[academic_performance]]&gt;3,"Very good",Table1[[#This Row],[academic_performance]]&gt;4,"Excellent")</f>
        <v>Need Improvement</v>
      </c>
      <c r="K185">
        <v>0.4</v>
      </c>
      <c r="L185" t="str">
        <f>IF(Table1[[#This Row],[physical_activity]]&gt;1.9,"better overall ","lower rate of depression")</f>
        <v>lower rate of depression</v>
      </c>
      <c r="M185" t="s">
        <v>19</v>
      </c>
      <c r="N185">
        <v>10</v>
      </c>
      <c r="O185">
        <v>5</v>
      </c>
      <c r="P185">
        <v>7</v>
      </c>
      <c r="Q185">
        <v>0</v>
      </c>
    </row>
    <row r="186" spans="1:17" x14ac:dyDescent="0.3">
      <c r="A186">
        <v>17</v>
      </c>
      <c r="B186" t="s">
        <v>16</v>
      </c>
      <c r="C186" t="str">
        <f>IF(Table1[[#This Row],[age]]&gt;18,"Adult","Teenage")</f>
        <v>Teenage</v>
      </c>
      <c r="D186">
        <v>1.4</v>
      </c>
      <c r="E186" t="s">
        <v>14</v>
      </c>
      <c r="F186">
        <v>6.9</v>
      </c>
      <c r="G186">
        <f>Table1[[#This Row],[sleep_hours]]-Table1[[#This Row],[daily_social_media_hours]]</f>
        <v>5.5</v>
      </c>
      <c r="H186">
        <v>2.4</v>
      </c>
      <c r="I186">
        <v>3.06</v>
      </c>
      <c r="J186" t="str" cm="1">
        <f t="array" ref="J186">_xlfn.IFS(Table1[[#This Row],[academic_performance]]&gt;1,"Need Improvement",Table1[[#This Row],[academic_performance]]&gt;2,"Good",Table1[[#This Row],[academic_performance]]&gt;3,"Very good",Table1[[#This Row],[academic_performance]]&gt;4,"Excellent")</f>
        <v>Need Improvement</v>
      </c>
      <c r="K186">
        <v>1.9</v>
      </c>
      <c r="L186" t="str">
        <f>IF(Table1[[#This Row],[physical_activity]]&gt;1.9,"better overall ","lower rate of depression")</f>
        <v>lower rate of depression</v>
      </c>
      <c r="M186" t="s">
        <v>19</v>
      </c>
      <c r="N186">
        <v>4</v>
      </c>
      <c r="O186">
        <v>10</v>
      </c>
      <c r="P186">
        <v>8</v>
      </c>
      <c r="Q186">
        <v>0</v>
      </c>
    </row>
    <row r="187" spans="1:17" x14ac:dyDescent="0.3">
      <c r="A187">
        <v>17</v>
      </c>
      <c r="B187" t="s">
        <v>16</v>
      </c>
      <c r="C187" t="str">
        <f>IF(Table1[[#This Row],[age]]&gt;18,"Adult","Teenage")</f>
        <v>Teenage</v>
      </c>
      <c r="D187">
        <v>6.6</v>
      </c>
      <c r="E187" t="s">
        <v>14</v>
      </c>
      <c r="F187">
        <v>8</v>
      </c>
      <c r="G187">
        <f>Table1[[#This Row],[sleep_hours]]-Table1[[#This Row],[daily_social_media_hours]]</f>
        <v>1.4000000000000004</v>
      </c>
      <c r="H187">
        <v>2.2000000000000002</v>
      </c>
      <c r="I187">
        <v>2.21</v>
      </c>
      <c r="J187" t="str" cm="1">
        <f t="array" ref="J187">_xlfn.IFS(Table1[[#This Row],[academic_performance]]&gt;1,"Need Improvement",Table1[[#This Row],[academic_performance]]&gt;2,"Good",Table1[[#This Row],[academic_performance]]&gt;3,"Very good",Table1[[#This Row],[academic_performance]]&gt;4,"Excellent")</f>
        <v>Need Improvement</v>
      </c>
      <c r="K187">
        <v>1</v>
      </c>
      <c r="L187" t="str">
        <f>IF(Table1[[#This Row],[physical_activity]]&gt;1.9,"better overall ","lower rate of depression")</f>
        <v>lower rate of depression</v>
      </c>
      <c r="M187" t="s">
        <v>18</v>
      </c>
      <c r="N187">
        <v>10</v>
      </c>
      <c r="O187">
        <v>8</v>
      </c>
      <c r="P187">
        <v>10</v>
      </c>
      <c r="Q187">
        <v>0</v>
      </c>
    </row>
    <row r="188" spans="1:17" x14ac:dyDescent="0.3">
      <c r="A188">
        <v>15</v>
      </c>
      <c r="B188" t="s">
        <v>16</v>
      </c>
      <c r="C188" t="str">
        <f>IF(Table1[[#This Row],[age]]&gt;18,"Adult","Teenage")</f>
        <v>Teenage</v>
      </c>
      <c r="D188">
        <v>3.5</v>
      </c>
      <c r="E188" t="s">
        <v>14</v>
      </c>
      <c r="F188">
        <v>6.3</v>
      </c>
      <c r="G188">
        <f>Table1[[#This Row],[sleep_hours]]-Table1[[#This Row],[daily_social_media_hours]]</f>
        <v>2.8</v>
      </c>
      <c r="H188">
        <v>0.8</v>
      </c>
      <c r="I188">
        <v>2.71</v>
      </c>
      <c r="J188" t="str" cm="1">
        <f t="array" ref="J188">_xlfn.IFS(Table1[[#This Row],[academic_performance]]&gt;1,"Need Improvement",Table1[[#This Row],[academic_performance]]&gt;2,"Good",Table1[[#This Row],[academic_performance]]&gt;3,"Very good",Table1[[#This Row],[academic_performance]]&gt;4,"Excellent")</f>
        <v>Need Improvement</v>
      </c>
      <c r="K188">
        <v>1.8</v>
      </c>
      <c r="L188" t="str">
        <f>IF(Table1[[#This Row],[physical_activity]]&gt;1.9,"better overall ","lower rate of depression")</f>
        <v>lower rate of depression</v>
      </c>
      <c r="M188" t="s">
        <v>18</v>
      </c>
      <c r="N188">
        <v>7</v>
      </c>
      <c r="O188">
        <v>4</v>
      </c>
      <c r="P188">
        <v>2</v>
      </c>
      <c r="Q188">
        <v>0</v>
      </c>
    </row>
    <row r="189" spans="1:17" x14ac:dyDescent="0.3">
      <c r="A189">
        <v>17</v>
      </c>
      <c r="B189" t="s">
        <v>16</v>
      </c>
      <c r="C189" t="str">
        <f>IF(Table1[[#This Row],[age]]&gt;18,"Adult","Teenage")</f>
        <v>Teenage</v>
      </c>
      <c r="D189">
        <v>5.4</v>
      </c>
      <c r="E189" t="s">
        <v>20</v>
      </c>
      <c r="F189">
        <v>6.3</v>
      </c>
      <c r="G189">
        <f>Table1[[#This Row],[sleep_hours]]-Table1[[#This Row],[daily_social_media_hours]]</f>
        <v>0.89999999999999947</v>
      </c>
      <c r="H189">
        <v>2.8</v>
      </c>
      <c r="I189">
        <v>3.06</v>
      </c>
      <c r="J189" t="str" cm="1">
        <f t="array" ref="J189">_xlfn.IFS(Table1[[#This Row],[academic_performance]]&gt;1,"Need Improvement",Table1[[#This Row],[academic_performance]]&gt;2,"Good",Table1[[#This Row],[academic_performance]]&gt;3,"Very good",Table1[[#This Row],[academic_performance]]&gt;4,"Excellent")</f>
        <v>Need Improvement</v>
      </c>
      <c r="K189">
        <v>0.8</v>
      </c>
      <c r="L189" t="str">
        <f>IF(Table1[[#This Row],[physical_activity]]&gt;1.9,"better overall ","lower rate of depression")</f>
        <v>lower rate of depression</v>
      </c>
      <c r="M189" t="s">
        <v>15</v>
      </c>
      <c r="N189">
        <v>3</v>
      </c>
      <c r="O189">
        <v>7</v>
      </c>
      <c r="P189">
        <v>9</v>
      </c>
      <c r="Q189">
        <v>0</v>
      </c>
    </row>
    <row r="190" spans="1:17" x14ac:dyDescent="0.3">
      <c r="A190">
        <v>16</v>
      </c>
      <c r="B190" t="s">
        <v>16</v>
      </c>
      <c r="C190" t="str">
        <f>IF(Table1[[#This Row],[age]]&gt;18,"Adult","Teenage")</f>
        <v>Teenage</v>
      </c>
      <c r="D190">
        <v>4.2</v>
      </c>
      <c r="E190" t="s">
        <v>20</v>
      </c>
      <c r="F190">
        <v>7.3</v>
      </c>
      <c r="G190">
        <f>Table1[[#This Row],[sleep_hours]]-Table1[[#This Row],[daily_social_media_hours]]</f>
        <v>3.0999999999999996</v>
      </c>
      <c r="H190">
        <v>1.1000000000000001</v>
      </c>
      <c r="I190">
        <v>3.1</v>
      </c>
      <c r="J190" t="str" cm="1">
        <f t="array" ref="J190">_xlfn.IFS(Table1[[#This Row],[academic_performance]]&gt;1,"Need Improvement",Table1[[#This Row],[academic_performance]]&gt;2,"Good",Table1[[#This Row],[academic_performance]]&gt;3,"Very good",Table1[[#This Row],[academic_performance]]&gt;4,"Excellent")</f>
        <v>Need Improvement</v>
      </c>
      <c r="K190">
        <v>1.6</v>
      </c>
      <c r="L190" t="str">
        <f>IF(Table1[[#This Row],[physical_activity]]&gt;1.9,"better overall ","lower rate of depression")</f>
        <v>lower rate of depression</v>
      </c>
      <c r="M190" t="s">
        <v>19</v>
      </c>
      <c r="N190">
        <v>1</v>
      </c>
      <c r="O190">
        <v>6</v>
      </c>
      <c r="P190">
        <v>2</v>
      </c>
      <c r="Q190">
        <v>0</v>
      </c>
    </row>
    <row r="191" spans="1:17" x14ac:dyDescent="0.3">
      <c r="A191">
        <v>13</v>
      </c>
      <c r="B191" t="s">
        <v>13</v>
      </c>
      <c r="C191" t="str">
        <f>IF(Table1[[#This Row],[age]]&gt;18,"Adult","Teenage")</f>
        <v>Teenage</v>
      </c>
      <c r="D191">
        <v>2.5</v>
      </c>
      <c r="E191" t="s">
        <v>14</v>
      </c>
      <c r="F191">
        <v>8.3000000000000007</v>
      </c>
      <c r="G191">
        <f>Table1[[#This Row],[sleep_hours]]-Table1[[#This Row],[daily_social_media_hours]]</f>
        <v>5.8000000000000007</v>
      </c>
      <c r="H191">
        <v>1.6</v>
      </c>
      <c r="I191">
        <v>2.91</v>
      </c>
      <c r="J191" t="str" cm="1">
        <f t="array" ref="J191">_xlfn.IFS(Table1[[#This Row],[academic_performance]]&gt;1,"Need Improvement",Table1[[#This Row],[academic_performance]]&gt;2,"Good",Table1[[#This Row],[academic_performance]]&gt;3,"Very good",Table1[[#This Row],[academic_performance]]&gt;4,"Excellent")</f>
        <v>Need Improvement</v>
      </c>
      <c r="K191">
        <v>0.6</v>
      </c>
      <c r="L191" t="str">
        <f>IF(Table1[[#This Row],[physical_activity]]&gt;1.9,"better overall ","lower rate of depression")</f>
        <v>lower rate of depression</v>
      </c>
      <c r="M191" t="s">
        <v>18</v>
      </c>
      <c r="N191">
        <v>10</v>
      </c>
      <c r="O191">
        <v>2</v>
      </c>
      <c r="P191">
        <v>6</v>
      </c>
      <c r="Q191">
        <v>0</v>
      </c>
    </row>
    <row r="192" spans="1:17" x14ac:dyDescent="0.3">
      <c r="A192">
        <v>16</v>
      </c>
      <c r="B192" t="s">
        <v>16</v>
      </c>
      <c r="C192" t="str">
        <f>IF(Table1[[#This Row],[age]]&gt;18,"Adult","Teenage")</f>
        <v>Teenage</v>
      </c>
      <c r="D192">
        <v>3.8</v>
      </c>
      <c r="E192" t="s">
        <v>17</v>
      </c>
      <c r="F192">
        <v>6</v>
      </c>
      <c r="G192">
        <f>Table1[[#This Row],[sleep_hours]]-Table1[[#This Row],[daily_social_media_hours]]</f>
        <v>2.2000000000000002</v>
      </c>
      <c r="H192">
        <v>3</v>
      </c>
      <c r="I192">
        <v>2.1</v>
      </c>
      <c r="J192" t="str" cm="1">
        <f t="array" ref="J192">_xlfn.IFS(Table1[[#This Row],[academic_performance]]&gt;1,"Need Improvement",Table1[[#This Row],[academic_performance]]&gt;2,"Good",Table1[[#This Row],[academic_performance]]&gt;3,"Very good",Table1[[#This Row],[academic_performance]]&gt;4,"Excellent")</f>
        <v>Need Improvement</v>
      </c>
      <c r="K192">
        <v>0.2</v>
      </c>
      <c r="L192" t="str">
        <f>IF(Table1[[#This Row],[physical_activity]]&gt;1.9,"better overall ","lower rate of depression")</f>
        <v>lower rate of depression</v>
      </c>
      <c r="M192" t="s">
        <v>15</v>
      </c>
      <c r="N192">
        <v>7</v>
      </c>
      <c r="O192">
        <v>9</v>
      </c>
      <c r="P192">
        <v>1</v>
      </c>
      <c r="Q192">
        <v>0</v>
      </c>
    </row>
    <row r="193" spans="1:17" x14ac:dyDescent="0.3">
      <c r="A193">
        <v>13</v>
      </c>
      <c r="B193" t="s">
        <v>13</v>
      </c>
      <c r="C193" t="str">
        <f>IF(Table1[[#This Row],[age]]&gt;18,"Adult","Teenage")</f>
        <v>Teenage</v>
      </c>
      <c r="D193">
        <v>1.8</v>
      </c>
      <c r="E193" t="s">
        <v>14</v>
      </c>
      <c r="F193">
        <v>8.9</v>
      </c>
      <c r="G193">
        <f>Table1[[#This Row],[sleep_hours]]-Table1[[#This Row],[daily_social_media_hours]]</f>
        <v>7.1000000000000005</v>
      </c>
      <c r="H193">
        <v>1.2</v>
      </c>
      <c r="I193">
        <v>3.67</v>
      </c>
      <c r="J193" t="str" cm="1">
        <f t="array" ref="J193">_xlfn.IFS(Table1[[#This Row],[academic_performance]]&gt;1,"Need Improvement",Table1[[#This Row],[academic_performance]]&gt;2,"Good",Table1[[#This Row],[academic_performance]]&gt;3,"Very good",Table1[[#This Row],[academic_performance]]&gt;4,"Excellent")</f>
        <v>Need Improvement</v>
      </c>
      <c r="K193">
        <v>0.1</v>
      </c>
      <c r="L193" t="str">
        <f>IF(Table1[[#This Row],[physical_activity]]&gt;1.9,"better overall ","lower rate of depression")</f>
        <v>lower rate of depression</v>
      </c>
      <c r="M193" t="s">
        <v>19</v>
      </c>
      <c r="N193">
        <v>2</v>
      </c>
      <c r="O193">
        <v>8</v>
      </c>
      <c r="P193">
        <v>9</v>
      </c>
      <c r="Q193">
        <v>0</v>
      </c>
    </row>
    <row r="194" spans="1:17" x14ac:dyDescent="0.3">
      <c r="A194">
        <v>14</v>
      </c>
      <c r="B194" t="s">
        <v>13</v>
      </c>
      <c r="C194" t="str">
        <f>IF(Table1[[#This Row],[age]]&gt;18,"Adult","Teenage")</f>
        <v>Teenage</v>
      </c>
      <c r="D194">
        <v>5.4</v>
      </c>
      <c r="E194" t="s">
        <v>14</v>
      </c>
      <c r="F194">
        <v>5.6</v>
      </c>
      <c r="G194">
        <f>Table1[[#This Row],[sleep_hours]]-Table1[[#This Row],[daily_social_media_hours]]</f>
        <v>0.19999999999999929</v>
      </c>
      <c r="H194">
        <v>1.8</v>
      </c>
      <c r="I194">
        <v>3.01</v>
      </c>
      <c r="J194" t="str" cm="1">
        <f t="array" ref="J194">_xlfn.IFS(Table1[[#This Row],[academic_performance]]&gt;1,"Need Improvement",Table1[[#This Row],[academic_performance]]&gt;2,"Good",Table1[[#This Row],[academic_performance]]&gt;3,"Very good",Table1[[#This Row],[academic_performance]]&gt;4,"Excellent")</f>
        <v>Need Improvement</v>
      </c>
      <c r="K194">
        <v>0.9</v>
      </c>
      <c r="L194" t="str">
        <f>IF(Table1[[#This Row],[physical_activity]]&gt;1.9,"better overall ","lower rate of depression")</f>
        <v>lower rate of depression</v>
      </c>
      <c r="M194" t="s">
        <v>15</v>
      </c>
      <c r="N194">
        <v>10</v>
      </c>
      <c r="O194">
        <v>6</v>
      </c>
      <c r="P194">
        <v>8</v>
      </c>
      <c r="Q194">
        <v>0</v>
      </c>
    </row>
    <row r="195" spans="1:17" x14ac:dyDescent="0.3">
      <c r="A195">
        <v>14</v>
      </c>
      <c r="B195" t="s">
        <v>16</v>
      </c>
      <c r="C195" t="str">
        <f>IF(Table1[[#This Row],[age]]&gt;18,"Adult","Teenage")</f>
        <v>Teenage</v>
      </c>
      <c r="D195">
        <v>7.7</v>
      </c>
      <c r="E195" t="s">
        <v>14</v>
      </c>
      <c r="F195">
        <v>6.1</v>
      </c>
      <c r="G195">
        <f>Table1[[#This Row],[sleep_hours]]-Table1[[#This Row],[daily_social_media_hours]]</f>
        <v>-1.6000000000000005</v>
      </c>
      <c r="H195">
        <v>0.8</v>
      </c>
      <c r="I195">
        <v>3.47</v>
      </c>
      <c r="J195" t="str" cm="1">
        <f t="array" ref="J195">_xlfn.IFS(Table1[[#This Row],[academic_performance]]&gt;1,"Need Improvement",Table1[[#This Row],[academic_performance]]&gt;2,"Good",Table1[[#This Row],[academic_performance]]&gt;3,"Very good",Table1[[#This Row],[academic_performance]]&gt;4,"Excellent")</f>
        <v>Need Improvement</v>
      </c>
      <c r="K195">
        <v>1.5</v>
      </c>
      <c r="L195" t="str">
        <f>IF(Table1[[#This Row],[physical_activity]]&gt;1.9,"better overall ","lower rate of depression")</f>
        <v>lower rate of depression</v>
      </c>
      <c r="M195" t="s">
        <v>19</v>
      </c>
      <c r="N195">
        <v>9</v>
      </c>
      <c r="O195">
        <v>10</v>
      </c>
      <c r="P195">
        <v>9</v>
      </c>
      <c r="Q195">
        <v>0</v>
      </c>
    </row>
    <row r="196" spans="1:17" x14ac:dyDescent="0.3">
      <c r="A196">
        <v>18</v>
      </c>
      <c r="B196" t="s">
        <v>16</v>
      </c>
      <c r="C196" t="str">
        <f>IF(Table1[[#This Row],[age]]&gt;18,"Adult","Teenage")</f>
        <v>Teenage</v>
      </c>
      <c r="D196">
        <v>4.0999999999999996</v>
      </c>
      <c r="E196" t="s">
        <v>14</v>
      </c>
      <c r="F196">
        <v>8</v>
      </c>
      <c r="G196">
        <f>Table1[[#This Row],[sleep_hours]]-Table1[[#This Row],[daily_social_media_hours]]</f>
        <v>3.9000000000000004</v>
      </c>
      <c r="H196">
        <v>1.7</v>
      </c>
      <c r="I196">
        <v>2.29</v>
      </c>
      <c r="J196" t="str" cm="1">
        <f t="array" ref="J196">_xlfn.IFS(Table1[[#This Row],[academic_performance]]&gt;1,"Need Improvement",Table1[[#This Row],[academic_performance]]&gt;2,"Good",Table1[[#This Row],[academic_performance]]&gt;3,"Very good",Table1[[#This Row],[academic_performance]]&gt;4,"Excellent")</f>
        <v>Need Improvement</v>
      </c>
      <c r="K196">
        <v>1.4</v>
      </c>
      <c r="L196" t="str">
        <f>IF(Table1[[#This Row],[physical_activity]]&gt;1.9,"better overall ","lower rate of depression")</f>
        <v>lower rate of depression</v>
      </c>
      <c r="M196" t="s">
        <v>15</v>
      </c>
      <c r="N196">
        <v>2</v>
      </c>
      <c r="O196">
        <v>1</v>
      </c>
      <c r="P196">
        <v>10</v>
      </c>
      <c r="Q196">
        <v>0</v>
      </c>
    </row>
    <row r="197" spans="1:17" x14ac:dyDescent="0.3">
      <c r="A197">
        <v>15</v>
      </c>
      <c r="B197" t="s">
        <v>16</v>
      </c>
      <c r="C197" t="str">
        <f>IF(Table1[[#This Row],[age]]&gt;18,"Adult","Teenage")</f>
        <v>Teenage</v>
      </c>
      <c r="D197">
        <v>6.6</v>
      </c>
      <c r="E197" t="s">
        <v>20</v>
      </c>
      <c r="F197">
        <v>4.9000000000000004</v>
      </c>
      <c r="G197">
        <f>Table1[[#This Row],[sleep_hours]]-Table1[[#This Row],[daily_social_media_hours]]</f>
        <v>-1.6999999999999993</v>
      </c>
      <c r="H197">
        <v>3</v>
      </c>
      <c r="I197">
        <v>2.99</v>
      </c>
      <c r="J197" t="str" cm="1">
        <f t="array" ref="J197">_xlfn.IFS(Table1[[#This Row],[academic_performance]]&gt;1,"Need Improvement",Table1[[#This Row],[academic_performance]]&gt;2,"Good",Table1[[#This Row],[academic_performance]]&gt;3,"Very good",Table1[[#This Row],[academic_performance]]&gt;4,"Excellent")</f>
        <v>Need Improvement</v>
      </c>
      <c r="K197">
        <v>0.9</v>
      </c>
      <c r="L197" t="str">
        <f>IF(Table1[[#This Row],[physical_activity]]&gt;1.9,"better overall ","lower rate of depression")</f>
        <v>lower rate of depression</v>
      </c>
      <c r="M197" t="s">
        <v>19</v>
      </c>
      <c r="N197">
        <v>4</v>
      </c>
      <c r="O197">
        <v>8</v>
      </c>
      <c r="P197">
        <v>3</v>
      </c>
      <c r="Q197">
        <v>0</v>
      </c>
    </row>
    <row r="198" spans="1:17" x14ac:dyDescent="0.3">
      <c r="A198">
        <v>16</v>
      </c>
      <c r="B198" t="s">
        <v>13</v>
      </c>
      <c r="C198" t="str">
        <f>IF(Table1[[#This Row],[age]]&gt;18,"Adult","Teenage")</f>
        <v>Teenage</v>
      </c>
      <c r="D198">
        <v>2.2999999999999998</v>
      </c>
      <c r="E198" t="s">
        <v>20</v>
      </c>
      <c r="F198">
        <v>4.0999999999999996</v>
      </c>
      <c r="G198">
        <f>Table1[[#This Row],[sleep_hours]]-Table1[[#This Row],[daily_social_media_hours]]</f>
        <v>1.7999999999999998</v>
      </c>
      <c r="H198">
        <v>0.8</v>
      </c>
      <c r="I198">
        <v>3.18</v>
      </c>
      <c r="J198" t="str" cm="1">
        <f t="array" ref="J198">_xlfn.IFS(Table1[[#This Row],[academic_performance]]&gt;1,"Need Improvement",Table1[[#This Row],[academic_performance]]&gt;2,"Good",Table1[[#This Row],[academic_performance]]&gt;3,"Very good",Table1[[#This Row],[academic_performance]]&gt;4,"Excellent")</f>
        <v>Need Improvement</v>
      </c>
      <c r="K198">
        <v>1.7</v>
      </c>
      <c r="L198" t="str">
        <f>IF(Table1[[#This Row],[physical_activity]]&gt;1.9,"better overall ","lower rate of depression")</f>
        <v>lower rate of depression</v>
      </c>
      <c r="M198" t="s">
        <v>19</v>
      </c>
      <c r="N198">
        <v>5</v>
      </c>
      <c r="O198">
        <v>3</v>
      </c>
      <c r="P198">
        <v>8</v>
      </c>
      <c r="Q198">
        <v>0</v>
      </c>
    </row>
    <row r="199" spans="1:17" x14ac:dyDescent="0.3">
      <c r="A199">
        <v>17</v>
      </c>
      <c r="B199" t="s">
        <v>16</v>
      </c>
      <c r="C199" t="str">
        <f>IF(Table1[[#This Row],[age]]&gt;18,"Adult","Teenage")</f>
        <v>Teenage</v>
      </c>
      <c r="D199">
        <v>7.5</v>
      </c>
      <c r="E199" t="s">
        <v>14</v>
      </c>
      <c r="F199">
        <v>5.9</v>
      </c>
      <c r="G199">
        <f>Table1[[#This Row],[sleep_hours]]-Table1[[#This Row],[daily_social_media_hours]]</f>
        <v>-1.5999999999999996</v>
      </c>
      <c r="H199">
        <v>2.9</v>
      </c>
      <c r="I199">
        <v>3.71</v>
      </c>
      <c r="J199" t="str" cm="1">
        <f t="array" ref="J199">_xlfn.IFS(Table1[[#This Row],[academic_performance]]&gt;1,"Need Improvement",Table1[[#This Row],[academic_performance]]&gt;2,"Good",Table1[[#This Row],[academic_performance]]&gt;3,"Very good",Table1[[#This Row],[academic_performance]]&gt;4,"Excellent")</f>
        <v>Need Improvement</v>
      </c>
      <c r="K199">
        <v>1.7</v>
      </c>
      <c r="L199" t="str">
        <f>IF(Table1[[#This Row],[physical_activity]]&gt;1.9,"better overall ","lower rate of depression")</f>
        <v>lower rate of depression</v>
      </c>
      <c r="M199" t="s">
        <v>15</v>
      </c>
      <c r="N199">
        <v>3</v>
      </c>
      <c r="O199">
        <v>1</v>
      </c>
      <c r="P199">
        <v>10</v>
      </c>
      <c r="Q199">
        <v>0</v>
      </c>
    </row>
    <row r="200" spans="1:17" x14ac:dyDescent="0.3">
      <c r="A200">
        <v>18</v>
      </c>
      <c r="B200" t="s">
        <v>13</v>
      </c>
      <c r="C200" t="str">
        <f>IF(Table1[[#This Row],[age]]&gt;18,"Adult","Teenage")</f>
        <v>Teenage</v>
      </c>
      <c r="D200">
        <v>7.1</v>
      </c>
      <c r="E200" t="s">
        <v>14</v>
      </c>
      <c r="F200">
        <v>8</v>
      </c>
      <c r="G200">
        <f>Table1[[#This Row],[sleep_hours]]-Table1[[#This Row],[daily_social_media_hours]]</f>
        <v>0.90000000000000036</v>
      </c>
      <c r="H200">
        <v>2.9</v>
      </c>
      <c r="I200">
        <v>2.59</v>
      </c>
      <c r="J200" t="str" cm="1">
        <f t="array" ref="J200">_xlfn.IFS(Table1[[#This Row],[academic_performance]]&gt;1,"Need Improvement",Table1[[#This Row],[academic_performance]]&gt;2,"Good",Table1[[#This Row],[academic_performance]]&gt;3,"Very good",Table1[[#This Row],[academic_performance]]&gt;4,"Excellent")</f>
        <v>Need Improvement</v>
      </c>
      <c r="K200">
        <v>1.2</v>
      </c>
      <c r="L200" t="str">
        <f>IF(Table1[[#This Row],[physical_activity]]&gt;1.9,"better overall ","lower rate of depression")</f>
        <v>lower rate of depression</v>
      </c>
      <c r="M200" t="s">
        <v>18</v>
      </c>
      <c r="N200">
        <v>10</v>
      </c>
      <c r="O200">
        <v>8</v>
      </c>
      <c r="P200">
        <v>5</v>
      </c>
      <c r="Q200">
        <v>0</v>
      </c>
    </row>
    <row r="201" spans="1:17" x14ac:dyDescent="0.3">
      <c r="A201">
        <v>17</v>
      </c>
      <c r="B201" t="s">
        <v>16</v>
      </c>
      <c r="C201" t="str">
        <f>IF(Table1[[#This Row],[age]]&gt;18,"Adult","Teenage")</f>
        <v>Teenage</v>
      </c>
      <c r="D201">
        <v>1.7</v>
      </c>
      <c r="E201" t="s">
        <v>20</v>
      </c>
      <c r="F201">
        <v>6.3</v>
      </c>
      <c r="G201">
        <f>Table1[[#This Row],[sleep_hours]]-Table1[[#This Row],[daily_social_media_hours]]</f>
        <v>4.5999999999999996</v>
      </c>
      <c r="H201">
        <v>1.5</v>
      </c>
      <c r="I201">
        <v>2.66</v>
      </c>
      <c r="J201" t="str" cm="1">
        <f t="array" ref="J201">_xlfn.IFS(Table1[[#This Row],[academic_performance]]&gt;1,"Need Improvement",Table1[[#This Row],[academic_performance]]&gt;2,"Good",Table1[[#This Row],[academic_performance]]&gt;3,"Very good",Table1[[#This Row],[academic_performance]]&gt;4,"Excellent")</f>
        <v>Need Improvement</v>
      </c>
      <c r="K201">
        <v>1.8</v>
      </c>
      <c r="L201" t="str">
        <f>IF(Table1[[#This Row],[physical_activity]]&gt;1.9,"better overall ","lower rate of depression")</f>
        <v>lower rate of depression</v>
      </c>
      <c r="M201" t="s">
        <v>15</v>
      </c>
      <c r="N201">
        <v>1</v>
      </c>
      <c r="O201">
        <v>4</v>
      </c>
      <c r="P201">
        <v>10</v>
      </c>
      <c r="Q201">
        <v>0</v>
      </c>
    </row>
    <row r="202" spans="1:17" x14ac:dyDescent="0.3">
      <c r="A202">
        <v>13</v>
      </c>
      <c r="B202" t="s">
        <v>13</v>
      </c>
      <c r="C202" t="str">
        <f>IF(Table1[[#This Row],[age]]&gt;18,"Adult","Teenage")</f>
        <v>Teenage</v>
      </c>
      <c r="D202">
        <v>7.9</v>
      </c>
      <c r="E202" t="s">
        <v>14</v>
      </c>
      <c r="F202">
        <v>5.8</v>
      </c>
      <c r="G202">
        <f>Table1[[#This Row],[sleep_hours]]-Table1[[#This Row],[daily_social_media_hours]]</f>
        <v>-2.1000000000000005</v>
      </c>
      <c r="H202">
        <v>0.8</v>
      </c>
      <c r="I202">
        <v>3.31</v>
      </c>
      <c r="J202" t="str" cm="1">
        <f t="array" ref="J202">_xlfn.IFS(Table1[[#This Row],[academic_performance]]&gt;1,"Need Improvement",Table1[[#This Row],[academic_performance]]&gt;2,"Good",Table1[[#This Row],[academic_performance]]&gt;3,"Very good",Table1[[#This Row],[academic_performance]]&gt;4,"Excellent")</f>
        <v>Need Improvement</v>
      </c>
      <c r="K202">
        <v>1.6</v>
      </c>
      <c r="L202" t="str">
        <f>IF(Table1[[#This Row],[physical_activity]]&gt;1.9,"better overall ","lower rate of depression")</f>
        <v>lower rate of depression</v>
      </c>
      <c r="M202" t="s">
        <v>19</v>
      </c>
      <c r="N202">
        <v>3</v>
      </c>
      <c r="O202">
        <v>7</v>
      </c>
      <c r="P202">
        <v>2</v>
      </c>
      <c r="Q202">
        <v>0</v>
      </c>
    </row>
    <row r="203" spans="1:17" x14ac:dyDescent="0.3">
      <c r="A203">
        <v>16</v>
      </c>
      <c r="B203" t="s">
        <v>16</v>
      </c>
      <c r="C203" t="str">
        <f>IF(Table1[[#This Row],[age]]&gt;18,"Adult","Teenage")</f>
        <v>Teenage</v>
      </c>
      <c r="D203">
        <v>4</v>
      </c>
      <c r="E203" t="s">
        <v>14</v>
      </c>
      <c r="F203">
        <v>7.9</v>
      </c>
      <c r="G203">
        <f>Table1[[#This Row],[sleep_hours]]-Table1[[#This Row],[daily_social_media_hours]]</f>
        <v>3.9000000000000004</v>
      </c>
      <c r="H203">
        <v>1.9</v>
      </c>
      <c r="I203">
        <v>2.56</v>
      </c>
      <c r="J203" t="str" cm="1">
        <f t="array" ref="J203">_xlfn.IFS(Table1[[#This Row],[academic_performance]]&gt;1,"Need Improvement",Table1[[#This Row],[academic_performance]]&gt;2,"Good",Table1[[#This Row],[academic_performance]]&gt;3,"Very good",Table1[[#This Row],[academic_performance]]&gt;4,"Excellent")</f>
        <v>Need Improvement</v>
      </c>
      <c r="K203">
        <v>0.1</v>
      </c>
      <c r="L203" t="str">
        <f>IF(Table1[[#This Row],[physical_activity]]&gt;1.9,"better overall ","lower rate of depression")</f>
        <v>lower rate of depression</v>
      </c>
      <c r="M203" t="s">
        <v>18</v>
      </c>
      <c r="N203">
        <v>4</v>
      </c>
      <c r="O203">
        <v>9</v>
      </c>
      <c r="P203">
        <v>9</v>
      </c>
      <c r="Q203">
        <v>0</v>
      </c>
    </row>
    <row r="204" spans="1:17" x14ac:dyDescent="0.3">
      <c r="A204">
        <v>15</v>
      </c>
      <c r="B204" t="s">
        <v>16</v>
      </c>
      <c r="C204" t="str">
        <f>IF(Table1[[#This Row],[age]]&gt;18,"Adult","Teenage")</f>
        <v>Teenage</v>
      </c>
      <c r="D204">
        <v>1.2</v>
      </c>
      <c r="E204" t="s">
        <v>17</v>
      </c>
      <c r="F204">
        <v>8.1</v>
      </c>
      <c r="G204">
        <f>Table1[[#This Row],[sleep_hours]]-Table1[[#This Row],[daily_social_media_hours]]</f>
        <v>6.8999999999999995</v>
      </c>
      <c r="H204">
        <v>2</v>
      </c>
      <c r="I204">
        <v>3.33</v>
      </c>
      <c r="J204" t="str" cm="1">
        <f t="array" ref="J204">_xlfn.IFS(Table1[[#This Row],[academic_performance]]&gt;1,"Need Improvement",Table1[[#This Row],[academic_performance]]&gt;2,"Good",Table1[[#This Row],[academic_performance]]&gt;3,"Very good",Table1[[#This Row],[academic_performance]]&gt;4,"Excellent")</f>
        <v>Need Improvement</v>
      </c>
      <c r="K204">
        <v>1.5</v>
      </c>
      <c r="L204" t="str">
        <f>IF(Table1[[#This Row],[physical_activity]]&gt;1.9,"better overall ","lower rate of depression")</f>
        <v>lower rate of depression</v>
      </c>
      <c r="M204" t="s">
        <v>19</v>
      </c>
      <c r="N204">
        <v>7</v>
      </c>
      <c r="O204">
        <v>3</v>
      </c>
      <c r="P204">
        <v>8</v>
      </c>
      <c r="Q204">
        <v>0</v>
      </c>
    </row>
    <row r="205" spans="1:17" x14ac:dyDescent="0.3">
      <c r="A205">
        <v>19</v>
      </c>
      <c r="B205" t="s">
        <v>13</v>
      </c>
      <c r="C205" t="str">
        <f>IF(Table1[[#This Row],[age]]&gt;18,"Adult","Teenage")</f>
        <v>Adult</v>
      </c>
      <c r="D205">
        <v>3.5</v>
      </c>
      <c r="E205" t="s">
        <v>17</v>
      </c>
      <c r="F205">
        <v>8.4</v>
      </c>
      <c r="G205">
        <f>Table1[[#This Row],[sleep_hours]]-Table1[[#This Row],[daily_social_media_hours]]</f>
        <v>4.9000000000000004</v>
      </c>
      <c r="H205">
        <v>1.7</v>
      </c>
      <c r="I205">
        <v>2.46</v>
      </c>
      <c r="J205" t="str" cm="1">
        <f t="array" ref="J205">_xlfn.IFS(Table1[[#This Row],[academic_performance]]&gt;1,"Need Improvement",Table1[[#This Row],[academic_performance]]&gt;2,"Good",Table1[[#This Row],[academic_performance]]&gt;3,"Very good",Table1[[#This Row],[academic_performance]]&gt;4,"Excellent")</f>
        <v>Need Improvement</v>
      </c>
      <c r="K205">
        <v>0.1</v>
      </c>
      <c r="L205" t="str">
        <f>IF(Table1[[#This Row],[physical_activity]]&gt;1.9,"better overall ","lower rate of depression")</f>
        <v>lower rate of depression</v>
      </c>
      <c r="M205" t="s">
        <v>18</v>
      </c>
      <c r="N205">
        <v>6</v>
      </c>
      <c r="O205">
        <v>9</v>
      </c>
      <c r="P205">
        <v>3</v>
      </c>
      <c r="Q205">
        <v>0</v>
      </c>
    </row>
    <row r="206" spans="1:17" x14ac:dyDescent="0.3">
      <c r="A206">
        <v>17</v>
      </c>
      <c r="B206" t="s">
        <v>13</v>
      </c>
      <c r="C206" t="str">
        <f>IF(Table1[[#This Row],[age]]&gt;18,"Adult","Teenage")</f>
        <v>Teenage</v>
      </c>
      <c r="D206">
        <v>1.1000000000000001</v>
      </c>
      <c r="E206" t="s">
        <v>14</v>
      </c>
      <c r="F206">
        <v>6.8</v>
      </c>
      <c r="G206">
        <f>Table1[[#This Row],[sleep_hours]]-Table1[[#This Row],[daily_social_media_hours]]</f>
        <v>5.6999999999999993</v>
      </c>
      <c r="H206">
        <v>2</v>
      </c>
      <c r="I206">
        <v>3.45</v>
      </c>
      <c r="J206" t="str" cm="1">
        <f t="array" ref="J206">_xlfn.IFS(Table1[[#This Row],[academic_performance]]&gt;1,"Need Improvement",Table1[[#This Row],[academic_performance]]&gt;2,"Good",Table1[[#This Row],[academic_performance]]&gt;3,"Very good",Table1[[#This Row],[academic_performance]]&gt;4,"Excellent")</f>
        <v>Need Improvement</v>
      </c>
      <c r="K206">
        <v>1.3</v>
      </c>
      <c r="L206" t="str">
        <f>IF(Table1[[#This Row],[physical_activity]]&gt;1.9,"better overall ","lower rate of depression")</f>
        <v>lower rate of depression</v>
      </c>
      <c r="M206" t="s">
        <v>19</v>
      </c>
      <c r="N206">
        <v>7</v>
      </c>
      <c r="O206">
        <v>1</v>
      </c>
      <c r="P206">
        <v>2</v>
      </c>
      <c r="Q206">
        <v>0</v>
      </c>
    </row>
    <row r="207" spans="1:17" x14ac:dyDescent="0.3">
      <c r="A207">
        <v>19</v>
      </c>
      <c r="B207" t="s">
        <v>16</v>
      </c>
      <c r="C207" t="str">
        <f>IF(Table1[[#This Row],[age]]&gt;18,"Adult","Teenage")</f>
        <v>Adult</v>
      </c>
      <c r="D207">
        <v>1.6</v>
      </c>
      <c r="E207" t="s">
        <v>17</v>
      </c>
      <c r="F207">
        <v>4.0999999999999996</v>
      </c>
      <c r="G207">
        <f>Table1[[#This Row],[sleep_hours]]-Table1[[#This Row],[daily_social_media_hours]]</f>
        <v>2.4999999999999996</v>
      </c>
      <c r="H207">
        <v>1.6</v>
      </c>
      <c r="I207">
        <v>3.15</v>
      </c>
      <c r="J207" t="str" cm="1">
        <f t="array" ref="J207">_xlfn.IFS(Table1[[#This Row],[academic_performance]]&gt;1,"Need Improvement",Table1[[#This Row],[academic_performance]]&gt;2,"Good",Table1[[#This Row],[academic_performance]]&gt;3,"Very good",Table1[[#This Row],[academic_performance]]&gt;4,"Excellent")</f>
        <v>Need Improvement</v>
      </c>
      <c r="K207">
        <v>0.9</v>
      </c>
      <c r="L207" t="str">
        <f>IF(Table1[[#This Row],[physical_activity]]&gt;1.9,"better overall ","lower rate of depression")</f>
        <v>lower rate of depression</v>
      </c>
      <c r="M207" t="s">
        <v>19</v>
      </c>
      <c r="N207">
        <v>2</v>
      </c>
      <c r="O207">
        <v>6</v>
      </c>
      <c r="P207">
        <v>4</v>
      </c>
      <c r="Q207">
        <v>0</v>
      </c>
    </row>
    <row r="208" spans="1:17" x14ac:dyDescent="0.3">
      <c r="A208">
        <v>16</v>
      </c>
      <c r="B208" t="s">
        <v>16</v>
      </c>
      <c r="C208" t="str">
        <f>IF(Table1[[#This Row],[age]]&gt;18,"Adult","Teenage")</f>
        <v>Teenage</v>
      </c>
      <c r="D208">
        <v>2.5</v>
      </c>
      <c r="E208" t="s">
        <v>17</v>
      </c>
      <c r="F208">
        <v>8.9</v>
      </c>
      <c r="G208">
        <f>Table1[[#This Row],[sleep_hours]]-Table1[[#This Row],[daily_social_media_hours]]</f>
        <v>6.4</v>
      </c>
      <c r="H208">
        <v>2.9</v>
      </c>
      <c r="I208">
        <v>2.5299999999999998</v>
      </c>
      <c r="J208" t="str" cm="1">
        <f t="array" ref="J208">_xlfn.IFS(Table1[[#This Row],[academic_performance]]&gt;1,"Need Improvement",Table1[[#This Row],[academic_performance]]&gt;2,"Good",Table1[[#This Row],[academic_performance]]&gt;3,"Very good",Table1[[#This Row],[academic_performance]]&gt;4,"Excellent")</f>
        <v>Need Improvement</v>
      </c>
      <c r="K208">
        <v>0.1</v>
      </c>
      <c r="L208" t="str">
        <f>IF(Table1[[#This Row],[physical_activity]]&gt;1.9,"better overall ","lower rate of depression")</f>
        <v>lower rate of depression</v>
      </c>
      <c r="M208" t="s">
        <v>18</v>
      </c>
      <c r="N208">
        <v>8</v>
      </c>
      <c r="O208">
        <v>7</v>
      </c>
      <c r="P208">
        <v>3</v>
      </c>
      <c r="Q208">
        <v>0</v>
      </c>
    </row>
    <row r="209" spans="1:17" x14ac:dyDescent="0.3">
      <c r="A209">
        <v>15</v>
      </c>
      <c r="B209" t="s">
        <v>13</v>
      </c>
      <c r="C209" t="str">
        <f>IF(Table1[[#This Row],[age]]&gt;18,"Adult","Teenage")</f>
        <v>Teenage</v>
      </c>
      <c r="D209">
        <v>2.8</v>
      </c>
      <c r="E209" t="s">
        <v>14</v>
      </c>
      <c r="F209">
        <v>7.2</v>
      </c>
      <c r="G209">
        <f>Table1[[#This Row],[sleep_hours]]-Table1[[#This Row],[daily_social_media_hours]]</f>
        <v>4.4000000000000004</v>
      </c>
      <c r="H209">
        <v>1.8</v>
      </c>
      <c r="I209">
        <v>2.91</v>
      </c>
      <c r="J209" t="str" cm="1">
        <f t="array" ref="J209">_xlfn.IFS(Table1[[#This Row],[academic_performance]]&gt;1,"Need Improvement",Table1[[#This Row],[academic_performance]]&gt;2,"Good",Table1[[#This Row],[academic_performance]]&gt;3,"Very good",Table1[[#This Row],[academic_performance]]&gt;4,"Excellent")</f>
        <v>Need Improvement</v>
      </c>
      <c r="K209">
        <v>0.2</v>
      </c>
      <c r="L209" t="str">
        <f>IF(Table1[[#This Row],[physical_activity]]&gt;1.9,"better overall ","lower rate of depression")</f>
        <v>lower rate of depression</v>
      </c>
      <c r="M209" t="s">
        <v>15</v>
      </c>
      <c r="N209">
        <v>5</v>
      </c>
      <c r="O209">
        <v>5</v>
      </c>
      <c r="P209">
        <v>4</v>
      </c>
      <c r="Q209">
        <v>0</v>
      </c>
    </row>
    <row r="210" spans="1:17" x14ac:dyDescent="0.3">
      <c r="A210">
        <v>15</v>
      </c>
      <c r="B210" t="s">
        <v>13</v>
      </c>
      <c r="C210" t="str">
        <f>IF(Table1[[#This Row],[age]]&gt;18,"Adult","Teenage")</f>
        <v>Teenage</v>
      </c>
      <c r="D210">
        <v>2.2000000000000002</v>
      </c>
      <c r="E210" t="s">
        <v>14</v>
      </c>
      <c r="F210">
        <v>5.2</v>
      </c>
      <c r="G210">
        <f>Table1[[#This Row],[sleep_hours]]-Table1[[#This Row],[daily_social_media_hours]]</f>
        <v>3</v>
      </c>
      <c r="H210">
        <v>1.4</v>
      </c>
      <c r="I210">
        <v>2.62</v>
      </c>
      <c r="J210" t="str" cm="1">
        <f t="array" ref="J210">_xlfn.IFS(Table1[[#This Row],[academic_performance]]&gt;1,"Need Improvement",Table1[[#This Row],[academic_performance]]&gt;2,"Good",Table1[[#This Row],[academic_performance]]&gt;3,"Very good",Table1[[#This Row],[academic_performance]]&gt;4,"Excellent")</f>
        <v>Need Improvement</v>
      </c>
      <c r="K210">
        <v>1.5</v>
      </c>
      <c r="L210" t="str">
        <f>IF(Table1[[#This Row],[physical_activity]]&gt;1.9,"better overall ","lower rate of depression")</f>
        <v>lower rate of depression</v>
      </c>
      <c r="M210" t="s">
        <v>19</v>
      </c>
      <c r="N210">
        <v>10</v>
      </c>
      <c r="O210">
        <v>7</v>
      </c>
      <c r="P210">
        <v>5</v>
      </c>
      <c r="Q210">
        <v>0</v>
      </c>
    </row>
    <row r="211" spans="1:17" x14ac:dyDescent="0.3">
      <c r="A211">
        <v>16</v>
      </c>
      <c r="B211" t="s">
        <v>13</v>
      </c>
      <c r="C211" t="str">
        <f>IF(Table1[[#This Row],[age]]&gt;18,"Adult","Teenage")</f>
        <v>Teenage</v>
      </c>
      <c r="D211">
        <v>4.8</v>
      </c>
      <c r="E211" t="s">
        <v>20</v>
      </c>
      <c r="F211">
        <v>6.8</v>
      </c>
      <c r="G211">
        <f>Table1[[#This Row],[sleep_hours]]-Table1[[#This Row],[daily_social_media_hours]]</f>
        <v>2</v>
      </c>
      <c r="H211">
        <v>1</v>
      </c>
      <c r="I211">
        <v>2.6</v>
      </c>
      <c r="J211" t="str" cm="1">
        <f t="array" ref="J211">_xlfn.IFS(Table1[[#This Row],[academic_performance]]&gt;1,"Need Improvement",Table1[[#This Row],[academic_performance]]&gt;2,"Good",Table1[[#This Row],[academic_performance]]&gt;3,"Very good",Table1[[#This Row],[academic_performance]]&gt;4,"Excellent")</f>
        <v>Need Improvement</v>
      </c>
      <c r="K211">
        <v>1.1000000000000001</v>
      </c>
      <c r="L211" t="str">
        <f>IF(Table1[[#This Row],[physical_activity]]&gt;1.9,"better overall ","lower rate of depression")</f>
        <v>lower rate of depression</v>
      </c>
      <c r="M211" t="s">
        <v>19</v>
      </c>
      <c r="N211">
        <v>1</v>
      </c>
      <c r="O211">
        <v>5</v>
      </c>
      <c r="P211">
        <v>6</v>
      </c>
      <c r="Q211">
        <v>0</v>
      </c>
    </row>
    <row r="212" spans="1:17" x14ac:dyDescent="0.3">
      <c r="A212">
        <v>18</v>
      </c>
      <c r="B212" t="s">
        <v>16</v>
      </c>
      <c r="C212" t="str">
        <f>IF(Table1[[#This Row],[age]]&gt;18,"Adult","Teenage")</f>
        <v>Teenage</v>
      </c>
      <c r="D212">
        <v>3.7</v>
      </c>
      <c r="E212" t="s">
        <v>20</v>
      </c>
      <c r="F212">
        <v>7.9</v>
      </c>
      <c r="G212">
        <f>Table1[[#This Row],[sleep_hours]]-Table1[[#This Row],[daily_social_media_hours]]</f>
        <v>4.2</v>
      </c>
      <c r="H212">
        <v>2.7</v>
      </c>
      <c r="I212">
        <v>3.11</v>
      </c>
      <c r="J212" t="str" cm="1">
        <f t="array" ref="J212">_xlfn.IFS(Table1[[#This Row],[academic_performance]]&gt;1,"Need Improvement",Table1[[#This Row],[academic_performance]]&gt;2,"Good",Table1[[#This Row],[academic_performance]]&gt;3,"Very good",Table1[[#This Row],[academic_performance]]&gt;4,"Excellent")</f>
        <v>Need Improvement</v>
      </c>
      <c r="K212">
        <v>0.3</v>
      </c>
      <c r="L212" t="str">
        <f>IF(Table1[[#This Row],[physical_activity]]&gt;1.9,"better overall ","lower rate of depression")</f>
        <v>lower rate of depression</v>
      </c>
      <c r="M212" t="s">
        <v>19</v>
      </c>
      <c r="N212">
        <v>6</v>
      </c>
      <c r="O212">
        <v>6</v>
      </c>
      <c r="P212">
        <v>5</v>
      </c>
      <c r="Q212">
        <v>0</v>
      </c>
    </row>
    <row r="213" spans="1:17" x14ac:dyDescent="0.3">
      <c r="A213">
        <v>16</v>
      </c>
      <c r="B213" t="s">
        <v>13</v>
      </c>
      <c r="C213" t="str">
        <f>IF(Table1[[#This Row],[age]]&gt;18,"Adult","Teenage")</f>
        <v>Teenage</v>
      </c>
      <c r="D213">
        <v>5.5</v>
      </c>
      <c r="E213" t="s">
        <v>14</v>
      </c>
      <c r="F213">
        <v>8.3000000000000007</v>
      </c>
      <c r="G213">
        <f>Table1[[#This Row],[sleep_hours]]-Table1[[#This Row],[daily_social_media_hours]]</f>
        <v>2.8000000000000007</v>
      </c>
      <c r="H213">
        <v>2.2999999999999998</v>
      </c>
      <c r="I213">
        <v>3.47</v>
      </c>
      <c r="J213" t="str" cm="1">
        <f t="array" ref="J213">_xlfn.IFS(Table1[[#This Row],[academic_performance]]&gt;1,"Need Improvement",Table1[[#This Row],[academic_performance]]&gt;2,"Good",Table1[[#This Row],[academic_performance]]&gt;3,"Very good",Table1[[#This Row],[academic_performance]]&gt;4,"Excellent")</f>
        <v>Need Improvement</v>
      </c>
      <c r="K213">
        <v>1.6</v>
      </c>
      <c r="L213" t="str">
        <f>IF(Table1[[#This Row],[physical_activity]]&gt;1.9,"better overall ","lower rate of depression")</f>
        <v>lower rate of depression</v>
      </c>
      <c r="M213" t="s">
        <v>19</v>
      </c>
      <c r="N213">
        <v>4</v>
      </c>
      <c r="O213">
        <v>8</v>
      </c>
      <c r="P213">
        <v>5</v>
      </c>
      <c r="Q213">
        <v>0</v>
      </c>
    </row>
    <row r="214" spans="1:17" x14ac:dyDescent="0.3">
      <c r="A214">
        <v>16</v>
      </c>
      <c r="B214" t="s">
        <v>13</v>
      </c>
      <c r="C214" t="str">
        <f>IF(Table1[[#This Row],[age]]&gt;18,"Adult","Teenage")</f>
        <v>Teenage</v>
      </c>
      <c r="D214">
        <v>2.5</v>
      </c>
      <c r="E214" t="s">
        <v>14</v>
      </c>
      <c r="F214">
        <v>6.8</v>
      </c>
      <c r="G214">
        <f>Table1[[#This Row],[sleep_hours]]-Table1[[#This Row],[daily_social_media_hours]]</f>
        <v>4.3</v>
      </c>
      <c r="H214">
        <v>1</v>
      </c>
      <c r="I214">
        <v>3.77</v>
      </c>
      <c r="J214" t="str" cm="1">
        <f t="array" ref="J214">_xlfn.IFS(Table1[[#This Row],[academic_performance]]&gt;1,"Need Improvement",Table1[[#This Row],[academic_performance]]&gt;2,"Good",Table1[[#This Row],[academic_performance]]&gt;3,"Very good",Table1[[#This Row],[academic_performance]]&gt;4,"Excellent")</f>
        <v>Need Improvement</v>
      </c>
      <c r="K214">
        <v>1</v>
      </c>
      <c r="L214" t="str">
        <f>IF(Table1[[#This Row],[physical_activity]]&gt;1.9,"better overall ","lower rate of depression")</f>
        <v>lower rate of depression</v>
      </c>
      <c r="M214" t="s">
        <v>18</v>
      </c>
      <c r="N214">
        <v>3</v>
      </c>
      <c r="O214">
        <v>9</v>
      </c>
      <c r="P214">
        <v>9</v>
      </c>
      <c r="Q214">
        <v>0</v>
      </c>
    </row>
    <row r="215" spans="1:17" x14ac:dyDescent="0.3">
      <c r="A215">
        <v>18</v>
      </c>
      <c r="B215" t="s">
        <v>16</v>
      </c>
      <c r="C215" t="str">
        <f>IF(Table1[[#This Row],[age]]&gt;18,"Adult","Teenage")</f>
        <v>Teenage</v>
      </c>
      <c r="D215">
        <v>1.9</v>
      </c>
      <c r="E215" t="s">
        <v>17</v>
      </c>
      <c r="F215">
        <v>5.8</v>
      </c>
      <c r="G215">
        <f>Table1[[#This Row],[sleep_hours]]-Table1[[#This Row],[daily_social_media_hours]]</f>
        <v>3.9</v>
      </c>
      <c r="H215">
        <v>1.7</v>
      </c>
      <c r="I215">
        <v>3.52</v>
      </c>
      <c r="J215" t="str" cm="1">
        <f t="array" ref="J215">_xlfn.IFS(Table1[[#This Row],[academic_performance]]&gt;1,"Need Improvement",Table1[[#This Row],[academic_performance]]&gt;2,"Good",Table1[[#This Row],[academic_performance]]&gt;3,"Very good",Table1[[#This Row],[academic_performance]]&gt;4,"Excellent")</f>
        <v>Need Improvement</v>
      </c>
      <c r="K215">
        <v>0.2</v>
      </c>
      <c r="L215" t="str">
        <f>IF(Table1[[#This Row],[physical_activity]]&gt;1.9,"better overall ","lower rate of depression")</f>
        <v>lower rate of depression</v>
      </c>
      <c r="M215" t="s">
        <v>15</v>
      </c>
      <c r="N215">
        <v>6</v>
      </c>
      <c r="O215">
        <v>5</v>
      </c>
      <c r="P215">
        <v>1</v>
      </c>
      <c r="Q215">
        <v>0</v>
      </c>
    </row>
    <row r="216" spans="1:17" x14ac:dyDescent="0.3">
      <c r="A216">
        <v>13</v>
      </c>
      <c r="B216" t="s">
        <v>13</v>
      </c>
      <c r="C216" t="str">
        <f>IF(Table1[[#This Row],[age]]&gt;18,"Adult","Teenage")</f>
        <v>Teenage</v>
      </c>
      <c r="D216">
        <v>5.9</v>
      </c>
      <c r="E216" t="s">
        <v>14</v>
      </c>
      <c r="F216">
        <v>7.5</v>
      </c>
      <c r="G216">
        <f>Table1[[#This Row],[sleep_hours]]-Table1[[#This Row],[daily_social_media_hours]]</f>
        <v>1.5999999999999996</v>
      </c>
      <c r="H216">
        <v>1.4</v>
      </c>
      <c r="I216">
        <v>2.58</v>
      </c>
      <c r="J216" t="str" cm="1">
        <f t="array" ref="J216">_xlfn.IFS(Table1[[#This Row],[academic_performance]]&gt;1,"Need Improvement",Table1[[#This Row],[academic_performance]]&gt;2,"Good",Table1[[#This Row],[academic_performance]]&gt;3,"Very good",Table1[[#This Row],[academic_performance]]&gt;4,"Excellent")</f>
        <v>Need Improvement</v>
      </c>
      <c r="K216">
        <v>1.2</v>
      </c>
      <c r="L216" t="str">
        <f>IF(Table1[[#This Row],[physical_activity]]&gt;1.9,"better overall ","lower rate of depression")</f>
        <v>lower rate of depression</v>
      </c>
      <c r="M216" t="s">
        <v>15</v>
      </c>
      <c r="N216">
        <v>6</v>
      </c>
      <c r="O216">
        <v>2</v>
      </c>
      <c r="P216">
        <v>8</v>
      </c>
      <c r="Q216">
        <v>0</v>
      </c>
    </row>
    <row r="217" spans="1:17" x14ac:dyDescent="0.3">
      <c r="A217">
        <v>13</v>
      </c>
      <c r="B217" t="s">
        <v>16</v>
      </c>
      <c r="C217" t="str">
        <f>IF(Table1[[#This Row],[age]]&gt;18,"Adult","Teenage")</f>
        <v>Teenage</v>
      </c>
      <c r="D217">
        <v>6.5</v>
      </c>
      <c r="E217" t="s">
        <v>17</v>
      </c>
      <c r="F217">
        <v>8.3000000000000007</v>
      </c>
      <c r="G217">
        <f>Table1[[#This Row],[sleep_hours]]-Table1[[#This Row],[daily_social_media_hours]]</f>
        <v>1.8000000000000007</v>
      </c>
      <c r="H217">
        <v>0.6</v>
      </c>
      <c r="I217">
        <v>3.05</v>
      </c>
      <c r="J217" t="str" cm="1">
        <f t="array" ref="J217">_xlfn.IFS(Table1[[#This Row],[academic_performance]]&gt;1,"Need Improvement",Table1[[#This Row],[academic_performance]]&gt;2,"Good",Table1[[#This Row],[academic_performance]]&gt;3,"Very good",Table1[[#This Row],[academic_performance]]&gt;4,"Excellent")</f>
        <v>Need Improvement</v>
      </c>
      <c r="K217">
        <v>0.3</v>
      </c>
      <c r="L217" t="str">
        <f>IF(Table1[[#This Row],[physical_activity]]&gt;1.9,"better overall ","lower rate of depression")</f>
        <v>lower rate of depression</v>
      </c>
      <c r="M217" t="s">
        <v>18</v>
      </c>
      <c r="N217">
        <v>2</v>
      </c>
      <c r="O217">
        <v>7</v>
      </c>
      <c r="P217">
        <v>8</v>
      </c>
      <c r="Q217">
        <v>0</v>
      </c>
    </row>
    <row r="218" spans="1:17" x14ac:dyDescent="0.3">
      <c r="A218">
        <v>15</v>
      </c>
      <c r="B218" t="s">
        <v>13</v>
      </c>
      <c r="C218" t="str">
        <f>IF(Table1[[#This Row],[age]]&gt;18,"Adult","Teenage")</f>
        <v>Teenage</v>
      </c>
      <c r="D218">
        <v>7.5</v>
      </c>
      <c r="E218" t="s">
        <v>14</v>
      </c>
      <c r="F218">
        <v>8.1</v>
      </c>
      <c r="G218">
        <f>Table1[[#This Row],[sleep_hours]]-Table1[[#This Row],[daily_social_media_hours]]</f>
        <v>0.59999999999999964</v>
      </c>
      <c r="H218">
        <v>2.5</v>
      </c>
      <c r="I218">
        <v>3.56</v>
      </c>
      <c r="J218" t="str" cm="1">
        <f t="array" ref="J218">_xlfn.IFS(Table1[[#This Row],[academic_performance]]&gt;1,"Need Improvement",Table1[[#This Row],[academic_performance]]&gt;2,"Good",Table1[[#This Row],[academic_performance]]&gt;3,"Very good",Table1[[#This Row],[academic_performance]]&gt;4,"Excellent")</f>
        <v>Need Improvement</v>
      </c>
      <c r="K218">
        <v>1.2</v>
      </c>
      <c r="L218" t="str">
        <f>IF(Table1[[#This Row],[physical_activity]]&gt;1.9,"better overall ","lower rate of depression")</f>
        <v>lower rate of depression</v>
      </c>
      <c r="M218" t="s">
        <v>19</v>
      </c>
      <c r="N218">
        <v>6</v>
      </c>
      <c r="O218">
        <v>8</v>
      </c>
      <c r="P218">
        <v>10</v>
      </c>
      <c r="Q218">
        <v>0</v>
      </c>
    </row>
    <row r="219" spans="1:17" x14ac:dyDescent="0.3">
      <c r="A219">
        <v>19</v>
      </c>
      <c r="B219" t="s">
        <v>13</v>
      </c>
      <c r="C219" t="str">
        <f>IF(Table1[[#This Row],[age]]&gt;18,"Adult","Teenage")</f>
        <v>Adult</v>
      </c>
      <c r="D219">
        <v>4.9000000000000004</v>
      </c>
      <c r="E219" t="s">
        <v>17</v>
      </c>
      <c r="F219">
        <v>4.5</v>
      </c>
      <c r="G219">
        <f>Table1[[#This Row],[sleep_hours]]-Table1[[#This Row],[daily_social_media_hours]]</f>
        <v>-0.40000000000000036</v>
      </c>
      <c r="H219">
        <v>2.9</v>
      </c>
      <c r="I219">
        <v>3.88</v>
      </c>
      <c r="J219" t="str" cm="1">
        <f t="array" ref="J219">_xlfn.IFS(Table1[[#This Row],[academic_performance]]&gt;1,"Need Improvement",Table1[[#This Row],[academic_performance]]&gt;2,"Good",Table1[[#This Row],[academic_performance]]&gt;3,"Very good",Table1[[#This Row],[academic_performance]]&gt;4,"Excellent")</f>
        <v>Need Improvement</v>
      </c>
      <c r="K219">
        <v>0.8</v>
      </c>
      <c r="L219" t="str">
        <f>IF(Table1[[#This Row],[physical_activity]]&gt;1.9,"better overall ","lower rate of depression")</f>
        <v>lower rate of depression</v>
      </c>
      <c r="M219" t="s">
        <v>15</v>
      </c>
      <c r="N219">
        <v>5</v>
      </c>
      <c r="O219">
        <v>5</v>
      </c>
      <c r="P219">
        <v>6</v>
      </c>
      <c r="Q219">
        <v>0</v>
      </c>
    </row>
    <row r="220" spans="1:17" x14ac:dyDescent="0.3">
      <c r="A220">
        <v>13</v>
      </c>
      <c r="B220" t="s">
        <v>13</v>
      </c>
      <c r="C220" t="str">
        <f>IF(Table1[[#This Row],[age]]&gt;18,"Adult","Teenage")</f>
        <v>Teenage</v>
      </c>
      <c r="D220">
        <v>2.2000000000000002</v>
      </c>
      <c r="E220" t="s">
        <v>17</v>
      </c>
      <c r="F220">
        <v>5.3</v>
      </c>
      <c r="G220">
        <f>Table1[[#This Row],[sleep_hours]]-Table1[[#This Row],[daily_social_media_hours]]</f>
        <v>3.0999999999999996</v>
      </c>
      <c r="H220">
        <v>1.4</v>
      </c>
      <c r="I220">
        <v>3.97</v>
      </c>
      <c r="J220" t="str" cm="1">
        <f t="array" ref="J220">_xlfn.IFS(Table1[[#This Row],[academic_performance]]&gt;1,"Need Improvement",Table1[[#This Row],[academic_performance]]&gt;2,"Good",Table1[[#This Row],[academic_performance]]&gt;3,"Very good",Table1[[#This Row],[academic_performance]]&gt;4,"Excellent")</f>
        <v>Need Improvement</v>
      </c>
      <c r="K220">
        <v>0</v>
      </c>
      <c r="L220" t="str">
        <f>IF(Table1[[#This Row],[physical_activity]]&gt;1.9,"better overall ","lower rate of depression")</f>
        <v>lower rate of depression</v>
      </c>
      <c r="M220" t="s">
        <v>15</v>
      </c>
      <c r="N220">
        <v>1</v>
      </c>
      <c r="O220">
        <v>10</v>
      </c>
      <c r="P220">
        <v>7</v>
      </c>
      <c r="Q220">
        <v>0</v>
      </c>
    </row>
    <row r="221" spans="1:17" x14ac:dyDescent="0.3">
      <c r="A221">
        <v>14</v>
      </c>
      <c r="B221" t="s">
        <v>13</v>
      </c>
      <c r="C221" t="str">
        <f>IF(Table1[[#This Row],[age]]&gt;18,"Adult","Teenage")</f>
        <v>Teenage</v>
      </c>
      <c r="D221">
        <v>5.8</v>
      </c>
      <c r="E221" t="s">
        <v>20</v>
      </c>
      <c r="F221">
        <v>6.9</v>
      </c>
      <c r="G221">
        <f>Table1[[#This Row],[sleep_hours]]-Table1[[#This Row],[daily_social_media_hours]]</f>
        <v>1.1000000000000005</v>
      </c>
      <c r="H221">
        <v>0.7</v>
      </c>
      <c r="I221">
        <v>3.01</v>
      </c>
      <c r="J221" t="str" cm="1">
        <f t="array" ref="J221">_xlfn.IFS(Table1[[#This Row],[academic_performance]]&gt;1,"Need Improvement",Table1[[#This Row],[academic_performance]]&gt;2,"Good",Table1[[#This Row],[academic_performance]]&gt;3,"Very good",Table1[[#This Row],[academic_performance]]&gt;4,"Excellent")</f>
        <v>Need Improvement</v>
      </c>
      <c r="K221">
        <v>1.9</v>
      </c>
      <c r="L221" t="str">
        <f>IF(Table1[[#This Row],[physical_activity]]&gt;1.9,"better overall ","lower rate of depression")</f>
        <v>lower rate of depression</v>
      </c>
      <c r="M221" t="s">
        <v>18</v>
      </c>
      <c r="N221">
        <v>9</v>
      </c>
      <c r="O221">
        <v>9</v>
      </c>
      <c r="P221">
        <v>4</v>
      </c>
      <c r="Q221">
        <v>0</v>
      </c>
    </row>
    <row r="222" spans="1:17" x14ac:dyDescent="0.3">
      <c r="A222">
        <v>14</v>
      </c>
      <c r="B222" t="s">
        <v>13</v>
      </c>
      <c r="C222" t="str">
        <f>IF(Table1[[#This Row],[age]]&gt;18,"Adult","Teenage")</f>
        <v>Teenage</v>
      </c>
      <c r="D222">
        <v>1.3</v>
      </c>
      <c r="E222" t="s">
        <v>14</v>
      </c>
      <c r="F222">
        <v>8.5</v>
      </c>
      <c r="G222">
        <f>Table1[[#This Row],[sleep_hours]]-Table1[[#This Row],[daily_social_media_hours]]</f>
        <v>7.2</v>
      </c>
      <c r="H222">
        <v>0.9</v>
      </c>
      <c r="I222">
        <v>3.71</v>
      </c>
      <c r="J222" t="str" cm="1">
        <f t="array" ref="J222">_xlfn.IFS(Table1[[#This Row],[academic_performance]]&gt;1,"Need Improvement",Table1[[#This Row],[academic_performance]]&gt;2,"Good",Table1[[#This Row],[academic_performance]]&gt;3,"Very good",Table1[[#This Row],[academic_performance]]&gt;4,"Excellent")</f>
        <v>Need Improvement</v>
      </c>
      <c r="K222">
        <v>0.7</v>
      </c>
      <c r="L222" t="str">
        <f>IF(Table1[[#This Row],[physical_activity]]&gt;1.9,"better overall ","lower rate of depression")</f>
        <v>lower rate of depression</v>
      </c>
      <c r="M222" t="s">
        <v>18</v>
      </c>
      <c r="N222">
        <v>3</v>
      </c>
      <c r="O222">
        <v>3</v>
      </c>
      <c r="P222">
        <v>6</v>
      </c>
      <c r="Q222">
        <v>0</v>
      </c>
    </row>
    <row r="223" spans="1:17" x14ac:dyDescent="0.3">
      <c r="A223">
        <v>19</v>
      </c>
      <c r="B223" t="s">
        <v>16</v>
      </c>
      <c r="C223" t="str">
        <f>IF(Table1[[#This Row],[age]]&gt;18,"Adult","Teenage")</f>
        <v>Adult</v>
      </c>
      <c r="D223">
        <v>2.8</v>
      </c>
      <c r="E223" t="s">
        <v>17</v>
      </c>
      <c r="F223">
        <v>4.8</v>
      </c>
      <c r="G223">
        <f>Table1[[#This Row],[sleep_hours]]-Table1[[#This Row],[daily_social_media_hours]]</f>
        <v>2</v>
      </c>
      <c r="H223">
        <v>1.7</v>
      </c>
      <c r="I223">
        <v>2.8</v>
      </c>
      <c r="J223" t="str" cm="1">
        <f t="array" ref="J223">_xlfn.IFS(Table1[[#This Row],[academic_performance]]&gt;1,"Need Improvement",Table1[[#This Row],[academic_performance]]&gt;2,"Good",Table1[[#This Row],[academic_performance]]&gt;3,"Very good",Table1[[#This Row],[academic_performance]]&gt;4,"Excellent")</f>
        <v>Need Improvement</v>
      </c>
      <c r="K223">
        <v>0.6</v>
      </c>
      <c r="L223" t="str">
        <f>IF(Table1[[#This Row],[physical_activity]]&gt;1.9,"better overall ","lower rate of depression")</f>
        <v>lower rate of depression</v>
      </c>
      <c r="M223" t="s">
        <v>15</v>
      </c>
      <c r="N223">
        <v>5</v>
      </c>
      <c r="O223">
        <v>7</v>
      </c>
      <c r="P223">
        <v>4</v>
      </c>
      <c r="Q223">
        <v>0</v>
      </c>
    </row>
    <row r="224" spans="1:17" x14ac:dyDescent="0.3">
      <c r="A224">
        <v>19</v>
      </c>
      <c r="B224" t="s">
        <v>16</v>
      </c>
      <c r="C224" t="str">
        <f>IF(Table1[[#This Row],[age]]&gt;18,"Adult","Teenage")</f>
        <v>Adult</v>
      </c>
      <c r="D224">
        <v>4</v>
      </c>
      <c r="E224" t="s">
        <v>17</v>
      </c>
      <c r="F224">
        <v>6.5</v>
      </c>
      <c r="G224">
        <f>Table1[[#This Row],[sleep_hours]]-Table1[[#This Row],[daily_social_media_hours]]</f>
        <v>2.5</v>
      </c>
      <c r="H224">
        <v>2.4</v>
      </c>
      <c r="I224">
        <v>3.67</v>
      </c>
      <c r="J224" t="str" cm="1">
        <f t="array" ref="J224">_xlfn.IFS(Table1[[#This Row],[academic_performance]]&gt;1,"Need Improvement",Table1[[#This Row],[academic_performance]]&gt;2,"Good",Table1[[#This Row],[academic_performance]]&gt;3,"Very good",Table1[[#This Row],[academic_performance]]&gt;4,"Excellent")</f>
        <v>Need Improvement</v>
      </c>
      <c r="K224">
        <v>0.6</v>
      </c>
      <c r="L224" t="str">
        <f>IF(Table1[[#This Row],[physical_activity]]&gt;1.9,"better overall ","lower rate of depression")</f>
        <v>lower rate of depression</v>
      </c>
      <c r="M224" t="s">
        <v>15</v>
      </c>
      <c r="N224">
        <v>4</v>
      </c>
      <c r="O224">
        <v>6</v>
      </c>
      <c r="P224">
        <v>4</v>
      </c>
      <c r="Q224">
        <v>0</v>
      </c>
    </row>
    <row r="225" spans="1:17" x14ac:dyDescent="0.3">
      <c r="A225">
        <v>14</v>
      </c>
      <c r="B225" t="s">
        <v>16</v>
      </c>
      <c r="C225" t="str">
        <f>IF(Table1[[#This Row],[age]]&gt;18,"Adult","Teenage")</f>
        <v>Teenage</v>
      </c>
      <c r="D225">
        <v>1.7</v>
      </c>
      <c r="E225" t="s">
        <v>17</v>
      </c>
      <c r="F225">
        <v>4.9000000000000004</v>
      </c>
      <c r="G225">
        <f>Table1[[#This Row],[sleep_hours]]-Table1[[#This Row],[daily_social_media_hours]]</f>
        <v>3.2</v>
      </c>
      <c r="H225">
        <v>1.6</v>
      </c>
      <c r="I225">
        <v>2.36</v>
      </c>
      <c r="J225" t="str" cm="1">
        <f t="array" ref="J225">_xlfn.IFS(Table1[[#This Row],[academic_performance]]&gt;1,"Need Improvement",Table1[[#This Row],[academic_performance]]&gt;2,"Good",Table1[[#This Row],[academic_performance]]&gt;3,"Very good",Table1[[#This Row],[academic_performance]]&gt;4,"Excellent")</f>
        <v>Need Improvement</v>
      </c>
      <c r="K225">
        <v>1.7</v>
      </c>
      <c r="L225" t="str">
        <f>IF(Table1[[#This Row],[physical_activity]]&gt;1.9,"better overall ","lower rate of depression")</f>
        <v>lower rate of depression</v>
      </c>
      <c r="M225" t="s">
        <v>18</v>
      </c>
      <c r="N225">
        <v>3</v>
      </c>
      <c r="O225">
        <v>1</v>
      </c>
      <c r="P225">
        <v>6</v>
      </c>
      <c r="Q225">
        <v>0</v>
      </c>
    </row>
    <row r="226" spans="1:17" x14ac:dyDescent="0.3">
      <c r="A226">
        <v>18</v>
      </c>
      <c r="B226" t="s">
        <v>16</v>
      </c>
      <c r="C226" t="str">
        <f>IF(Table1[[#This Row],[age]]&gt;18,"Adult","Teenage")</f>
        <v>Teenage</v>
      </c>
      <c r="D226">
        <v>1.4</v>
      </c>
      <c r="E226" t="s">
        <v>17</v>
      </c>
      <c r="F226">
        <v>6.1</v>
      </c>
      <c r="G226">
        <f>Table1[[#This Row],[sleep_hours]]-Table1[[#This Row],[daily_social_media_hours]]</f>
        <v>4.6999999999999993</v>
      </c>
      <c r="H226">
        <v>1.6</v>
      </c>
      <c r="I226">
        <v>2.56</v>
      </c>
      <c r="J226" t="str" cm="1">
        <f t="array" ref="J226">_xlfn.IFS(Table1[[#This Row],[academic_performance]]&gt;1,"Need Improvement",Table1[[#This Row],[academic_performance]]&gt;2,"Good",Table1[[#This Row],[academic_performance]]&gt;3,"Very good",Table1[[#This Row],[academic_performance]]&gt;4,"Excellent")</f>
        <v>Need Improvement</v>
      </c>
      <c r="K226">
        <v>1.2</v>
      </c>
      <c r="L226" t="str">
        <f>IF(Table1[[#This Row],[physical_activity]]&gt;1.9,"better overall ","lower rate of depression")</f>
        <v>lower rate of depression</v>
      </c>
      <c r="M226" t="s">
        <v>18</v>
      </c>
      <c r="N226">
        <v>2</v>
      </c>
      <c r="O226">
        <v>7</v>
      </c>
      <c r="P226">
        <v>8</v>
      </c>
      <c r="Q226">
        <v>0</v>
      </c>
    </row>
    <row r="227" spans="1:17" x14ac:dyDescent="0.3">
      <c r="A227">
        <v>19</v>
      </c>
      <c r="B227" t="s">
        <v>13</v>
      </c>
      <c r="C227" t="str">
        <f>IF(Table1[[#This Row],[age]]&gt;18,"Adult","Teenage")</f>
        <v>Adult</v>
      </c>
      <c r="D227">
        <v>2.2999999999999998</v>
      </c>
      <c r="E227" t="s">
        <v>17</v>
      </c>
      <c r="F227">
        <v>6.5</v>
      </c>
      <c r="G227">
        <f>Table1[[#This Row],[sleep_hours]]-Table1[[#This Row],[daily_social_media_hours]]</f>
        <v>4.2</v>
      </c>
      <c r="H227">
        <v>3</v>
      </c>
      <c r="I227">
        <v>3.5</v>
      </c>
      <c r="J227" t="str" cm="1">
        <f t="array" ref="J227">_xlfn.IFS(Table1[[#This Row],[academic_performance]]&gt;1,"Need Improvement",Table1[[#This Row],[academic_performance]]&gt;2,"Good",Table1[[#This Row],[academic_performance]]&gt;3,"Very good",Table1[[#This Row],[academic_performance]]&gt;4,"Excellent")</f>
        <v>Need Improvement</v>
      </c>
      <c r="K227">
        <v>0.1</v>
      </c>
      <c r="L227" t="str">
        <f>IF(Table1[[#This Row],[physical_activity]]&gt;1.9,"better overall ","lower rate of depression")</f>
        <v>lower rate of depression</v>
      </c>
      <c r="M227" t="s">
        <v>18</v>
      </c>
      <c r="N227">
        <v>9</v>
      </c>
      <c r="O227">
        <v>10</v>
      </c>
      <c r="P227">
        <v>8</v>
      </c>
      <c r="Q227">
        <v>0</v>
      </c>
    </row>
    <row r="228" spans="1:17" x14ac:dyDescent="0.3">
      <c r="A228">
        <v>14</v>
      </c>
      <c r="B228" t="s">
        <v>13</v>
      </c>
      <c r="C228" t="str">
        <f>IF(Table1[[#This Row],[age]]&gt;18,"Adult","Teenage")</f>
        <v>Teenage</v>
      </c>
      <c r="D228">
        <v>3.8</v>
      </c>
      <c r="E228" t="s">
        <v>14</v>
      </c>
      <c r="F228">
        <v>5.3</v>
      </c>
      <c r="G228">
        <f>Table1[[#This Row],[sleep_hours]]-Table1[[#This Row],[daily_social_media_hours]]</f>
        <v>1.5</v>
      </c>
      <c r="H228">
        <v>1</v>
      </c>
      <c r="I228">
        <v>2.2799999999999998</v>
      </c>
      <c r="J228" t="str" cm="1">
        <f t="array" ref="J228">_xlfn.IFS(Table1[[#This Row],[academic_performance]]&gt;1,"Need Improvement",Table1[[#This Row],[academic_performance]]&gt;2,"Good",Table1[[#This Row],[academic_performance]]&gt;3,"Very good",Table1[[#This Row],[academic_performance]]&gt;4,"Excellent")</f>
        <v>Need Improvement</v>
      </c>
      <c r="K228">
        <v>1.2</v>
      </c>
      <c r="L228" t="str">
        <f>IF(Table1[[#This Row],[physical_activity]]&gt;1.9,"better overall ","lower rate of depression")</f>
        <v>lower rate of depression</v>
      </c>
      <c r="M228" t="s">
        <v>15</v>
      </c>
      <c r="N228">
        <v>9</v>
      </c>
      <c r="O228">
        <v>3</v>
      </c>
      <c r="P228">
        <v>1</v>
      </c>
      <c r="Q228">
        <v>0</v>
      </c>
    </row>
    <row r="229" spans="1:17" x14ac:dyDescent="0.3">
      <c r="A229">
        <v>13</v>
      </c>
      <c r="B229" t="s">
        <v>13</v>
      </c>
      <c r="C229" t="str">
        <f>IF(Table1[[#This Row],[age]]&gt;18,"Adult","Teenage")</f>
        <v>Teenage</v>
      </c>
      <c r="D229">
        <v>6.4</v>
      </c>
      <c r="E229" t="s">
        <v>17</v>
      </c>
      <c r="F229">
        <v>5.0999999999999996</v>
      </c>
      <c r="G229">
        <f>Table1[[#This Row],[sleep_hours]]-Table1[[#This Row],[daily_social_media_hours]]</f>
        <v>-1.3000000000000007</v>
      </c>
      <c r="H229">
        <v>2.5</v>
      </c>
      <c r="I229">
        <v>2.62</v>
      </c>
      <c r="J229" t="str" cm="1">
        <f t="array" ref="J229">_xlfn.IFS(Table1[[#This Row],[academic_performance]]&gt;1,"Need Improvement",Table1[[#This Row],[academic_performance]]&gt;2,"Good",Table1[[#This Row],[academic_performance]]&gt;3,"Very good",Table1[[#This Row],[academic_performance]]&gt;4,"Excellent")</f>
        <v>Need Improvement</v>
      </c>
      <c r="K229">
        <v>1.3</v>
      </c>
      <c r="L229" t="str">
        <f>IF(Table1[[#This Row],[physical_activity]]&gt;1.9,"better overall ","lower rate of depression")</f>
        <v>lower rate of depression</v>
      </c>
      <c r="M229" t="s">
        <v>15</v>
      </c>
      <c r="N229">
        <v>5</v>
      </c>
      <c r="O229">
        <v>4</v>
      </c>
      <c r="P229">
        <v>7</v>
      </c>
      <c r="Q229">
        <v>0</v>
      </c>
    </row>
    <row r="230" spans="1:17" x14ac:dyDescent="0.3">
      <c r="A230">
        <v>19</v>
      </c>
      <c r="B230" t="s">
        <v>13</v>
      </c>
      <c r="C230" t="str">
        <f>IF(Table1[[#This Row],[age]]&gt;18,"Adult","Teenage")</f>
        <v>Adult</v>
      </c>
      <c r="D230">
        <v>6</v>
      </c>
      <c r="E230" t="s">
        <v>20</v>
      </c>
      <c r="F230">
        <v>7.1</v>
      </c>
      <c r="G230">
        <f>Table1[[#This Row],[sleep_hours]]-Table1[[#This Row],[daily_social_media_hours]]</f>
        <v>1.0999999999999996</v>
      </c>
      <c r="H230">
        <v>0.9</v>
      </c>
      <c r="I230">
        <v>2.98</v>
      </c>
      <c r="J230" t="str" cm="1">
        <f t="array" ref="J230">_xlfn.IFS(Table1[[#This Row],[academic_performance]]&gt;1,"Need Improvement",Table1[[#This Row],[academic_performance]]&gt;2,"Good",Table1[[#This Row],[academic_performance]]&gt;3,"Very good",Table1[[#This Row],[academic_performance]]&gt;4,"Excellent")</f>
        <v>Need Improvement</v>
      </c>
      <c r="K230">
        <v>0.1</v>
      </c>
      <c r="L230" t="str">
        <f>IF(Table1[[#This Row],[physical_activity]]&gt;1.9,"better overall ","lower rate of depression")</f>
        <v>lower rate of depression</v>
      </c>
      <c r="M230" t="s">
        <v>15</v>
      </c>
      <c r="N230">
        <v>1</v>
      </c>
      <c r="O230">
        <v>6</v>
      </c>
      <c r="P230">
        <v>5</v>
      </c>
      <c r="Q230">
        <v>0</v>
      </c>
    </row>
    <row r="231" spans="1:17" x14ac:dyDescent="0.3">
      <c r="A231">
        <v>16</v>
      </c>
      <c r="B231" t="s">
        <v>13</v>
      </c>
      <c r="C231" t="str">
        <f>IF(Table1[[#This Row],[age]]&gt;18,"Adult","Teenage")</f>
        <v>Teenage</v>
      </c>
      <c r="D231">
        <v>1.9</v>
      </c>
      <c r="E231" t="s">
        <v>14</v>
      </c>
      <c r="F231">
        <v>7.8</v>
      </c>
      <c r="G231">
        <f>Table1[[#This Row],[sleep_hours]]-Table1[[#This Row],[daily_social_media_hours]]</f>
        <v>5.9</v>
      </c>
      <c r="H231">
        <v>2.1</v>
      </c>
      <c r="I231">
        <v>2.2599999999999998</v>
      </c>
      <c r="J231" t="str" cm="1">
        <f t="array" ref="J231">_xlfn.IFS(Table1[[#This Row],[academic_performance]]&gt;1,"Need Improvement",Table1[[#This Row],[academic_performance]]&gt;2,"Good",Table1[[#This Row],[academic_performance]]&gt;3,"Very good",Table1[[#This Row],[academic_performance]]&gt;4,"Excellent")</f>
        <v>Need Improvement</v>
      </c>
      <c r="K231">
        <v>0.3</v>
      </c>
      <c r="L231" t="str">
        <f>IF(Table1[[#This Row],[physical_activity]]&gt;1.9,"better overall ","lower rate of depression")</f>
        <v>lower rate of depression</v>
      </c>
      <c r="M231" t="s">
        <v>18</v>
      </c>
      <c r="N231">
        <v>7</v>
      </c>
      <c r="O231">
        <v>7</v>
      </c>
      <c r="P231">
        <v>5</v>
      </c>
      <c r="Q231">
        <v>0</v>
      </c>
    </row>
    <row r="232" spans="1:17" x14ac:dyDescent="0.3">
      <c r="A232">
        <v>17</v>
      </c>
      <c r="B232" t="s">
        <v>13</v>
      </c>
      <c r="C232" t="str">
        <f>IF(Table1[[#This Row],[age]]&gt;18,"Adult","Teenage")</f>
        <v>Teenage</v>
      </c>
      <c r="D232">
        <v>2.4</v>
      </c>
      <c r="E232" t="s">
        <v>17</v>
      </c>
      <c r="F232">
        <v>8.5</v>
      </c>
      <c r="G232">
        <f>Table1[[#This Row],[sleep_hours]]-Table1[[#This Row],[daily_social_media_hours]]</f>
        <v>6.1</v>
      </c>
      <c r="H232">
        <v>2.4</v>
      </c>
      <c r="I232">
        <v>2.79</v>
      </c>
      <c r="J232" t="str" cm="1">
        <f t="array" ref="J232">_xlfn.IFS(Table1[[#This Row],[academic_performance]]&gt;1,"Need Improvement",Table1[[#This Row],[academic_performance]]&gt;2,"Good",Table1[[#This Row],[academic_performance]]&gt;3,"Very good",Table1[[#This Row],[academic_performance]]&gt;4,"Excellent")</f>
        <v>Need Improvement</v>
      </c>
      <c r="K232">
        <v>1.1000000000000001</v>
      </c>
      <c r="L232" t="str">
        <f>IF(Table1[[#This Row],[physical_activity]]&gt;1.9,"better overall ","lower rate of depression")</f>
        <v>lower rate of depression</v>
      </c>
      <c r="M232" t="s">
        <v>15</v>
      </c>
      <c r="N232">
        <v>1</v>
      </c>
      <c r="O232">
        <v>6</v>
      </c>
      <c r="P232">
        <v>7</v>
      </c>
      <c r="Q232">
        <v>0</v>
      </c>
    </row>
    <row r="233" spans="1:17" x14ac:dyDescent="0.3">
      <c r="A233">
        <v>14</v>
      </c>
      <c r="B233" t="s">
        <v>16</v>
      </c>
      <c r="C233" t="str">
        <f>IF(Table1[[#This Row],[age]]&gt;18,"Adult","Teenage")</f>
        <v>Teenage</v>
      </c>
      <c r="D233">
        <v>2.7</v>
      </c>
      <c r="E233" t="s">
        <v>14</v>
      </c>
      <c r="F233">
        <v>5.0999999999999996</v>
      </c>
      <c r="G233">
        <f>Table1[[#This Row],[sleep_hours]]-Table1[[#This Row],[daily_social_media_hours]]</f>
        <v>2.3999999999999995</v>
      </c>
      <c r="H233">
        <v>2.4</v>
      </c>
      <c r="I233">
        <v>2.17</v>
      </c>
      <c r="J233" t="str" cm="1">
        <f t="array" ref="J233">_xlfn.IFS(Table1[[#This Row],[academic_performance]]&gt;1,"Need Improvement",Table1[[#This Row],[academic_performance]]&gt;2,"Good",Table1[[#This Row],[academic_performance]]&gt;3,"Very good",Table1[[#This Row],[academic_performance]]&gt;4,"Excellent")</f>
        <v>Need Improvement</v>
      </c>
      <c r="K233">
        <v>1.8</v>
      </c>
      <c r="L233" t="str">
        <f>IF(Table1[[#This Row],[physical_activity]]&gt;1.9,"better overall ","lower rate of depression")</f>
        <v>lower rate of depression</v>
      </c>
      <c r="M233" t="s">
        <v>18</v>
      </c>
      <c r="N233">
        <v>3</v>
      </c>
      <c r="O233">
        <v>10</v>
      </c>
      <c r="P233">
        <v>8</v>
      </c>
      <c r="Q233">
        <v>0</v>
      </c>
    </row>
    <row r="234" spans="1:17" x14ac:dyDescent="0.3">
      <c r="A234">
        <v>14</v>
      </c>
      <c r="B234" t="s">
        <v>13</v>
      </c>
      <c r="C234" t="str">
        <f>IF(Table1[[#This Row],[age]]&gt;18,"Adult","Teenage")</f>
        <v>Teenage</v>
      </c>
      <c r="D234">
        <v>1.5</v>
      </c>
      <c r="E234" t="s">
        <v>20</v>
      </c>
      <c r="F234">
        <v>7.2</v>
      </c>
      <c r="G234">
        <f>Table1[[#This Row],[sleep_hours]]-Table1[[#This Row],[daily_social_media_hours]]</f>
        <v>5.7</v>
      </c>
      <c r="H234">
        <v>1.7</v>
      </c>
      <c r="I234">
        <v>2.76</v>
      </c>
      <c r="J234" t="str" cm="1">
        <f t="array" ref="J234">_xlfn.IFS(Table1[[#This Row],[academic_performance]]&gt;1,"Need Improvement",Table1[[#This Row],[academic_performance]]&gt;2,"Good",Table1[[#This Row],[academic_performance]]&gt;3,"Very good",Table1[[#This Row],[academic_performance]]&gt;4,"Excellent")</f>
        <v>Need Improvement</v>
      </c>
      <c r="K234">
        <v>0</v>
      </c>
      <c r="L234" t="str">
        <f>IF(Table1[[#This Row],[physical_activity]]&gt;1.9,"better overall ","lower rate of depression")</f>
        <v>lower rate of depression</v>
      </c>
      <c r="M234" t="s">
        <v>15</v>
      </c>
      <c r="N234">
        <v>10</v>
      </c>
      <c r="O234">
        <v>7</v>
      </c>
      <c r="P234">
        <v>10</v>
      </c>
      <c r="Q234">
        <v>0</v>
      </c>
    </row>
    <row r="235" spans="1:17" x14ac:dyDescent="0.3">
      <c r="A235">
        <v>18</v>
      </c>
      <c r="B235" t="s">
        <v>13</v>
      </c>
      <c r="C235" t="str">
        <f>IF(Table1[[#This Row],[age]]&gt;18,"Adult","Teenage")</f>
        <v>Teenage</v>
      </c>
      <c r="D235">
        <v>7.7</v>
      </c>
      <c r="E235" t="s">
        <v>14</v>
      </c>
      <c r="F235">
        <v>7.3</v>
      </c>
      <c r="G235">
        <f>Table1[[#This Row],[sleep_hours]]-Table1[[#This Row],[daily_social_media_hours]]</f>
        <v>-0.40000000000000036</v>
      </c>
      <c r="H235">
        <v>1.8</v>
      </c>
      <c r="I235">
        <v>3.13</v>
      </c>
      <c r="J235" t="str" cm="1">
        <f t="array" ref="J235">_xlfn.IFS(Table1[[#This Row],[academic_performance]]&gt;1,"Need Improvement",Table1[[#This Row],[academic_performance]]&gt;2,"Good",Table1[[#This Row],[academic_performance]]&gt;3,"Very good",Table1[[#This Row],[academic_performance]]&gt;4,"Excellent")</f>
        <v>Need Improvement</v>
      </c>
      <c r="K235">
        <v>2</v>
      </c>
      <c r="L235" t="str">
        <f>IF(Table1[[#This Row],[physical_activity]]&gt;1.9,"better overall ","lower rate of depression")</f>
        <v xml:space="preserve">better overall </v>
      </c>
      <c r="M235" t="s">
        <v>19</v>
      </c>
      <c r="N235">
        <v>7</v>
      </c>
      <c r="O235">
        <v>9</v>
      </c>
      <c r="P235">
        <v>7</v>
      </c>
      <c r="Q235">
        <v>0</v>
      </c>
    </row>
    <row r="236" spans="1:17" x14ac:dyDescent="0.3">
      <c r="A236">
        <v>13</v>
      </c>
      <c r="B236" t="s">
        <v>13</v>
      </c>
      <c r="C236" t="str">
        <f>IF(Table1[[#This Row],[age]]&gt;18,"Adult","Teenage")</f>
        <v>Teenage</v>
      </c>
      <c r="D236">
        <v>2.9</v>
      </c>
      <c r="E236" t="s">
        <v>17</v>
      </c>
      <c r="F236">
        <v>5.0999999999999996</v>
      </c>
      <c r="G236">
        <f>Table1[[#This Row],[sleep_hours]]-Table1[[#This Row],[daily_social_media_hours]]</f>
        <v>2.1999999999999997</v>
      </c>
      <c r="H236">
        <v>2.2000000000000002</v>
      </c>
      <c r="I236">
        <v>3.81</v>
      </c>
      <c r="J236" t="str" cm="1">
        <f t="array" ref="J236">_xlfn.IFS(Table1[[#This Row],[academic_performance]]&gt;1,"Need Improvement",Table1[[#This Row],[academic_performance]]&gt;2,"Good",Table1[[#This Row],[academic_performance]]&gt;3,"Very good",Table1[[#This Row],[academic_performance]]&gt;4,"Excellent")</f>
        <v>Need Improvement</v>
      </c>
      <c r="K236">
        <v>0.7</v>
      </c>
      <c r="L236" t="str">
        <f>IF(Table1[[#This Row],[physical_activity]]&gt;1.9,"better overall ","lower rate of depression")</f>
        <v>lower rate of depression</v>
      </c>
      <c r="M236" t="s">
        <v>15</v>
      </c>
      <c r="N236">
        <v>6</v>
      </c>
      <c r="O236">
        <v>6</v>
      </c>
      <c r="P236">
        <v>10</v>
      </c>
      <c r="Q236">
        <v>0</v>
      </c>
    </row>
    <row r="237" spans="1:17" x14ac:dyDescent="0.3">
      <c r="A237">
        <v>16</v>
      </c>
      <c r="B237" t="s">
        <v>13</v>
      </c>
      <c r="C237" t="str">
        <f>IF(Table1[[#This Row],[age]]&gt;18,"Adult","Teenage")</f>
        <v>Teenage</v>
      </c>
      <c r="D237">
        <v>7.6</v>
      </c>
      <c r="E237" t="s">
        <v>17</v>
      </c>
      <c r="F237">
        <v>4.3</v>
      </c>
      <c r="G237">
        <f>Table1[[#This Row],[sleep_hours]]-Table1[[#This Row],[daily_social_media_hours]]</f>
        <v>-3.3</v>
      </c>
      <c r="H237">
        <v>2.7</v>
      </c>
      <c r="I237">
        <v>2.5099999999999998</v>
      </c>
      <c r="J237" t="str" cm="1">
        <f t="array" ref="J237">_xlfn.IFS(Table1[[#This Row],[academic_performance]]&gt;1,"Need Improvement",Table1[[#This Row],[academic_performance]]&gt;2,"Good",Table1[[#This Row],[academic_performance]]&gt;3,"Very good",Table1[[#This Row],[academic_performance]]&gt;4,"Excellent")</f>
        <v>Need Improvement</v>
      </c>
      <c r="K237">
        <v>0.3</v>
      </c>
      <c r="L237" t="str">
        <f>IF(Table1[[#This Row],[physical_activity]]&gt;1.9,"better overall ","lower rate of depression")</f>
        <v>lower rate of depression</v>
      </c>
      <c r="M237" t="s">
        <v>19</v>
      </c>
      <c r="N237">
        <v>3</v>
      </c>
      <c r="O237">
        <v>9</v>
      </c>
      <c r="P237">
        <v>10</v>
      </c>
      <c r="Q237">
        <v>0</v>
      </c>
    </row>
    <row r="238" spans="1:17" x14ac:dyDescent="0.3">
      <c r="A238">
        <v>18</v>
      </c>
      <c r="B238" t="s">
        <v>13</v>
      </c>
      <c r="C238" t="str">
        <f>IF(Table1[[#This Row],[age]]&gt;18,"Adult","Teenage")</f>
        <v>Teenage</v>
      </c>
      <c r="D238">
        <v>5.7</v>
      </c>
      <c r="E238" t="s">
        <v>20</v>
      </c>
      <c r="F238">
        <v>8.4</v>
      </c>
      <c r="G238">
        <f>Table1[[#This Row],[sleep_hours]]-Table1[[#This Row],[daily_social_media_hours]]</f>
        <v>2.7</v>
      </c>
      <c r="H238">
        <v>2.4</v>
      </c>
      <c r="I238">
        <v>2.84</v>
      </c>
      <c r="J238" t="str" cm="1">
        <f t="array" ref="J238">_xlfn.IFS(Table1[[#This Row],[academic_performance]]&gt;1,"Need Improvement",Table1[[#This Row],[academic_performance]]&gt;2,"Good",Table1[[#This Row],[academic_performance]]&gt;3,"Very good",Table1[[#This Row],[academic_performance]]&gt;4,"Excellent")</f>
        <v>Need Improvement</v>
      </c>
      <c r="K238">
        <v>0.7</v>
      </c>
      <c r="L238" t="str">
        <f>IF(Table1[[#This Row],[physical_activity]]&gt;1.9,"better overall ","lower rate of depression")</f>
        <v>lower rate of depression</v>
      </c>
      <c r="M238" t="s">
        <v>15</v>
      </c>
      <c r="N238">
        <v>5</v>
      </c>
      <c r="O238">
        <v>4</v>
      </c>
      <c r="P238">
        <v>9</v>
      </c>
      <c r="Q238">
        <v>0</v>
      </c>
    </row>
    <row r="239" spans="1:17" x14ac:dyDescent="0.3">
      <c r="A239">
        <v>19</v>
      </c>
      <c r="B239" t="s">
        <v>13</v>
      </c>
      <c r="C239" t="str">
        <f>IF(Table1[[#This Row],[age]]&gt;18,"Adult","Teenage")</f>
        <v>Adult</v>
      </c>
      <c r="D239">
        <v>1.2</v>
      </c>
      <c r="E239" t="s">
        <v>17</v>
      </c>
      <c r="F239">
        <v>5</v>
      </c>
      <c r="G239">
        <f>Table1[[#This Row],[sleep_hours]]-Table1[[#This Row],[daily_social_media_hours]]</f>
        <v>3.8</v>
      </c>
      <c r="H239">
        <v>1.5</v>
      </c>
      <c r="I239">
        <v>2.09</v>
      </c>
      <c r="J239" t="str" cm="1">
        <f t="array" ref="J239">_xlfn.IFS(Table1[[#This Row],[academic_performance]]&gt;1,"Need Improvement",Table1[[#This Row],[academic_performance]]&gt;2,"Good",Table1[[#This Row],[academic_performance]]&gt;3,"Very good",Table1[[#This Row],[academic_performance]]&gt;4,"Excellent")</f>
        <v>Need Improvement</v>
      </c>
      <c r="K239">
        <v>0.6</v>
      </c>
      <c r="L239" t="str">
        <f>IF(Table1[[#This Row],[physical_activity]]&gt;1.9,"better overall ","lower rate of depression")</f>
        <v>lower rate of depression</v>
      </c>
      <c r="M239" t="s">
        <v>19</v>
      </c>
      <c r="N239">
        <v>5</v>
      </c>
      <c r="O239">
        <v>2</v>
      </c>
      <c r="P239">
        <v>1</v>
      </c>
      <c r="Q239">
        <v>0</v>
      </c>
    </row>
    <row r="240" spans="1:17" x14ac:dyDescent="0.3">
      <c r="A240">
        <v>16</v>
      </c>
      <c r="B240" t="s">
        <v>16</v>
      </c>
      <c r="C240" t="str">
        <f>IF(Table1[[#This Row],[age]]&gt;18,"Adult","Teenage")</f>
        <v>Teenage</v>
      </c>
      <c r="D240">
        <v>2.4</v>
      </c>
      <c r="E240" t="s">
        <v>20</v>
      </c>
      <c r="F240">
        <v>6.2</v>
      </c>
      <c r="G240">
        <f>Table1[[#This Row],[sleep_hours]]-Table1[[#This Row],[daily_social_media_hours]]</f>
        <v>3.8000000000000003</v>
      </c>
      <c r="H240">
        <v>1.6</v>
      </c>
      <c r="I240">
        <v>2.38</v>
      </c>
      <c r="J240" t="str" cm="1">
        <f t="array" ref="J240">_xlfn.IFS(Table1[[#This Row],[academic_performance]]&gt;1,"Need Improvement",Table1[[#This Row],[academic_performance]]&gt;2,"Good",Table1[[#This Row],[academic_performance]]&gt;3,"Very good",Table1[[#This Row],[academic_performance]]&gt;4,"Excellent")</f>
        <v>Need Improvement</v>
      </c>
      <c r="K240">
        <v>0</v>
      </c>
      <c r="L240" t="str">
        <f>IF(Table1[[#This Row],[physical_activity]]&gt;1.9,"better overall ","lower rate of depression")</f>
        <v>lower rate of depression</v>
      </c>
      <c r="M240" t="s">
        <v>19</v>
      </c>
      <c r="N240">
        <v>8</v>
      </c>
      <c r="O240">
        <v>4</v>
      </c>
      <c r="P240">
        <v>10</v>
      </c>
      <c r="Q240">
        <v>0</v>
      </c>
    </row>
    <row r="241" spans="1:17" x14ac:dyDescent="0.3">
      <c r="A241">
        <v>17</v>
      </c>
      <c r="B241" t="s">
        <v>16</v>
      </c>
      <c r="C241" t="str">
        <f>IF(Table1[[#This Row],[age]]&gt;18,"Adult","Teenage")</f>
        <v>Teenage</v>
      </c>
      <c r="D241">
        <v>6.2</v>
      </c>
      <c r="E241" t="s">
        <v>20</v>
      </c>
      <c r="F241">
        <v>5.0999999999999996</v>
      </c>
      <c r="G241">
        <f>Table1[[#This Row],[sleep_hours]]-Table1[[#This Row],[daily_social_media_hours]]</f>
        <v>-1.1000000000000005</v>
      </c>
      <c r="H241">
        <v>2</v>
      </c>
      <c r="I241">
        <v>3.82</v>
      </c>
      <c r="J241" t="str" cm="1">
        <f t="array" ref="J241">_xlfn.IFS(Table1[[#This Row],[academic_performance]]&gt;1,"Need Improvement",Table1[[#This Row],[academic_performance]]&gt;2,"Good",Table1[[#This Row],[academic_performance]]&gt;3,"Very good",Table1[[#This Row],[academic_performance]]&gt;4,"Excellent")</f>
        <v>Need Improvement</v>
      </c>
      <c r="K241">
        <v>1.7</v>
      </c>
      <c r="L241" t="str">
        <f>IF(Table1[[#This Row],[physical_activity]]&gt;1.9,"better overall ","lower rate of depression")</f>
        <v>lower rate of depression</v>
      </c>
      <c r="M241" t="s">
        <v>19</v>
      </c>
      <c r="N241">
        <v>7</v>
      </c>
      <c r="O241">
        <v>3</v>
      </c>
      <c r="P241">
        <v>5</v>
      </c>
      <c r="Q241">
        <v>0</v>
      </c>
    </row>
    <row r="242" spans="1:17" x14ac:dyDescent="0.3">
      <c r="A242">
        <v>14</v>
      </c>
      <c r="B242" t="s">
        <v>16</v>
      </c>
      <c r="C242" t="str">
        <f>IF(Table1[[#This Row],[age]]&gt;18,"Adult","Teenage")</f>
        <v>Teenage</v>
      </c>
      <c r="D242">
        <v>4.7</v>
      </c>
      <c r="E242" t="s">
        <v>14</v>
      </c>
      <c r="F242">
        <v>5.0999999999999996</v>
      </c>
      <c r="G242">
        <f>Table1[[#This Row],[sleep_hours]]-Table1[[#This Row],[daily_social_media_hours]]</f>
        <v>0.39999999999999947</v>
      </c>
      <c r="H242">
        <v>2.2000000000000002</v>
      </c>
      <c r="I242">
        <v>2.0299999999999998</v>
      </c>
      <c r="J242" t="str" cm="1">
        <f t="array" ref="J242">_xlfn.IFS(Table1[[#This Row],[academic_performance]]&gt;1,"Need Improvement",Table1[[#This Row],[academic_performance]]&gt;2,"Good",Table1[[#This Row],[academic_performance]]&gt;3,"Very good",Table1[[#This Row],[academic_performance]]&gt;4,"Excellent")</f>
        <v>Need Improvement</v>
      </c>
      <c r="K242">
        <v>1.1000000000000001</v>
      </c>
      <c r="L242" t="str">
        <f>IF(Table1[[#This Row],[physical_activity]]&gt;1.9,"better overall ","lower rate of depression")</f>
        <v>lower rate of depression</v>
      </c>
      <c r="M242" t="s">
        <v>19</v>
      </c>
      <c r="N242">
        <v>2</v>
      </c>
      <c r="O242">
        <v>10</v>
      </c>
      <c r="P242">
        <v>7</v>
      </c>
      <c r="Q242">
        <v>0</v>
      </c>
    </row>
    <row r="243" spans="1:17" x14ac:dyDescent="0.3">
      <c r="A243">
        <v>19</v>
      </c>
      <c r="B243" t="s">
        <v>13</v>
      </c>
      <c r="C243" t="str">
        <f>IF(Table1[[#This Row],[age]]&gt;18,"Adult","Teenage")</f>
        <v>Adult</v>
      </c>
      <c r="D243">
        <v>5.3</v>
      </c>
      <c r="E243" t="s">
        <v>14</v>
      </c>
      <c r="F243">
        <v>6.7</v>
      </c>
      <c r="G243">
        <f>Table1[[#This Row],[sleep_hours]]-Table1[[#This Row],[daily_social_media_hours]]</f>
        <v>1.4000000000000004</v>
      </c>
      <c r="H243">
        <v>0.7</v>
      </c>
      <c r="I243">
        <v>3.59</v>
      </c>
      <c r="J243" t="str" cm="1">
        <f t="array" ref="J243">_xlfn.IFS(Table1[[#This Row],[academic_performance]]&gt;1,"Need Improvement",Table1[[#This Row],[academic_performance]]&gt;2,"Good",Table1[[#This Row],[academic_performance]]&gt;3,"Very good",Table1[[#This Row],[academic_performance]]&gt;4,"Excellent")</f>
        <v>Need Improvement</v>
      </c>
      <c r="K243">
        <v>1.8</v>
      </c>
      <c r="L243" t="str">
        <f>IF(Table1[[#This Row],[physical_activity]]&gt;1.9,"better overall ","lower rate of depression")</f>
        <v>lower rate of depression</v>
      </c>
      <c r="M243" t="s">
        <v>18</v>
      </c>
      <c r="N243">
        <v>4</v>
      </c>
      <c r="O243">
        <v>8</v>
      </c>
      <c r="P243">
        <v>8</v>
      </c>
      <c r="Q243">
        <v>0</v>
      </c>
    </row>
    <row r="244" spans="1:17" x14ac:dyDescent="0.3">
      <c r="A244">
        <v>19</v>
      </c>
      <c r="B244" t="s">
        <v>16</v>
      </c>
      <c r="C244" t="str">
        <f>IF(Table1[[#This Row],[age]]&gt;18,"Adult","Teenage")</f>
        <v>Adult</v>
      </c>
      <c r="D244">
        <v>6</v>
      </c>
      <c r="E244" t="s">
        <v>17</v>
      </c>
      <c r="F244">
        <v>6</v>
      </c>
      <c r="G244">
        <f>Table1[[#This Row],[sleep_hours]]-Table1[[#This Row],[daily_social_media_hours]]</f>
        <v>0</v>
      </c>
      <c r="H244">
        <v>0.7</v>
      </c>
      <c r="I244">
        <v>3.29</v>
      </c>
      <c r="J244" t="str" cm="1">
        <f t="array" ref="J244">_xlfn.IFS(Table1[[#This Row],[academic_performance]]&gt;1,"Need Improvement",Table1[[#This Row],[academic_performance]]&gt;2,"Good",Table1[[#This Row],[academic_performance]]&gt;3,"Very good",Table1[[#This Row],[academic_performance]]&gt;4,"Excellent")</f>
        <v>Need Improvement</v>
      </c>
      <c r="K244">
        <v>1.4</v>
      </c>
      <c r="L244" t="str">
        <f>IF(Table1[[#This Row],[physical_activity]]&gt;1.9,"better overall ","lower rate of depression")</f>
        <v>lower rate of depression</v>
      </c>
      <c r="M244" t="s">
        <v>15</v>
      </c>
      <c r="N244">
        <v>4</v>
      </c>
      <c r="O244">
        <v>5</v>
      </c>
      <c r="P244">
        <v>1</v>
      </c>
      <c r="Q244">
        <v>0</v>
      </c>
    </row>
    <row r="245" spans="1:17" x14ac:dyDescent="0.3">
      <c r="A245">
        <v>16</v>
      </c>
      <c r="B245" t="s">
        <v>16</v>
      </c>
      <c r="C245" t="str">
        <f>IF(Table1[[#This Row],[age]]&gt;18,"Adult","Teenage")</f>
        <v>Teenage</v>
      </c>
      <c r="D245">
        <v>7.8</v>
      </c>
      <c r="E245" t="s">
        <v>17</v>
      </c>
      <c r="F245">
        <v>4.7</v>
      </c>
      <c r="G245">
        <f>Table1[[#This Row],[sleep_hours]]-Table1[[#This Row],[daily_social_media_hours]]</f>
        <v>-3.0999999999999996</v>
      </c>
      <c r="H245">
        <v>2.1</v>
      </c>
      <c r="I245">
        <v>2.48</v>
      </c>
      <c r="J245" t="str" cm="1">
        <f t="array" ref="J245">_xlfn.IFS(Table1[[#This Row],[academic_performance]]&gt;1,"Need Improvement",Table1[[#This Row],[academic_performance]]&gt;2,"Good",Table1[[#This Row],[academic_performance]]&gt;3,"Very good",Table1[[#This Row],[academic_performance]]&gt;4,"Excellent")</f>
        <v>Need Improvement</v>
      </c>
      <c r="K245">
        <v>2</v>
      </c>
      <c r="L245" t="str">
        <f>IF(Table1[[#This Row],[physical_activity]]&gt;1.9,"better overall ","lower rate of depression")</f>
        <v xml:space="preserve">better overall </v>
      </c>
      <c r="M245" t="s">
        <v>15</v>
      </c>
      <c r="N245">
        <v>8</v>
      </c>
      <c r="O245">
        <v>3</v>
      </c>
      <c r="P245">
        <v>1</v>
      </c>
      <c r="Q245">
        <v>0</v>
      </c>
    </row>
    <row r="246" spans="1:17" x14ac:dyDescent="0.3">
      <c r="A246">
        <v>14</v>
      </c>
      <c r="B246" t="s">
        <v>16</v>
      </c>
      <c r="C246" t="str">
        <f>IF(Table1[[#This Row],[age]]&gt;18,"Adult","Teenage")</f>
        <v>Teenage</v>
      </c>
      <c r="D246">
        <v>4.4000000000000004</v>
      </c>
      <c r="E246" t="s">
        <v>20</v>
      </c>
      <c r="F246">
        <v>4.2</v>
      </c>
      <c r="G246">
        <f>Table1[[#This Row],[sleep_hours]]-Table1[[#This Row],[daily_social_media_hours]]</f>
        <v>-0.20000000000000018</v>
      </c>
      <c r="H246">
        <v>2.6</v>
      </c>
      <c r="I246">
        <v>2.2799999999999998</v>
      </c>
      <c r="J246" t="str" cm="1">
        <f t="array" ref="J246">_xlfn.IFS(Table1[[#This Row],[academic_performance]]&gt;1,"Need Improvement",Table1[[#This Row],[academic_performance]]&gt;2,"Good",Table1[[#This Row],[academic_performance]]&gt;3,"Very good",Table1[[#This Row],[academic_performance]]&gt;4,"Excellent")</f>
        <v>Need Improvement</v>
      </c>
      <c r="K246">
        <v>1.3</v>
      </c>
      <c r="L246" t="str">
        <f>IF(Table1[[#This Row],[physical_activity]]&gt;1.9,"better overall ","lower rate of depression")</f>
        <v>lower rate of depression</v>
      </c>
      <c r="M246" t="s">
        <v>19</v>
      </c>
      <c r="N246">
        <v>8</v>
      </c>
      <c r="O246">
        <v>10</v>
      </c>
      <c r="P246">
        <v>4</v>
      </c>
      <c r="Q246">
        <v>0</v>
      </c>
    </row>
    <row r="247" spans="1:17" x14ac:dyDescent="0.3">
      <c r="A247">
        <v>17</v>
      </c>
      <c r="B247" t="s">
        <v>13</v>
      </c>
      <c r="C247" t="str">
        <f>IF(Table1[[#This Row],[age]]&gt;18,"Adult","Teenage")</f>
        <v>Teenage</v>
      </c>
      <c r="D247">
        <v>6.7</v>
      </c>
      <c r="E247" t="s">
        <v>14</v>
      </c>
      <c r="F247">
        <v>7.6</v>
      </c>
      <c r="G247">
        <f>Table1[[#This Row],[sleep_hours]]-Table1[[#This Row],[daily_social_media_hours]]</f>
        <v>0.89999999999999947</v>
      </c>
      <c r="H247">
        <v>2.4</v>
      </c>
      <c r="I247">
        <v>3.59</v>
      </c>
      <c r="J247" t="str" cm="1">
        <f t="array" ref="J247">_xlfn.IFS(Table1[[#This Row],[academic_performance]]&gt;1,"Need Improvement",Table1[[#This Row],[academic_performance]]&gt;2,"Good",Table1[[#This Row],[academic_performance]]&gt;3,"Very good",Table1[[#This Row],[academic_performance]]&gt;4,"Excellent")</f>
        <v>Need Improvement</v>
      </c>
      <c r="K247">
        <v>0.4</v>
      </c>
      <c r="L247" t="str">
        <f>IF(Table1[[#This Row],[physical_activity]]&gt;1.9,"better overall ","lower rate of depression")</f>
        <v>lower rate of depression</v>
      </c>
      <c r="M247" t="s">
        <v>19</v>
      </c>
      <c r="N247">
        <v>9</v>
      </c>
      <c r="O247">
        <v>5</v>
      </c>
      <c r="P247">
        <v>5</v>
      </c>
      <c r="Q247">
        <v>0</v>
      </c>
    </row>
    <row r="248" spans="1:17" x14ac:dyDescent="0.3">
      <c r="A248">
        <v>13</v>
      </c>
      <c r="B248" t="s">
        <v>16</v>
      </c>
      <c r="C248" t="str">
        <f>IF(Table1[[#This Row],[age]]&gt;18,"Adult","Teenage")</f>
        <v>Teenage</v>
      </c>
      <c r="D248">
        <v>7.2</v>
      </c>
      <c r="E248" t="s">
        <v>17</v>
      </c>
      <c r="F248">
        <v>7.4</v>
      </c>
      <c r="G248">
        <f>Table1[[#This Row],[sleep_hours]]-Table1[[#This Row],[daily_social_media_hours]]</f>
        <v>0.20000000000000018</v>
      </c>
      <c r="H248">
        <v>2.2000000000000002</v>
      </c>
      <c r="I248">
        <v>3.42</v>
      </c>
      <c r="J248" t="str" cm="1">
        <f t="array" ref="J248">_xlfn.IFS(Table1[[#This Row],[academic_performance]]&gt;1,"Need Improvement",Table1[[#This Row],[academic_performance]]&gt;2,"Good",Table1[[#This Row],[academic_performance]]&gt;3,"Very good",Table1[[#This Row],[academic_performance]]&gt;4,"Excellent")</f>
        <v>Need Improvement</v>
      </c>
      <c r="K248">
        <v>0.1</v>
      </c>
      <c r="L248" t="str">
        <f>IF(Table1[[#This Row],[physical_activity]]&gt;1.9,"better overall ","lower rate of depression")</f>
        <v>lower rate of depression</v>
      </c>
      <c r="M248" t="s">
        <v>15</v>
      </c>
      <c r="N248">
        <v>8</v>
      </c>
      <c r="O248">
        <v>9</v>
      </c>
      <c r="P248">
        <v>6</v>
      </c>
      <c r="Q248">
        <v>0</v>
      </c>
    </row>
    <row r="249" spans="1:17" x14ac:dyDescent="0.3">
      <c r="A249">
        <v>18</v>
      </c>
      <c r="B249" t="s">
        <v>13</v>
      </c>
      <c r="C249" t="str">
        <f>IF(Table1[[#This Row],[age]]&gt;18,"Adult","Teenage")</f>
        <v>Teenage</v>
      </c>
      <c r="D249">
        <v>6.1</v>
      </c>
      <c r="E249" t="s">
        <v>20</v>
      </c>
      <c r="F249">
        <v>4.4000000000000004</v>
      </c>
      <c r="G249">
        <f>Table1[[#This Row],[sleep_hours]]-Table1[[#This Row],[daily_social_media_hours]]</f>
        <v>-1.6999999999999993</v>
      </c>
      <c r="H249">
        <v>2.1</v>
      </c>
      <c r="I249">
        <v>2.23</v>
      </c>
      <c r="J249" t="str" cm="1">
        <f t="array" ref="J249">_xlfn.IFS(Table1[[#This Row],[academic_performance]]&gt;1,"Need Improvement",Table1[[#This Row],[academic_performance]]&gt;2,"Good",Table1[[#This Row],[academic_performance]]&gt;3,"Very good",Table1[[#This Row],[academic_performance]]&gt;4,"Excellent")</f>
        <v>Need Improvement</v>
      </c>
      <c r="K249">
        <v>1</v>
      </c>
      <c r="L249" t="str">
        <f>IF(Table1[[#This Row],[physical_activity]]&gt;1.9,"better overall ","lower rate of depression")</f>
        <v>lower rate of depression</v>
      </c>
      <c r="M249" t="s">
        <v>15</v>
      </c>
      <c r="N249">
        <v>8</v>
      </c>
      <c r="O249">
        <v>2</v>
      </c>
      <c r="P249">
        <v>5</v>
      </c>
      <c r="Q249">
        <v>0</v>
      </c>
    </row>
    <row r="250" spans="1:17" x14ac:dyDescent="0.3">
      <c r="A250">
        <v>16</v>
      </c>
      <c r="B250" t="s">
        <v>13</v>
      </c>
      <c r="C250" t="str">
        <f>IF(Table1[[#This Row],[age]]&gt;18,"Adult","Teenage")</f>
        <v>Teenage</v>
      </c>
      <c r="D250">
        <v>5.4</v>
      </c>
      <c r="E250" t="s">
        <v>17</v>
      </c>
      <c r="F250">
        <v>8.6999999999999993</v>
      </c>
      <c r="G250">
        <f>Table1[[#This Row],[sleep_hours]]-Table1[[#This Row],[daily_social_media_hours]]</f>
        <v>3.2999999999999989</v>
      </c>
      <c r="H250">
        <v>1.9</v>
      </c>
      <c r="I250">
        <v>2.67</v>
      </c>
      <c r="J250" t="str" cm="1">
        <f t="array" ref="J250">_xlfn.IFS(Table1[[#This Row],[academic_performance]]&gt;1,"Need Improvement",Table1[[#This Row],[academic_performance]]&gt;2,"Good",Table1[[#This Row],[academic_performance]]&gt;3,"Very good",Table1[[#This Row],[academic_performance]]&gt;4,"Excellent")</f>
        <v>Need Improvement</v>
      </c>
      <c r="K250">
        <v>1.3</v>
      </c>
      <c r="L250" t="str">
        <f>IF(Table1[[#This Row],[physical_activity]]&gt;1.9,"better overall ","lower rate of depression")</f>
        <v>lower rate of depression</v>
      </c>
      <c r="M250" t="s">
        <v>15</v>
      </c>
      <c r="N250">
        <v>1</v>
      </c>
      <c r="O250">
        <v>5</v>
      </c>
      <c r="P250">
        <v>7</v>
      </c>
      <c r="Q250">
        <v>0</v>
      </c>
    </row>
    <row r="251" spans="1:17" x14ac:dyDescent="0.3">
      <c r="A251">
        <v>19</v>
      </c>
      <c r="B251" t="s">
        <v>13</v>
      </c>
      <c r="C251" t="str">
        <f>IF(Table1[[#This Row],[age]]&gt;18,"Adult","Teenage")</f>
        <v>Adult</v>
      </c>
      <c r="D251">
        <v>2.7</v>
      </c>
      <c r="E251" t="s">
        <v>20</v>
      </c>
      <c r="F251">
        <v>7.7</v>
      </c>
      <c r="G251">
        <f>Table1[[#This Row],[sleep_hours]]-Table1[[#This Row],[daily_social_media_hours]]</f>
        <v>5</v>
      </c>
      <c r="H251">
        <v>0.7</v>
      </c>
      <c r="I251">
        <v>2.2200000000000002</v>
      </c>
      <c r="J251" t="str" cm="1">
        <f t="array" ref="J251">_xlfn.IFS(Table1[[#This Row],[academic_performance]]&gt;1,"Need Improvement",Table1[[#This Row],[academic_performance]]&gt;2,"Good",Table1[[#This Row],[academic_performance]]&gt;3,"Very good",Table1[[#This Row],[academic_performance]]&gt;4,"Excellent")</f>
        <v>Need Improvement</v>
      </c>
      <c r="K251">
        <v>0.4</v>
      </c>
      <c r="L251" t="str">
        <f>IF(Table1[[#This Row],[physical_activity]]&gt;1.9,"better overall ","lower rate of depression")</f>
        <v>lower rate of depression</v>
      </c>
      <c r="M251" t="s">
        <v>19</v>
      </c>
      <c r="N251">
        <v>10</v>
      </c>
      <c r="O251">
        <v>8</v>
      </c>
      <c r="P251">
        <v>7</v>
      </c>
      <c r="Q251">
        <v>0</v>
      </c>
    </row>
    <row r="252" spans="1:17" x14ac:dyDescent="0.3">
      <c r="A252">
        <v>13</v>
      </c>
      <c r="B252" t="s">
        <v>16</v>
      </c>
      <c r="C252" t="str">
        <f>IF(Table1[[#This Row],[age]]&gt;18,"Adult","Teenage")</f>
        <v>Teenage</v>
      </c>
      <c r="D252">
        <v>7.9</v>
      </c>
      <c r="E252" t="s">
        <v>14</v>
      </c>
      <c r="F252">
        <v>7.2</v>
      </c>
      <c r="G252">
        <f>Table1[[#This Row],[sleep_hours]]-Table1[[#This Row],[daily_social_media_hours]]</f>
        <v>-0.70000000000000018</v>
      </c>
      <c r="H252">
        <v>1.5</v>
      </c>
      <c r="I252">
        <v>2.36</v>
      </c>
      <c r="J252" t="str" cm="1">
        <f t="array" ref="J252">_xlfn.IFS(Table1[[#This Row],[academic_performance]]&gt;1,"Need Improvement",Table1[[#This Row],[academic_performance]]&gt;2,"Good",Table1[[#This Row],[academic_performance]]&gt;3,"Very good",Table1[[#This Row],[academic_performance]]&gt;4,"Excellent")</f>
        <v>Need Improvement</v>
      </c>
      <c r="K252">
        <v>0.2</v>
      </c>
      <c r="L252" t="str">
        <f>IF(Table1[[#This Row],[physical_activity]]&gt;1.9,"better overall ","lower rate of depression")</f>
        <v>lower rate of depression</v>
      </c>
      <c r="M252" t="s">
        <v>19</v>
      </c>
      <c r="N252">
        <v>2</v>
      </c>
      <c r="O252">
        <v>6</v>
      </c>
      <c r="P252">
        <v>8</v>
      </c>
      <c r="Q252">
        <v>0</v>
      </c>
    </row>
    <row r="253" spans="1:17" x14ac:dyDescent="0.3">
      <c r="A253">
        <v>13</v>
      </c>
      <c r="B253" t="s">
        <v>13</v>
      </c>
      <c r="C253" t="str">
        <f>IF(Table1[[#This Row],[age]]&gt;18,"Adult","Teenage")</f>
        <v>Teenage</v>
      </c>
      <c r="D253">
        <v>4.5999999999999996</v>
      </c>
      <c r="E253" t="s">
        <v>17</v>
      </c>
      <c r="F253">
        <v>7.3</v>
      </c>
      <c r="G253">
        <f>Table1[[#This Row],[sleep_hours]]-Table1[[#This Row],[daily_social_media_hours]]</f>
        <v>2.7</v>
      </c>
      <c r="H253">
        <v>1.6</v>
      </c>
      <c r="I253">
        <v>2.91</v>
      </c>
      <c r="J253" t="str" cm="1">
        <f t="array" ref="J253">_xlfn.IFS(Table1[[#This Row],[academic_performance]]&gt;1,"Need Improvement",Table1[[#This Row],[academic_performance]]&gt;2,"Good",Table1[[#This Row],[academic_performance]]&gt;3,"Very good",Table1[[#This Row],[academic_performance]]&gt;4,"Excellent")</f>
        <v>Need Improvement</v>
      </c>
      <c r="K253">
        <v>0.4</v>
      </c>
      <c r="L253" t="str">
        <f>IF(Table1[[#This Row],[physical_activity]]&gt;1.9,"better overall ","lower rate of depression")</f>
        <v>lower rate of depression</v>
      </c>
      <c r="M253" t="s">
        <v>15</v>
      </c>
      <c r="N253">
        <v>10</v>
      </c>
      <c r="O253">
        <v>5</v>
      </c>
      <c r="P253">
        <v>7</v>
      </c>
      <c r="Q253">
        <v>0</v>
      </c>
    </row>
    <row r="254" spans="1:17" x14ac:dyDescent="0.3">
      <c r="A254">
        <v>13</v>
      </c>
      <c r="B254" t="s">
        <v>13</v>
      </c>
      <c r="C254" t="str">
        <f>IF(Table1[[#This Row],[age]]&gt;18,"Adult","Teenage")</f>
        <v>Teenage</v>
      </c>
      <c r="D254">
        <v>5.6</v>
      </c>
      <c r="E254" t="s">
        <v>14</v>
      </c>
      <c r="F254">
        <v>4.5999999999999996</v>
      </c>
      <c r="G254">
        <f>Table1[[#This Row],[sleep_hours]]-Table1[[#This Row],[daily_social_media_hours]]</f>
        <v>-1</v>
      </c>
      <c r="H254">
        <v>1.9</v>
      </c>
      <c r="I254">
        <v>2.54</v>
      </c>
      <c r="J254" t="str" cm="1">
        <f t="array" ref="J254">_xlfn.IFS(Table1[[#This Row],[academic_performance]]&gt;1,"Need Improvement",Table1[[#This Row],[academic_performance]]&gt;2,"Good",Table1[[#This Row],[academic_performance]]&gt;3,"Very good",Table1[[#This Row],[academic_performance]]&gt;4,"Excellent")</f>
        <v>Need Improvement</v>
      </c>
      <c r="K254">
        <v>0.1</v>
      </c>
      <c r="L254" t="str">
        <f>IF(Table1[[#This Row],[physical_activity]]&gt;1.9,"better overall ","lower rate of depression")</f>
        <v>lower rate of depression</v>
      </c>
      <c r="M254" t="s">
        <v>15</v>
      </c>
      <c r="N254">
        <v>5</v>
      </c>
      <c r="O254">
        <v>5</v>
      </c>
      <c r="P254">
        <v>6</v>
      </c>
      <c r="Q254">
        <v>0</v>
      </c>
    </row>
    <row r="255" spans="1:17" x14ac:dyDescent="0.3">
      <c r="A255">
        <v>17</v>
      </c>
      <c r="B255" t="s">
        <v>16</v>
      </c>
      <c r="C255" t="str">
        <f>IF(Table1[[#This Row],[age]]&gt;18,"Adult","Teenage")</f>
        <v>Teenage</v>
      </c>
      <c r="D255">
        <v>6.5</v>
      </c>
      <c r="E255" t="s">
        <v>17</v>
      </c>
      <c r="F255">
        <v>6.4</v>
      </c>
      <c r="G255">
        <f>Table1[[#This Row],[sleep_hours]]-Table1[[#This Row],[daily_social_media_hours]]</f>
        <v>-9.9999999999999645E-2</v>
      </c>
      <c r="H255">
        <v>0.7</v>
      </c>
      <c r="I255">
        <v>3.57</v>
      </c>
      <c r="J255" t="str" cm="1">
        <f t="array" ref="J255">_xlfn.IFS(Table1[[#This Row],[academic_performance]]&gt;1,"Need Improvement",Table1[[#This Row],[academic_performance]]&gt;2,"Good",Table1[[#This Row],[academic_performance]]&gt;3,"Very good",Table1[[#This Row],[academic_performance]]&gt;4,"Excellent")</f>
        <v>Need Improvement</v>
      </c>
      <c r="K255">
        <v>1.1000000000000001</v>
      </c>
      <c r="L255" t="str">
        <f>IF(Table1[[#This Row],[physical_activity]]&gt;1.9,"better overall ","lower rate of depression")</f>
        <v>lower rate of depression</v>
      </c>
      <c r="M255" t="s">
        <v>15</v>
      </c>
      <c r="N255">
        <v>2</v>
      </c>
      <c r="O255">
        <v>9</v>
      </c>
      <c r="P255">
        <v>6</v>
      </c>
      <c r="Q255">
        <v>0</v>
      </c>
    </row>
    <row r="256" spans="1:17" x14ac:dyDescent="0.3">
      <c r="A256">
        <v>19</v>
      </c>
      <c r="B256" t="s">
        <v>13</v>
      </c>
      <c r="C256" t="str">
        <f>IF(Table1[[#This Row],[age]]&gt;18,"Adult","Teenage")</f>
        <v>Adult</v>
      </c>
      <c r="D256">
        <v>5.9</v>
      </c>
      <c r="E256" t="s">
        <v>20</v>
      </c>
      <c r="F256">
        <v>7.2</v>
      </c>
      <c r="G256">
        <f>Table1[[#This Row],[sleep_hours]]-Table1[[#This Row],[daily_social_media_hours]]</f>
        <v>1.2999999999999998</v>
      </c>
      <c r="H256">
        <v>0.9</v>
      </c>
      <c r="I256">
        <v>3.99</v>
      </c>
      <c r="J256" t="str" cm="1">
        <f t="array" ref="J256">_xlfn.IFS(Table1[[#This Row],[academic_performance]]&gt;1,"Need Improvement",Table1[[#This Row],[academic_performance]]&gt;2,"Good",Table1[[#This Row],[academic_performance]]&gt;3,"Very good",Table1[[#This Row],[academic_performance]]&gt;4,"Excellent")</f>
        <v>Need Improvement</v>
      </c>
      <c r="K256">
        <v>1.7</v>
      </c>
      <c r="L256" t="str">
        <f>IF(Table1[[#This Row],[physical_activity]]&gt;1.9,"better overall ","lower rate of depression")</f>
        <v>lower rate of depression</v>
      </c>
      <c r="M256" t="s">
        <v>15</v>
      </c>
      <c r="N256">
        <v>7</v>
      </c>
      <c r="O256">
        <v>9</v>
      </c>
      <c r="P256">
        <v>3</v>
      </c>
      <c r="Q256">
        <v>0</v>
      </c>
    </row>
    <row r="257" spans="1:17" x14ac:dyDescent="0.3">
      <c r="A257">
        <v>19</v>
      </c>
      <c r="B257" t="s">
        <v>16</v>
      </c>
      <c r="C257" t="str">
        <f>IF(Table1[[#This Row],[age]]&gt;18,"Adult","Teenage")</f>
        <v>Adult</v>
      </c>
      <c r="D257">
        <v>1.1000000000000001</v>
      </c>
      <c r="E257" t="s">
        <v>17</v>
      </c>
      <c r="F257">
        <v>5.0999999999999996</v>
      </c>
      <c r="G257">
        <f>Table1[[#This Row],[sleep_hours]]-Table1[[#This Row],[daily_social_media_hours]]</f>
        <v>3.9999999999999996</v>
      </c>
      <c r="H257">
        <v>2.2000000000000002</v>
      </c>
      <c r="I257">
        <v>2.13</v>
      </c>
      <c r="J257" t="str" cm="1">
        <f t="array" ref="J257">_xlfn.IFS(Table1[[#This Row],[academic_performance]]&gt;1,"Need Improvement",Table1[[#This Row],[academic_performance]]&gt;2,"Good",Table1[[#This Row],[academic_performance]]&gt;3,"Very good",Table1[[#This Row],[academic_performance]]&gt;4,"Excellent")</f>
        <v>Need Improvement</v>
      </c>
      <c r="K257">
        <v>0.9</v>
      </c>
      <c r="L257" t="str">
        <f>IF(Table1[[#This Row],[physical_activity]]&gt;1.9,"better overall ","lower rate of depression")</f>
        <v>lower rate of depression</v>
      </c>
      <c r="M257" t="s">
        <v>15</v>
      </c>
      <c r="N257">
        <v>7</v>
      </c>
      <c r="O257">
        <v>7</v>
      </c>
      <c r="P257">
        <v>2</v>
      </c>
      <c r="Q257">
        <v>0</v>
      </c>
    </row>
    <row r="258" spans="1:17" x14ac:dyDescent="0.3">
      <c r="A258">
        <v>18</v>
      </c>
      <c r="B258" t="s">
        <v>13</v>
      </c>
      <c r="C258" t="str">
        <f>IF(Table1[[#This Row],[age]]&gt;18,"Adult","Teenage")</f>
        <v>Teenage</v>
      </c>
      <c r="D258">
        <v>3.2</v>
      </c>
      <c r="E258" t="s">
        <v>17</v>
      </c>
      <c r="F258">
        <v>5.0999999999999996</v>
      </c>
      <c r="G258">
        <f>Table1[[#This Row],[sleep_hours]]-Table1[[#This Row],[daily_social_media_hours]]</f>
        <v>1.8999999999999995</v>
      </c>
      <c r="H258">
        <v>1.2</v>
      </c>
      <c r="I258">
        <v>3.54</v>
      </c>
      <c r="J258" t="str" cm="1">
        <f t="array" ref="J258">_xlfn.IFS(Table1[[#This Row],[academic_performance]]&gt;1,"Need Improvement",Table1[[#This Row],[academic_performance]]&gt;2,"Good",Table1[[#This Row],[academic_performance]]&gt;3,"Very good",Table1[[#This Row],[academic_performance]]&gt;4,"Excellent")</f>
        <v>Need Improvement</v>
      </c>
      <c r="K258">
        <v>1.3</v>
      </c>
      <c r="L258" t="str">
        <f>IF(Table1[[#This Row],[physical_activity]]&gt;1.9,"better overall ","lower rate of depression")</f>
        <v>lower rate of depression</v>
      </c>
      <c r="M258" t="s">
        <v>15</v>
      </c>
      <c r="N258">
        <v>6</v>
      </c>
      <c r="O258">
        <v>2</v>
      </c>
      <c r="P258">
        <v>8</v>
      </c>
      <c r="Q258">
        <v>0</v>
      </c>
    </row>
    <row r="259" spans="1:17" x14ac:dyDescent="0.3">
      <c r="A259">
        <v>14</v>
      </c>
      <c r="B259" t="s">
        <v>13</v>
      </c>
      <c r="C259" t="str">
        <f>IF(Table1[[#This Row],[age]]&gt;18,"Adult","Teenage")</f>
        <v>Teenage</v>
      </c>
      <c r="D259">
        <v>6.5</v>
      </c>
      <c r="E259" t="s">
        <v>14</v>
      </c>
      <c r="F259">
        <v>5.3</v>
      </c>
      <c r="G259">
        <f>Table1[[#This Row],[sleep_hours]]-Table1[[#This Row],[daily_social_media_hours]]</f>
        <v>-1.2000000000000002</v>
      </c>
      <c r="H259">
        <v>2.7</v>
      </c>
      <c r="I259">
        <v>3.79</v>
      </c>
      <c r="J259" t="str" cm="1">
        <f t="array" ref="J259">_xlfn.IFS(Table1[[#This Row],[academic_performance]]&gt;1,"Need Improvement",Table1[[#This Row],[academic_performance]]&gt;2,"Good",Table1[[#This Row],[academic_performance]]&gt;3,"Very good",Table1[[#This Row],[academic_performance]]&gt;4,"Excellent")</f>
        <v>Need Improvement</v>
      </c>
      <c r="K259">
        <v>0.8</v>
      </c>
      <c r="L259" t="str">
        <f>IF(Table1[[#This Row],[physical_activity]]&gt;1.9,"better overall ","lower rate of depression")</f>
        <v>lower rate of depression</v>
      </c>
      <c r="M259" t="s">
        <v>15</v>
      </c>
      <c r="N259">
        <v>8</v>
      </c>
      <c r="O259">
        <v>6</v>
      </c>
      <c r="P259">
        <v>4</v>
      </c>
      <c r="Q259">
        <v>0</v>
      </c>
    </row>
    <row r="260" spans="1:17" x14ac:dyDescent="0.3">
      <c r="A260">
        <v>17</v>
      </c>
      <c r="B260" t="s">
        <v>16</v>
      </c>
      <c r="C260" t="str">
        <f>IF(Table1[[#This Row],[age]]&gt;18,"Adult","Teenage")</f>
        <v>Teenage</v>
      </c>
      <c r="D260">
        <v>7.3</v>
      </c>
      <c r="E260" t="s">
        <v>14</v>
      </c>
      <c r="F260">
        <v>6.2</v>
      </c>
      <c r="G260">
        <f>Table1[[#This Row],[sleep_hours]]-Table1[[#This Row],[daily_social_media_hours]]</f>
        <v>-1.0999999999999996</v>
      </c>
      <c r="H260">
        <v>1</v>
      </c>
      <c r="I260">
        <v>2.02</v>
      </c>
      <c r="J260" t="str" cm="1">
        <f t="array" ref="J260">_xlfn.IFS(Table1[[#This Row],[academic_performance]]&gt;1,"Need Improvement",Table1[[#This Row],[academic_performance]]&gt;2,"Good",Table1[[#This Row],[academic_performance]]&gt;3,"Very good",Table1[[#This Row],[academic_performance]]&gt;4,"Excellent")</f>
        <v>Need Improvement</v>
      </c>
      <c r="K260">
        <v>0.2</v>
      </c>
      <c r="L260" t="str">
        <f>IF(Table1[[#This Row],[physical_activity]]&gt;1.9,"better overall ","lower rate of depression")</f>
        <v>lower rate of depression</v>
      </c>
      <c r="M260" t="s">
        <v>15</v>
      </c>
      <c r="N260">
        <v>1</v>
      </c>
      <c r="O260">
        <v>6</v>
      </c>
      <c r="P260">
        <v>3</v>
      </c>
      <c r="Q260">
        <v>0</v>
      </c>
    </row>
    <row r="261" spans="1:17" x14ac:dyDescent="0.3">
      <c r="A261">
        <v>17</v>
      </c>
      <c r="B261" t="s">
        <v>13</v>
      </c>
      <c r="C261" t="str">
        <f>IF(Table1[[#This Row],[age]]&gt;18,"Adult","Teenage")</f>
        <v>Teenage</v>
      </c>
      <c r="D261">
        <v>1.5</v>
      </c>
      <c r="E261" t="s">
        <v>17</v>
      </c>
      <c r="F261">
        <v>5.5</v>
      </c>
      <c r="G261">
        <f>Table1[[#This Row],[sleep_hours]]-Table1[[#This Row],[daily_social_media_hours]]</f>
        <v>4</v>
      </c>
      <c r="H261">
        <v>1.7</v>
      </c>
      <c r="I261">
        <v>2.93</v>
      </c>
      <c r="J261" t="str" cm="1">
        <f t="array" ref="J261">_xlfn.IFS(Table1[[#This Row],[academic_performance]]&gt;1,"Need Improvement",Table1[[#This Row],[academic_performance]]&gt;2,"Good",Table1[[#This Row],[academic_performance]]&gt;3,"Very good",Table1[[#This Row],[academic_performance]]&gt;4,"Excellent")</f>
        <v>Need Improvement</v>
      </c>
      <c r="K261">
        <v>0.7</v>
      </c>
      <c r="L261" t="str">
        <f>IF(Table1[[#This Row],[physical_activity]]&gt;1.9,"better overall ","lower rate of depression")</f>
        <v>lower rate of depression</v>
      </c>
      <c r="M261" t="s">
        <v>15</v>
      </c>
      <c r="N261">
        <v>4</v>
      </c>
      <c r="O261">
        <v>9</v>
      </c>
      <c r="P261">
        <v>9</v>
      </c>
      <c r="Q261">
        <v>0</v>
      </c>
    </row>
    <row r="262" spans="1:17" x14ac:dyDescent="0.3">
      <c r="A262">
        <v>16</v>
      </c>
      <c r="B262" t="s">
        <v>13</v>
      </c>
      <c r="C262" t="str">
        <f>IF(Table1[[#This Row],[age]]&gt;18,"Adult","Teenage")</f>
        <v>Teenage</v>
      </c>
      <c r="D262">
        <v>3.8</v>
      </c>
      <c r="E262" t="s">
        <v>14</v>
      </c>
      <c r="F262">
        <v>6.8</v>
      </c>
      <c r="G262">
        <f>Table1[[#This Row],[sleep_hours]]-Table1[[#This Row],[daily_social_media_hours]]</f>
        <v>3</v>
      </c>
      <c r="H262">
        <v>2.4</v>
      </c>
      <c r="I262">
        <v>3.1</v>
      </c>
      <c r="J262" t="str" cm="1">
        <f t="array" ref="J262">_xlfn.IFS(Table1[[#This Row],[academic_performance]]&gt;1,"Need Improvement",Table1[[#This Row],[academic_performance]]&gt;2,"Good",Table1[[#This Row],[academic_performance]]&gt;3,"Very good",Table1[[#This Row],[academic_performance]]&gt;4,"Excellent")</f>
        <v>Need Improvement</v>
      </c>
      <c r="K262">
        <v>1.6</v>
      </c>
      <c r="L262" t="str">
        <f>IF(Table1[[#This Row],[physical_activity]]&gt;1.9,"better overall ","lower rate of depression")</f>
        <v>lower rate of depression</v>
      </c>
      <c r="M262" t="s">
        <v>15</v>
      </c>
      <c r="N262">
        <v>6</v>
      </c>
      <c r="O262">
        <v>10</v>
      </c>
      <c r="P262">
        <v>4</v>
      </c>
      <c r="Q262">
        <v>0</v>
      </c>
    </row>
    <row r="263" spans="1:17" x14ac:dyDescent="0.3">
      <c r="A263">
        <v>13</v>
      </c>
      <c r="B263" t="s">
        <v>16</v>
      </c>
      <c r="C263" t="str">
        <f>IF(Table1[[#This Row],[age]]&gt;18,"Adult","Teenage")</f>
        <v>Teenage</v>
      </c>
      <c r="D263">
        <v>3.6</v>
      </c>
      <c r="E263" t="s">
        <v>17</v>
      </c>
      <c r="F263">
        <v>8.6</v>
      </c>
      <c r="G263">
        <f>Table1[[#This Row],[sleep_hours]]-Table1[[#This Row],[daily_social_media_hours]]</f>
        <v>5</v>
      </c>
      <c r="H263">
        <v>2.8</v>
      </c>
      <c r="I263">
        <v>3.28</v>
      </c>
      <c r="J263" t="str" cm="1">
        <f t="array" ref="J263">_xlfn.IFS(Table1[[#This Row],[academic_performance]]&gt;1,"Need Improvement",Table1[[#This Row],[academic_performance]]&gt;2,"Good",Table1[[#This Row],[academic_performance]]&gt;3,"Very good",Table1[[#This Row],[academic_performance]]&gt;4,"Excellent")</f>
        <v>Need Improvement</v>
      </c>
      <c r="K263">
        <v>0.7</v>
      </c>
      <c r="L263" t="str">
        <f>IF(Table1[[#This Row],[physical_activity]]&gt;1.9,"better overall ","lower rate of depression")</f>
        <v>lower rate of depression</v>
      </c>
      <c r="M263" t="s">
        <v>18</v>
      </c>
      <c r="N263">
        <v>10</v>
      </c>
      <c r="O263">
        <v>3</v>
      </c>
      <c r="P263">
        <v>5</v>
      </c>
      <c r="Q263">
        <v>0</v>
      </c>
    </row>
    <row r="264" spans="1:17" x14ac:dyDescent="0.3">
      <c r="A264">
        <v>15</v>
      </c>
      <c r="B264" t="s">
        <v>13</v>
      </c>
      <c r="C264" t="str">
        <f>IF(Table1[[#This Row],[age]]&gt;18,"Adult","Teenage")</f>
        <v>Teenage</v>
      </c>
      <c r="D264">
        <v>3.6</v>
      </c>
      <c r="E264" t="s">
        <v>17</v>
      </c>
      <c r="F264">
        <v>4.3</v>
      </c>
      <c r="G264">
        <f>Table1[[#This Row],[sleep_hours]]-Table1[[#This Row],[daily_social_media_hours]]</f>
        <v>0.69999999999999973</v>
      </c>
      <c r="H264">
        <v>2.9</v>
      </c>
      <c r="I264">
        <v>2.2000000000000002</v>
      </c>
      <c r="J264" t="str" cm="1">
        <f t="array" ref="J264">_xlfn.IFS(Table1[[#This Row],[academic_performance]]&gt;1,"Need Improvement",Table1[[#This Row],[academic_performance]]&gt;2,"Good",Table1[[#This Row],[academic_performance]]&gt;3,"Very good",Table1[[#This Row],[academic_performance]]&gt;4,"Excellent")</f>
        <v>Need Improvement</v>
      </c>
      <c r="K264">
        <v>1</v>
      </c>
      <c r="L264" t="str">
        <f>IF(Table1[[#This Row],[physical_activity]]&gt;1.9,"better overall ","lower rate of depression")</f>
        <v>lower rate of depression</v>
      </c>
      <c r="M264" t="s">
        <v>18</v>
      </c>
      <c r="N264">
        <v>10</v>
      </c>
      <c r="O264">
        <v>9</v>
      </c>
      <c r="P264">
        <v>7</v>
      </c>
      <c r="Q264">
        <v>0</v>
      </c>
    </row>
    <row r="265" spans="1:17" x14ac:dyDescent="0.3">
      <c r="A265">
        <v>17</v>
      </c>
      <c r="B265" t="s">
        <v>16</v>
      </c>
      <c r="C265" t="str">
        <f>IF(Table1[[#This Row],[age]]&gt;18,"Adult","Teenage")</f>
        <v>Teenage</v>
      </c>
      <c r="D265">
        <v>5.3</v>
      </c>
      <c r="E265" t="s">
        <v>14</v>
      </c>
      <c r="F265">
        <v>7.4</v>
      </c>
      <c r="G265">
        <f>Table1[[#This Row],[sleep_hours]]-Table1[[#This Row],[daily_social_media_hours]]</f>
        <v>2.1000000000000005</v>
      </c>
      <c r="H265">
        <v>1.2</v>
      </c>
      <c r="I265">
        <v>3.41</v>
      </c>
      <c r="J265" t="str" cm="1">
        <f t="array" ref="J265">_xlfn.IFS(Table1[[#This Row],[academic_performance]]&gt;1,"Need Improvement",Table1[[#This Row],[academic_performance]]&gt;2,"Good",Table1[[#This Row],[academic_performance]]&gt;3,"Very good",Table1[[#This Row],[academic_performance]]&gt;4,"Excellent")</f>
        <v>Need Improvement</v>
      </c>
      <c r="K265">
        <v>1.1000000000000001</v>
      </c>
      <c r="L265" t="str">
        <f>IF(Table1[[#This Row],[physical_activity]]&gt;1.9,"better overall ","lower rate of depression")</f>
        <v>lower rate of depression</v>
      </c>
      <c r="M265" t="s">
        <v>18</v>
      </c>
      <c r="N265">
        <v>6</v>
      </c>
      <c r="O265">
        <v>3</v>
      </c>
      <c r="P265">
        <v>7</v>
      </c>
      <c r="Q265">
        <v>0</v>
      </c>
    </row>
    <row r="266" spans="1:17" x14ac:dyDescent="0.3">
      <c r="A266">
        <v>19</v>
      </c>
      <c r="B266" t="s">
        <v>13</v>
      </c>
      <c r="C266" t="str">
        <f>IF(Table1[[#This Row],[age]]&gt;18,"Adult","Teenage")</f>
        <v>Adult</v>
      </c>
      <c r="D266">
        <v>4.4000000000000004</v>
      </c>
      <c r="E266" t="s">
        <v>17</v>
      </c>
      <c r="F266">
        <v>4.3</v>
      </c>
      <c r="G266">
        <f>Table1[[#This Row],[sleep_hours]]-Table1[[#This Row],[daily_social_media_hours]]</f>
        <v>-0.10000000000000053</v>
      </c>
      <c r="H266">
        <v>0.8</v>
      </c>
      <c r="I266">
        <v>2.44</v>
      </c>
      <c r="J266" t="str" cm="1">
        <f t="array" ref="J266">_xlfn.IFS(Table1[[#This Row],[academic_performance]]&gt;1,"Need Improvement",Table1[[#This Row],[academic_performance]]&gt;2,"Good",Table1[[#This Row],[academic_performance]]&gt;3,"Very good",Table1[[#This Row],[academic_performance]]&gt;4,"Excellent")</f>
        <v>Need Improvement</v>
      </c>
      <c r="K266">
        <v>1</v>
      </c>
      <c r="L266" t="str">
        <f>IF(Table1[[#This Row],[physical_activity]]&gt;1.9,"better overall ","lower rate of depression")</f>
        <v>lower rate of depression</v>
      </c>
      <c r="M266" t="s">
        <v>18</v>
      </c>
      <c r="N266">
        <v>9</v>
      </c>
      <c r="O266">
        <v>9</v>
      </c>
      <c r="P266">
        <v>7</v>
      </c>
      <c r="Q266">
        <v>0</v>
      </c>
    </row>
    <row r="267" spans="1:17" x14ac:dyDescent="0.3">
      <c r="A267">
        <v>18</v>
      </c>
      <c r="B267" t="s">
        <v>13</v>
      </c>
      <c r="C267" t="str">
        <f>IF(Table1[[#This Row],[age]]&gt;18,"Adult","Teenage")</f>
        <v>Teenage</v>
      </c>
      <c r="D267">
        <v>7.7</v>
      </c>
      <c r="E267" t="s">
        <v>17</v>
      </c>
      <c r="F267">
        <v>4.7</v>
      </c>
      <c r="G267">
        <f>Table1[[#This Row],[sleep_hours]]-Table1[[#This Row],[daily_social_media_hours]]</f>
        <v>-3</v>
      </c>
      <c r="H267">
        <v>1.4</v>
      </c>
      <c r="I267">
        <v>3.04</v>
      </c>
      <c r="J267" t="str" cm="1">
        <f t="array" ref="J267">_xlfn.IFS(Table1[[#This Row],[academic_performance]]&gt;1,"Need Improvement",Table1[[#This Row],[academic_performance]]&gt;2,"Good",Table1[[#This Row],[academic_performance]]&gt;3,"Very good",Table1[[#This Row],[academic_performance]]&gt;4,"Excellent")</f>
        <v>Need Improvement</v>
      </c>
      <c r="K267">
        <v>0.6</v>
      </c>
      <c r="L267" t="str">
        <f>IF(Table1[[#This Row],[physical_activity]]&gt;1.9,"better overall ","lower rate of depression")</f>
        <v>lower rate of depression</v>
      </c>
      <c r="M267" t="s">
        <v>19</v>
      </c>
      <c r="N267">
        <v>9</v>
      </c>
      <c r="O267">
        <v>6</v>
      </c>
      <c r="P267">
        <v>6</v>
      </c>
      <c r="Q267">
        <v>0</v>
      </c>
    </row>
    <row r="268" spans="1:17" x14ac:dyDescent="0.3">
      <c r="A268">
        <v>14</v>
      </c>
      <c r="B268" t="s">
        <v>16</v>
      </c>
      <c r="C268" t="str">
        <f>IF(Table1[[#This Row],[age]]&gt;18,"Adult","Teenage")</f>
        <v>Teenage</v>
      </c>
      <c r="D268">
        <v>7.1</v>
      </c>
      <c r="E268" t="s">
        <v>17</v>
      </c>
      <c r="F268">
        <v>4.5</v>
      </c>
      <c r="G268">
        <f>Table1[[#This Row],[sleep_hours]]-Table1[[#This Row],[daily_social_media_hours]]</f>
        <v>-2.5999999999999996</v>
      </c>
      <c r="H268">
        <v>2.4</v>
      </c>
      <c r="I268">
        <v>3.53</v>
      </c>
      <c r="J268" t="str" cm="1">
        <f t="array" ref="J268">_xlfn.IFS(Table1[[#This Row],[academic_performance]]&gt;1,"Need Improvement",Table1[[#This Row],[academic_performance]]&gt;2,"Good",Table1[[#This Row],[academic_performance]]&gt;3,"Very good",Table1[[#This Row],[academic_performance]]&gt;4,"Excellent")</f>
        <v>Need Improvement</v>
      </c>
      <c r="K268">
        <v>0.4</v>
      </c>
      <c r="L268" t="str">
        <f>IF(Table1[[#This Row],[physical_activity]]&gt;1.9,"better overall ","lower rate of depression")</f>
        <v>lower rate of depression</v>
      </c>
      <c r="M268" t="s">
        <v>18</v>
      </c>
      <c r="N268">
        <v>3</v>
      </c>
      <c r="O268">
        <v>4</v>
      </c>
      <c r="P268">
        <v>4</v>
      </c>
      <c r="Q268">
        <v>0</v>
      </c>
    </row>
    <row r="269" spans="1:17" x14ac:dyDescent="0.3">
      <c r="A269">
        <v>16</v>
      </c>
      <c r="B269" t="s">
        <v>13</v>
      </c>
      <c r="C269" t="str">
        <f>IF(Table1[[#This Row],[age]]&gt;18,"Adult","Teenage")</f>
        <v>Teenage</v>
      </c>
      <c r="D269">
        <v>4.9000000000000004</v>
      </c>
      <c r="E269" t="s">
        <v>14</v>
      </c>
      <c r="F269">
        <v>6.8</v>
      </c>
      <c r="G269">
        <f>Table1[[#This Row],[sleep_hours]]-Table1[[#This Row],[daily_social_media_hours]]</f>
        <v>1.8999999999999995</v>
      </c>
      <c r="H269">
        <v>1</v>
      </c>
      <c r="I269">
        <v>3.18</v>
      </c>
      <c r="J269" t="str" cm="1">
        <f t="array" ref="J269">_xlfn.IFS(Table1[[#This Row],[academic_performance]]&gt;1,"Need Improvement",Table1[[#This Row],[academic_performance]]&gt;2,"Good",Table1[[#This Row],[academic_performance]]&gt;3,"Very good",Table1[[#This Row],[academic_performance]]&gt;4,"Excellent")</f>
        <v>Need Improvement</v>
      </c>
      <c r="K269">
        <v>1.9</v>
      </c>
      <c r="L269" t="str">
        <f>IF(Table1[[#This Row],[physical_activity]]&gt;1.9,"better overall ","lower rate of depression")</f>
        <v>lower rate of depression</v>
      </c>
      <c r="M269" t="s">
        <v>18</v>
      </c>
      <c r="N269">
        <v>7</v>
      </c>
      <c r="O269">
        <v>4</v>
      </c>
      <c r="P269">
        <v>8</v>
      </c>
      <c r="Q269">
        <v>0</v>
      </c>
    </row>
    <row r="270" spans="1:17" x14ac:dyDescent="0.3">
      <c r="A270">
        <v>19</v>
      </c>
      <c r="B270" t="s">
        <v>13</v>
      </c>
      <c r="C270" t="str">
        <f>IF(Table1[[#This Row],[age]]&gt;18,"Adult","Teenage")</f>
        <v>Adult</v>
      </c>
      <c r="D270">
        <v>4.5999999999999996</v>
      </c>
      <c r="E270" t="s">
        <v>20</v>
      </c>
      <c r="F270">
        <v>8.9</v>
      </c>
      <c r="G270">
        <f>Table1[[#This Row],[sleep_hours]]-Table1[[#This Row],[daily_social_media_hours]]</f>
        <v>4.3000000000000007</v>
      </c>
      <c r="H270">
        <v>1.9</v>
      </c>
      <c r="I270">
        <v>2.5</v>
      </c>
      <c r="J270" t="str" cm="1">
        <f t="array" ref="J270">_xlfn.IFS(Table1[[#This Row],[academic_performance]]&gt;1,"Need Improvement",Table1[[#This Row],[academic_performance]]&gt;2,"Good",Table1[[#This Row],[academic_performance]]&gt;3,"Very good",Table1[[#This Row],[academic_performance]]&gt;4,"Excellent")</f>
        <v>Need Improvement</v>
      </c>
      <c r="K270">
        <v>0.4</v>
      </c>
      <c r="L270" t="str">
        <f>IF(Table1[[#This Row],[physical_activity]]&gt;1.9,"better overall ","lower rate of depression")</f>
        <v>lower rate of depression</v>
      </c>
      <c r="M270" t="s">
        <v>19</v>
      </c>
      <c r="N270">
        <v>8</v>
      </c>
      <c r="O270">
        <v>1</v>
      </c>
      <c r="P270">
        <v>3</v>
      </c>
      <c r="Q270">
        <v>0</v>
      </c>
    </row>
    <row r="271" spans="1:17" x14ac:dyDescent="0.3">
      <c r="A271">
        <v>19</v>
      </c>
      <c r="B271" t="s">
        <v>13</v>
      </c>
      <c r="C271" t="str">
        <f>IF(Table1[[#This Row],[age]]&gt;18,"Adult","Teenage")</f>
        <v>Adult</v>
      </c>
      <c r="D271">
        <v>1.8</v>
      </c>
      <c r="E271" t="s">
        <v>14</v>
      </c>
      <c r="F271">
        <v>6.5</v>
      </c>
      <c r="G271">
        <f>Table1[[#This Row],[sleep_hours]]-Table1[[#This Row],[daily_social_media_hours]]</f>
        <v>4.7</v>
      </c>
      <c r="H271">
        <v>2.6</v>
      </c>
      <c r="I271">
        <v>2.75</v>
      </c>
      <c r="J271" t="str" cm="1">
        <f t="array" ref="J271">_xlfn.IFS(Table1[[#This Row],[academic_performance]]&gt;1,"Need Improvement",Table1[[#This Row],[academic_performance]]&gt;2,"Good",Table1[[#This Row],[academic_performance]]&gt;3,"Very good",Table1[[#This Row],[academic_performance]]&gt;4,"Excellent")</f>
        <v>Need Improvement</v>
      </c>
      <c r="K271">
        <v>1.7</v>
      </c>
      <c r="L271" t="str">
        <f>IF(Table1[[#This Row],[physical_activity]]&gt;1.9,"better overall ","lower rate of depression")</f>
        <v>lower rate of depression</v>
      </c>
      <c r="M271" t="s">
        <v>18</v>
      </c>
      <c r="N271">
        <v>7</v>
      </c>
      <c r="O271">
        <v>6</v>
      </c>
      <c r="P271">
        <v>1</v>
      </c>
      <c r="Q271">
        <v>0</v>
      </c>
    </row>
    <row r="272" spans="1:17" x14ac:dyDescent="0.3">
      <c r="A272">
        <v>16</v>
      </c>
      <c r="B272" t="s">
        <v>13</v>
      </c>
      <c r="C272" t="str">
        <f>IF(Table1[[#This Row],[age]]&gt;18,"Adult","Teenage")</f>
        <v>Teenage</v>
      </c>
      <c r="D272">
        <v>4.2</v>
      </c>
      <c r="E272" t="s">
        <v>20</v>
      </c>
      <c r="F272">
        <v>5.7</v>
      </c>
      <c r="G272">
        <f>Table1[[#This Row],[sleep_hours]]-Table1[[#This Row],[daily_social_media_hours]]</f>
        <v>1.5</v>
      </c>
      <c r="H272">
        <v>1</v>
      </c>
      <c r="I272">
        <v>2.77</v>
      </c>
      <c r="J272" t="str" cm="1">
        <f t="array" ref="J272">_xlfn.IFS(Table1[[#This Row],[academic_performance]]&gt;1,"Need Improvement",Table1[[#This Row],[academic_performance]]&gt;2,"Good",Table1[[#This Row],[academic_performance]]&gt;3,"Very good",Table1[[#This Row],[academic_performance]]&gt;4,"Excellent")</f>
        <v>Need Improvement</v>
      </c>
      <c r="K272">
        <v>0.1</v>
      </c>
      <c r="L272" t="str">
        <f>IF(Table1[[#This Row],[physical_activity]]&gt;1.9,"better overall ","lower rate of depression")</f>
        <v>lower rate of depression</v>
      </c>
      <c r="M272" t="s">
        <v>18</v>
      </c>
      <c r="N272">
        <v>10</v>
      </c>
      <c r="O272">
        <v>5</v>
      </c>
      <c r="P272">
        <v>9</v>
      </c>
      <c r="Q272">
        <v>0</v>
      </c>
    </row>
    <row r="273" spans="1:17" x14ac:dyDescent="0.3">
      <c r="A273">
        <v>16</v>
      </c>
      <c r="B273" t="s">
        <v>13</v>
      </c>
      <c r="C273" t="str">
        <f>IF(Table1[[#This Row],[age]]&gt;18,"Adult","Teenage")</f>
        <v>Teenage</v>
      </c>
      <c r="D273">
        <v>1.5</v>
      </c>
      <c r="E273" t="s">
        <v>17</v>
      </c>
      <c r="F273">
        <v>6.7</v>
      </c>
      <c r="G273">
        <f>Table1[[#This Row],[sleep_hours]]-Table1[[#This Row],[daily_social_media_hours]]</f>
        <v>5.2</v>
      </c>
      <c r="H273">
        <v>0.5</v>
      </c>
      <c r="I273">
        <v>2.78</v>
      </c>
      <c r="J273" t="str" cm="1">
        <f t="array" ref="J273">_xlfn.IFS(Table1[[#This Row],[academic_performance]]&gt;1,"Need Improvement",Table1[[#This Row],[academic_performance]]&gt;2,"Good",Table1[[#This Row],[academic_performance]]&gt;3,"Very good",Table1[[#This Row],[academic_performance]]&gt;4,"Excellent")</f>
        <v>Need Improvement</v>
      </c>
      <c r="K273">
        <v>1.2</v>
      </c>
      <c r="L273" t="str">
        <f>IF(Table1[[#This Row],[physical_activity]]&gt;1.9,"better overall ","lower rate of depression")</f>
        <v>lower rate of depression</v>
      </c>
      <c r="M273" t="s">
        <v>15</v>
      </c>
      <c r="N273">
        <v>1</v>
      </c>
      <c r="O273">
        <v>9</v>
      </c>
      <c r="P273">
        <v>6</v>
      </c>
      <c r="Q273">
        <v>0</v>
      </c>
    </row>
    <row r="274" spans="1:17" x14ac:dyDescent="0.3">
      <c r="A274">
        <v>19</v>
      </c>
      <c r="B274" t="s">
        <v>13</v>
      </c>
      <c r="C274" t="str">
        <f>IF(Table1[[#This Row],[age]]&gt;18,"Adult","Teenage")</f>
        <v>Adult</v>
      </c>
      <c r="D274">
        <v>7</v>
      </c>
      <c r="E274" t="s">
        <v>14</v>
      </c>
      <c r="F274">
        <v>8.9</v>
      </c>
      <c r="G274">
        <f>Table1[[#This Row],[sleep_hours]]-Table1[[#This Row],[daily_social_media_hours]]</f>
        <v>1.9000000000000004</v>
      </c>
      <c r="H274">
        <v>2.8</v>
      </c>
      <c r="I274">
        <v>2.84</v>
      </c>
      <c r="J274" t="str" cm="1">
        <f t="array" ref="J274">_xlfn.IFS(Table1[[#This Row],[academic_performance]]&gt;1,"Need Improvement",Table1[[#This Row],[academic_performance]]&gt;2,"Good",Table1[[#This Row],[academic_performance]]&gt;3,"Very good",Table1[[#This Row],[academic_performance]]&gt;4,"Excellent")</f>
        <v>Need Improvement</v>
      </c>
      <c r="K274">
        <v>0.4</v>
      </c>
      <c r="L274" t="str">
        <f>IF(Table1[[#This Row],[physical_activity]]&gt;1.9,"better overall ","lower rate of depression")</f>
        <v>lower rate of depression</v>
      </c>
      <c r="M274" t="s">
        <v>18</v>
      </c>
      <c r="N274">
        <v>6</v>
      </c>
      <c r="O274">
        <v>8</v>
      </c>
      <c r="P274">
        <v>6</v>
      </c>
      <c r="Q274">
        <v>0</v>
      </c>
    </row>
    <row r="275" spans="1:17" x14ac:dyDescent="0.3">
      <c r="A275">
        <v>14</v>
      </c>
      <c r="B275" t="s">
        <v>16</v>
      </c>
      <c r="C275" t="str">
        <f>IF(Table1[[#This Row],[age]]&gt;18,"Adult","Teenage")</f>
        <v>Teenage</v>
      </c>
      <c r="D275">
        <v>6.5</v>
      </c>
      <c r="E275" t="s">
        <v>20</v>
      </c>
      <c r="F275">
        <v>7.8</v>
      </c>
      <c r="G275">
        <f>Table1[[#This Row],[sleep_hours]]-Table1[[#This Row],[daily_social_media_hours]]</f>
        <v>1.2999999999999998</v>
      </c>
      <c r="H275">
        <v>1.5</v>
      </c>
      <c r="I275">
        <v>3.26</v>
      </c>
      <c r="J275" t="str" cm="1">
        <f t="array" ref="J275">_xlfn.IFS(Table1[[#This Row],[academic_performance]]&gt;1,"Need Improvement",Table1[[#This Row],[academic_performance]]&gt;2,"Good",Table1[[#This Row],[academic_performance]]&gt;3,"Very good",Table1[[#This Row],[academic_performance]]&gt;4,"Excellent")</f>
        <v>Need Improvement</v>
      </c>
      <c r="K275">
        <v>0.8</v>
      </c>
      <c r="L275" t="str">
        <f>IF(Table1[[#This Row],[physical_activity]]&gt;1.9,"better overall ","lower rate of depression")</f>
        <v>lower rate of depression</v>
      </c>
      <c r="M275" t="s">
        <v>19</v>
      </c>
      <c r="N275">
        <v>9</v>
      </c>
      <c r="O275">
        <v>2</v>
      </c>
      <c r="P275">
        <v>3</v>
      </c>
      <c r="Q275">
        <v>0</v>
      </c>
    </row>
    <row r="276" spans="1:17" x14ac:dyDescent="0.3">
      <c r="A276">
        <v>19</v>
      </c>
      <c r="B276" t="s">
        <v>16</v>
      </c>
      <c r="C276" t="str">
        <f>IF(Table1[[#This Row],[age]]&gt;18,"Adult","Teenage")</f>
        <v>Adult</v>
      </c>
      <c r="D276">
        <v>4.3</v>
      </c>
      <c r="E276" t="s">
        <v>14</v>
      </c>
      <c r="F276">
        <v>5.9</v>
      </c>
      <c r="G276">
        <f>Table1[[#This Row],[sleep_hours]]-Table1[[#This Row],[daily_social_media_hours]]</f>
        <v>1.6000000000000005</v>
      </c>
      <c r="H276">
        <v>2.1</v>
      </c>
      <c r="I276">
        <v>2.85</v>
      </c>
      <c r="J276" t="str" cm="1">
        <f t="array" ref="J276">_xlfn.IFS(Table1[[#This Row],[academic_performance]]&gt;1,"Need Improvement",Table1[[#This Row],[academic_performance]]&gt;2,"Good",Table1[[#This Row],[academic_performance]]&gt;3,"Very good",Table1[[#This Row],[academic_performance]]&gt;4,"Excellent")</f>
        <v>Need Improvement</v>
      </c>
      <c r="K276">
        <v>1.7</v>
      </c>
      <c r="L276" t="str">
        <f>IF(Table1[[#This Row],[physical_activity]]&gt;1.9,"better overall ","lower rate of depression")</f>
        <v>lower rate of depression</v>
      </c>
      <c r="M276" t="s">
        <v>18</v>
      </c>
      <c r="N276">
        <v>9</v>
      </c>
      <c r="O276">
        <v>9</v>
      </c>
      <c r="P276">
        <v>8</v>
      </c>
      <c r="Q276">
        <v>0</v>
      </c>
    </row>
    <row r="277" spans="1:17" x14ac:dyDescent="0.3">
      <c r="A277">
        <v>16</v>
      </c>
      <c r="B277" t="s">
        <v>13</v>
      </c>
      <c r="C277" t="str">
        <f>IF(Table1[[#This Row],[age]]&gt;18,"Adult","Teenage")</f>
        <v>Teenage</v>
      </c>
      <c r="D277">
        <v>7.2</v>
      </c>
      <c r="E277" t="s">
        <v>20</v>
      </c>
      <c r="F277">
        <v>7.7</v>
      </c>
      <c r="G277">
        <f>Table1[[#This Row],[sleep_hours]]-Table1[[#This Row],[daily_social_media_hours]]</f>
        <v>0.5</v>
      </c>
      <c r="H277">
        <v>2.5</v>
      </c>
      <c r="I277">
        <v>2.56</v>
      </c>
      <c r="J277" t="str" cm="1">
        <f t="array" ref="J277">_xlfn.IFS(Table1[[#This Row],[academic_performance]]&gt;1,"Need Improvement",Table1[[#This Row],[academic_performance]]&gt;2,"Good",Table1[[#This Row],[academic_performance]]&gt;3,"Very good",Table1[[#This Row],[academic_performance]]&gt;4,"Excellent")</f>
        <v>Need Improvement</v>
      </c>
      <c r="K277">
        <v>1.7</v>
      </c>
      <c r="L277" t="str">
        <f>IF(Table1[[#This Row],[physical_activity]]&gt;1.9,"better overall ","lower rate of depression")</f>
        <v>lower rate of depression</v>
      </c>
      <c r="M277" t="s">
        <v>18</v>
      </c>
      <c r="N277">
        <v>8</v>
      </c>
      <c r="O277">
        <v>7</v>
      </c>
      <c r="P277">
        <v>6</v>
      </c>
      <c r="Q277">
        <v>0</v>
      </c>
    </row>
    <row r="278" spans="1:17" x14ac:dyDescent="0.3">
      <c r="A278">
        <v>13</v>
      </c>
      <c r="B278" t="s">
        <v>13</v>
      </c>
      <c r="C278" t="str">
        <f>IF(Table1[[#This Row],[age]]&gt;18,"Adult","Teenage")</f>
        <v>Teenage</v>
      </c>
      <c r="D278">
        <v>7</v>
      </c>
      <c r="E278" t="s">
        <v>20</v>
      </c>
      <c r="F278">
        <v>4.0999999999999996</v>
      </c>
      <c r="G278">
        <f>Table1[[#This Row],[sleep_hours]]-Table1[[#This Row],[daily_social_media_hours]]</f>
        <v>-2.9000000000000004</v>
      </c>
      <c r="H278">
        <v>1.9</v>
      </c>
      <c r="I278">
        <v>2.2999999999999998</v>
      </c>
      <c r="J278" t="str" cm="1">
        <f t="array" ref="J278">_xlfn.IFS(Table1[[#This Row],[academic_performance]]&gt;1,"Need Improvement",Table1[[#This Row],[academic_performance]]&gt;2,"Good",Table1[[#This Row],[academic_performance]]&gt;3,"Very good",Table1[[#This Row],[academic_performance]]&gt;4,"Excellent")</f>
        <v>Need Improvement</v>
      </c>
      <c r="K278">
        <v>0.3</v>
      </c>
      <c r="L278" t="str">
        <f>IF(Table1[[#This Row],[physical_activity]]&gt;1.9,"better overall ","lower rate of depression")</f>
        <v>lower rate of depression</v>
      </c>
      <c r="M278" t="s">
        <v>19</v>
      </c>
      <c r="N278">
        <v>3</v>
      </c>
      <c r="O278">
        <v>10</v>
      </c>
      <c r="P278">
        <v>6</v>
      </c>
      <c r="Q278">
        <v>0</v>
      </c>
    </row>
    <row r="279" spans="1:17" x14ac:dyDescent="0.3">
      <c r="A279">
        <v>18</v>
      </c>
      <c r="B279" t="s">
        <v>16</v>
      </c>
      <c r="C279" t="str">
        <f>IF(Table1[[#This Row],[age]]&gt;18,"Adult","Teenage")</f>
        <v>Teenage</v>
      </c>
      <c r="D279">
        <v>3.8</v>
      </c>
      <c r="E279" t="s">
        <v>20</v>
      </c>
      <c r="F279">
        <v>5.4</v>
      </c>
      <c r="G279">
        <f>Table1[[#This Row],[sleep_hours]]-Table1[[#This Row],[daily_social_media_hours]]</f>
        <v>1.6000000000000005</v>
      </c>
      <c r="H279">
        <v>1.7</v>
      </c>
      <c r="I279">
        <v>3.06</v>
      </c>
      <c r="J279" t="str" cm="1">
        <f t="array" ref="J279">_xlfn.IFS(Table1[[#This Row],[academic_performance]]&gt;1,"Need Improvement",Table1[[#This Row],[academic_performance]]&gt;2,"Good",Table1[[#This Row],[academic_performance]]&gt;3,"Very good",Table1[[#This Row],[academic_performance]]&gt;4,"Excellent")</f>
        <v>Need Improvement</v>
      </c>
      <c r="K279">
        <v>1.9</v>
      </c>
      <c r="L279" t="str">
        <f>IF(Table1[[#This Row],[physical_activity]]&gt;1.9,"better overall ","lower rate of depression")</f>
        <v>lower rate of depression</v>
      </c>
      <c r="M279" t="s">
        <v>19</v>
      </c>
      <c r="N279">
        <v>5</v>
      </c>
      <c r="O279">
        <v>10</v>
      </c>
      <c r="P279">
        <v>3</v>
      </c>
      <c r="Q279">
        <v>0</v>
      </c>
    </row>
    <row r="280" spans="1:17" x14ac:dyDescent="0.3">
      <c r="A280">
        <v>17</v>
      </c>
      <c r="B280" t="s">
        <v>16</v>
      </c>
      <c r="C280" t="str">
        <f>IF(Table1[[#This Row],[age]]&gt;18,"Adult","Teenage")</f>
        <v>Teenage</v>
      </c>
      <c r="D280">
        <v>3</v>
      </c>
      <c r="E280" t="s">
        <v>14</v>
      </c>
      <c r="F280">
        <v>6.9</v>
      </c>
      <c r="G280">
        <f>Table1[[#This Row],[sleep_hours]]-Table1[[#This Row],[daily_social_media_hours]]</f>
        <v>3.9000000000000004</v>
      </c>
      <c r="H280">
        <v>2.2999999999999998</v>
      </c>
      <c r="I280">
        <v>3.34</v>
      </c>
      <c r="J280" t="str" cm="1">
        <f t="array" ref="J280">_xlfn.IFS(Table1[[#This Row],[academic_performance]]&gt;1,"Need Improvement",Table1[[#This Row],[academic_performance]]&gt;2,"Good",Table1[[#This Row],[academic_performance]]&gt;3,"Very good",Table1[[#This Row],[academic_performance]]&gt;4,"Excellent")</f>
        <v>Need Improvement</v>
      </c>
      <c r="K280">
        <v>0.6</v>
      </c>
      <c r="L280" t="str">
        <f>IF(Table1[[#This Row],[physical_activity]]&gt;1.9,"better overall ","lower rate of depression")</f>
        <v>lower rate of depression</v>
      </c>
      <c r="M280" t="s">
        <v>15</v>
      </c>
      <c r="N280">
        <v>5</v>
      </c>
      <c r="O280">
        <v>2</v>
      </c>
      <c r="P280">
        <v>9</v>
      </c>
      <c r="Q280">
        <v>0</v>
      </c>
    </row>
    <row r="281" spans="1:17" x14ac:dyDescent="0.3">
      <c r="A281">
        <v>14</v>
      </c>
      <c r="B281" t="s">
        <v>16</v>
      </c>
      <c r="C281" t="str">
        <f>IF(Table1[[#This Row],[age]]&gt;18,"Adult","Teenage")</f>
        <v>Teenage</v>
      </c>
      <c r="D281">
        <v>7</v>
      </c>
      <c r="E281" t="s">
        <v>17</v>
      </c>
      <c r="F281">
        <v>7.8</v>
      </c>
      <c r="G281">
        <f>Table1[[#This Row],[sleep_hours]]-Table1[[#This Row],[daily_social_media_hours]]</f>
        <v>0.79999999999999982</v>
      </c>
      <c r="H281">
        <v>1.1000000000000001</v>
      </c>
      <c r="I281">
        <v>3.81</v>
      </c>
      <c r="J281" t="str" cm="1">
        <f t="array" ref="J281">_xlfn.IFS(Table1[[#This Row],[academic_performance]]&gt;1,"Need Improvement",Table1[[#This Row],[academic_performance]]&gt;2,"Good",Table1[[#This Row],[academic_performance]]&gt;3,"Very good",Table1[[#This Row],[academic_performance]]&gt;4,"Excellent")</f>
        <v>Need Improvement</v>
      </c>
      <c r="K281">
        <v>1.4</v>
      </c>
      <c r="L281" t="str">
        <f>IF(Table1[[#This Row],[physical_activity]]&gt;1.9,"better overall ","lower rate of depression")</f>
        <v>lower rate of depression</v>
      </c>
      <c r="M281" t="s">
        <v>19</v>
      </c>
      <c r="N281">
        <v>10</v>
      </c>
      <c r="O281">
        <v>4</v>
      </c>
      <c r="P281">
        <v>2</v>
      </c>
      <c r="Q281">
        <v>0</v>
      </c>
    </row>
    <row r="282" spans="1:17" x14ac:dyDescent="0.3">
      <c r="A282">
        <v>13</v>
      </c>
      <c r="B282" t="s">
        <v>13</v>
      </c>
      <c r="C282" t="str">
        <f>IF(Table1[[#This Row],[age]]&gt;18,"Adult","Teenage")</f>
        <v>Teenage</v>
      </c>
      <c r="D282">
        <v>4.5999999999999996</v>
      </c>
      <c r="E282" t="s">
        <v>17</v>
      </c>
      <c r="F282">
        <v>5.3</v>
      </c>
      <c r="G282">
        <f>Table1[[#This Row],[sleep_hours]]-Table1[[#This Row],[daily_social_media_hours]]</f>
        <v>0.70000000000000018</v>
      </c>
      <c r="H282">
        <v>2.2999999999999998</v>
      </c>
      <c r="I282">
        <v>2.42</v>
      </c>
      <c r="J282" t="str" cm="1">
        <f t="array" ref="J282">_xlfn.IFS(Table1[[#This Row],[academic_performance]]&gt;1,"Need Improvement",Table1[[#This Row],[academic_performance]]&gt;2,"Good",Table1[[#This Row],[academic_performance]]&gt;3,"Very good",Table1[[#This Row],[academic_performance]]&gt;4,"Excellent")</f>
        <v>Need Improvement</v>
      </c>
      <c r="K282">
        <v>0.2</v>
      </c>
      <c r="L282" t="str">
        <f>IF(Table1[[#This Row],[physical_activity]]&gt;1.9,"better overall ","lower rate of depression")</f>
        <v>lower rate of depression</v>
      </c>
      <c r="M282" t="s">
        <v>15</v>
      </c>
      <c r="N282">
        <v>5</v>
      </c>
      <c r="O282">
        <v>9</v>
      </c>
      <c r="P282">
        <v>5</v>
      </c>
      <c r="Q282">
        <v>0</v>
      </c>
    </row>
    <row r="283" spans="1:17" x14ac:dyDescent="0.3">
      <c r="A283">
        <v>16</v>
      </c>
      <c r="B283" t="s">
        <v>13</v>
      </c>
      <c r="C283" t="str">
        <f>IF(Table1[[#This Row],[age]]&gt;18,"Adult","Teenage")</f>
        <v>Teenage</v>
      </c>
      <c r="D283">
        <v>3.4</v>
      </c>
      <c r="E283" t="s">
        <v>20</v>
      </c>
      <c r="F283">
        <v>8.9</v>
      </c>
      <c r="G283">
        <f>Table1[[#This Row],[sleep_hours]]-Table1[[#This Row],[daily_social_media_hours]]</f>
        <v>5.5</v>
      </c>
      <c r="H283">
        <v>2.6</v>
      </c>
      <c r="I283">
        <v>2.54</v>
      </c>
      <c r="J283" t="str" cm="1">
        <f t="array" ref="J283">_xlfn.IFS(Table1[[#This Row],[academic_performance]]&gt;1,"Need Improvement",Table1[[#This Row],[academic_performance]]&gt;2,"Good",Table1[[#This Row],[academic_performance]]&gt;3,"Very good",Table1[[#This Row],[academic_performance]]&gt;4,"Excellent")</f>
        <v>Need Improvement</v>
      </c>
      <c r="K283">
        <v>1.8</v>
      </c>
      <c r="L283" t="str">
        <f>IF(Table1[[#This Row],[physical_activity]]&gt;1.9,"better overall ","lower rate of depression")</f>
        <v>lower rate of depression</v>
      </c>
      <c r="M283" t="s">
        <v>18</v>
      </c>
      <c r="N283">
        <v>6</v>
      </c>
      <c r="O283">
        <v>2</v>
      </c>
      <c r="P283">
        <v>5</v>
      </c>
      <c r="Q283">
        <v>0</v>
      </c>
    </row>
    <row r="284" spans="1:17" x14ac:dyDescent="0.3">
      <c r="A284">
        <v>19</v>
      </c>
      <c r="B284" t="s">
        <v>16</v>
      </c>
      <c r="C284" t="str">
        <f>IF(Table1[[#This Row],[age]]&gt;18,"Adult","Teenage")</f>
        <v>Adult</v>
      </c>
      <c r="D284">
        <v>3.5</v>
      </c>
      <c r="E284" t="s">
        <v>17</v>
      </c>
      <c r="F284">
        <v>6.7</v>
      </c>
      <c r="G284">
        <f>Table1[[#This Row],[sleep_hours]]-Table1[[#This Row],[daily_social_media_hours]]</f>
        <v>3.2</v>
      </c>
      <c r="H284">
        <v>2.7</v>
      </c>
      <c r="I284">
        <v>3.4</v>
      </c>
      <c r="J284" t="str" cm="1">
        <f t="array" ref="J284">_xlfn.IFS(Table1[[#This Row],[academic_performance]]&gt;1,"Need Improvement",Table1[[#This Row],[academic_performance]]&gt;2,"Good",Table1[[#This Row],[academic_performance]]&gt;3,"Very good",Table1[[#This Row],[academic_performance]]&gt;4,"Excellent")</f>
        <v>Need Improvement</v>
      </c>
      <c r="K284">
        <v>1.2</v>
      </c>
      <c r="L284" t="str">
        <f>IF(Table1[[#This Row],[physical_activity]]&gt;1.9,"better overall ","lower rate of depression")</f>
        <v>lower rate of depression</v>
      </c>
      <c r="M284" t="s">
        <v>15</v>
      </c>
      <c r="N284">
        <v>4</v>
      </c>
      <c r="O284">
        <v>6</v>
      </c>
      <c r="P284">
        <v>7</v>
      </c>
      <c r="Q284">
        <v>0</v>
      </c>
    </row>
    <row r="285" spans="1:17" x14ac:dyDescent="0.3">
      <c r="A285">
        <v>14</v>
      </c>
      <c r="B285" t="s">
        <v>16</v>
      </c>
      <c r="C285" t="str">
        <f>IF(Table1[[#This Row],[age]]&gt;18,"Adult","Teenage")</f>
        <v>Teenage</v>
      </c>
      <c r="D285">
        <v>4.4000000000000004</v>
      </c>
      <c r="E285" t="s">
        <v>20</v>
      </c>
      <c r="F285">
        <v>7.3</v>
      </c>
      <c r="G285">
        <f>Table1[[#This Row],[sleep_hours]]-Table1[[#This Row],[daily_social_media_hours]]</f>
        <v>2.8999999999999995</v>
      </c>
      <c r="H285">
        <v>2.7</v>
      </c>
      <c r="I285">
        <v>3.3</v>
      </c>
      <c r="J285" t="str" cm="1">
        <f t="array" ref="J285">_xlfn.IFS(Table1[[#This Row],[academic_performance]]&gt;1,"Need Improvement",Table1[[#This Row],[academic_performance]]&gt;2,"Good",Table1[[#This Row],[academic_performance]]&gt;3,"Very good",Table1[[#This Row],[academic_performance]]&gt;4,"Excellent")</f>
        <v>Need Improvement</v>
      </c>
      <c r="K285">
        <v>1.1000000000000001</v>
      </c>
      <c r="L285" t="str">
        <f>IF(Table1[[#This Row],[physical_activity]]&gt;1.9,"better overall ","lower rate of depression")</f>
        <v>lower rate of depression</v>
      </c>
      <c r="M285" t="s">
        <v>15</v>
      </c>
      <c r="N285">
        <v>2</v>
      </c>
      <c r="O285">
        <v>1</v>
      </c>
      <c r="P285">
        <v>9</v>
      </c>
      <c r="Q285">
        <v>0</v>
      </c>
    </row>
    <row r="286" spans="1:17" x14ac:dyDescent="0.3">
      <c r="A286">
        <v>14</v>
      </c>
      <c r="B286" t="s">
        <v>16</v>
      </c>
      <c r="C286" t="str">
        <f>IF(Table1[[#This Row],[age]]&gt;18,"Adult","Teenage")</f>
        <v>Teenage</v>
      </c>
      <c r="D286">
        <v>1.8</v>
      </c>
      <c r="E286" t="s">
        <v>20</v>
      </c>
      <c r="F286">
        <v>8.1999999999999993</v>
      </c>
      <c r="G286">
        <f>Table1[[#This Row],[sleep_hours]]-Table1[[#This Row],[daily_social_media_hours]]</f>
        <v>6.3999999999999995</v>
      </c>
      <c r="H286">
        <v>2.2000000000000002</v>
      </c>
      <c r="I286">
        <v>3.36</v>
      </c>
      <c r="J286" t="str" cm="1">
        <f t="array" ref="J286">_xlfn.IFS(Table1[[#This Row],[academic_performance]]&gt;1,"Need Improvement",Table1[[#This Row],[academic_performance]]&gt;2,"Good",Table1[[#This Row],[academic_performance]]&gt;3,"Very good",Table1[[#This Row],[academic_performance]]&gt;4,"Excellent")</f>
        <v>Need Improvement</v>
      </c>
      <c r="K286">
        <v>1.7</v>
      </c>
      <c r="L286" t="str">
        <f>IF(Table1[[#This Row],[physical_activity]]&gt;1.9,"better overall ","lower rate of depression")</f>
        <v>lower rate of depression</v>
      </c>
      <c r="M286" t="s">
        <v>18</v>
      </c>
      <c r="N286">
        <v>9</v>
      </c>
      <c r="O286">
        <v>5</v>
      </c>
      <c r="P286">
        <v>10</v>
      </c>
      <c r="Q286">
        <v>0</v>
      </c>
    </row>
    <row r="287" spans="1:17" x14ac:dyDescent="0.3">
      <c r="A287">
        <v>17</v>
      </c>
      <c r="B287" t="s">
        <v>13</v>
      </c>
      <c r="C287" t="str">
        <f>IF(Table1[[#This Row],[age]]&gt;18,"Adult","Teenage")</f>
        <v>Teenage</v>
      </c>
      <c r="D287">
        <v>3.9</v>
      </c>
      <c r="E287" t="s">
        <v>20</v>
      </c>
      <c r="F287">
        <v>7.7</v>
      </c>
      <c r="G287">
        <f>Table1[[#This Row],[sleep_hours]]-Table1[[#This Row],[daily_social_media_hours]]</f>
        <v>3.8000000000000003</v>
      </c>
      <c r="H287">
        <v>1</v>
      </c>
      <c r="I287">
        <v>2.1</v>
      </c>
      <c r="J287" t="str" cm="1">
        <f t="array" ref="J287">_xlfn.IFS(Table1[[#This Row],[academic_performance]]&gt;1,"Need Improvement",Table1[[#This Row],[academic_performance]]&gt;2,"Good",Table1[[#This Row],[academic_performance]]&gt;3,"Very good",Table1[[#This Row],[academic_performance]]&gt;4,"Excellent")</f>
        <v>Need Improvement</v>
      </c>
      <c r="K287">
        <v>1.8</v>
      </c>
      <c r="L287" t="str">
        <f>IF(Table1[[#This Row],[physical_activity]]&gt;1.9,"better overall ","lower rate of depression")</f>
        <v>lower rate of depression</v>
      </c>
      <c r="M287" t="s">
        <v>18</v>
      </c>
      <c r="N287">
        <v>7</v>
      </c>
      <c r="O287">
        <v>4</v>
      </c>
      <c r="P287">
        <v>5</v>
      </c>
      <c r="Q287">
        <v>0</v>
      </c>
    </row>
    <row r="288" spans="1:17" x14ac:dyDescent="0.3">
      <c r="A288">
        <v>14</v>
      </c>
      <c r="B288" t="s">
        <v>16</v>
      </c>
      <c r="C288" t="str">
        <f>IF(Table1[[#This Row],[age]]&gt;18,"Adult","Teenage")</f>
        <v>Teenage</v>
      </c>
      <c r="D288">
        <v>4.4000000000000004</v>
      </c>
      <c r="E288" t="s">
        <v>17</v>
      </c>
      <c r="F288">
        <v>5.7</v>
      </c>
      <c r="G288">
        <f>Table1[[#This Row],[sleep_hours]]-Table1[[#This Row],[daily_social_media_hours]]</f>
        <v>1.2999999999999998</v>
      </c>
      <c r="H288">
        <v>1</v>
      </c>
      <c r="I288">
        <v>3.2</v>
      </c>
      <c r="J288" t="str" cm="1">
        <f t="array" ref="J288">_xlfn.IFS(Table1[[#This Row],[academic_performance]]&gt;1,"Need Improvement",Table1[[#This Row],[academic_performance]]&gt;2,"Good",Table1[[#This Row],[academic_performance]]&gt;3,"Very good",Table1[[#This Row],[academic_performance]]&gt;4,"Excellent")</f>
        <v>Need Improvement</v>
      </c>
      <c r="K288">
        <v>1.9</v>
      </c>
      <c r="L288" t="str">
        <f>IF(Table1[[#This Row],[physical_activity]]&gt;1.9,"better overall ","lower rate of depression")</f>
        <v>lower rate of depression</v>
      </c>
      <c r="M288" t="s">
        <v>18</v>
      </c>
      <c r="N288">
        <v>4</v>
      </c>
      <c r="O288">
        <v>2</v>
      </c>
      <c r="P288">
        <v>2</v>
      </c>
      <c r="Q288">
        <v>0</v>
      </c>
    </row>
    <row r="289" spans="1:17" x14ac:dyDescent="0.3">
      <c r="A289">
        <v>13</v>
      </c>
      <c r="B289" t="s">
        <v>16</v>
      </c>
      <c r="C289" t="str">
        <f>IF(Table1[[#This Row],[age]]&gt;18,"Adult","Teenage")</f>
        <v>Teenage</v>
      </c>
      <c r="D289">
        <v>2</v>
      </c>
      <c r="E289" t="s">
        <v>14</v>
      </c>
      <c r="F289">
        <v>8.6999999999999993</v>
      </c>
      <c r="G289">
        <f>Table1[[#This Row],[sleep_hours]]-Table1[[#This Row],[daily_social_media_hours]]</f>
        <v>6.6999999999999993</v>
      </c>
      <c r="H289">
        <v>1.9</v>
      </c>
      <c r="I289">
        <v>2.2799999999999998</v>
      </c>
      <c r="J289" t="str" cm="1">
        <f t="array" ref="J289">_xlfn.IFS(Table1[[#This Row],[academic_performance]]&gt;1,"Need Improvement",Table1[[#This Row],[academic_performance]]&gt;2,"Good",Table1[[#This Row],[academic_performance]]&gt;3,"Very good",Table1[[#This Row],[academic_performance]]&gt;4,"Excellent")</f>
        <v>Need Improvement</v>
      </c>
      <c r="K289">
        <v>1.2</v>
      </c>
      <c r="L289" t="str">
        <f>IF(Table1[[#This Row],[physical_activity]]&gt;1.9,"better overall ","lower rate of depression")</f>
        <v>lower rate of depression</v>
      </c>
      <c r="M289" t="s">
        <v>19</v>
      </c>
      <c r="N289">
        <v>7</v>
      </c>
      <c r="O289">
        <v>7</v>
      </c>
      <c r="P289">
        <v>9</v>
      </c>
      <c r="Q289">
        <v>0</v>
      </c>
    </row>
    <row r="290" spans="1:17" x14ac:dyDescent="0.3">
      <c r="A290">
        <v>17</v>
      </c>
      <c r="B290" t="s">
        <v>13</v>
      </c>
      <c r="C290" t="str">
        <f>IF(Table1[[#This Row],[age]]&gt;18,"Adult","Teenage")</f>
        <v>Teenage</v>
      </c>
      <c r="D290">
        <v>7.2</v>
      </c>
      <c r="E290" t="s">
        <v>17</v>
      </c>
      <c r="F290">
        <v>8.8000000000000007</v>
      </c>
      <c r="G290">
        <f>Table1[[#This Row],[sleep_hours]]-Table1[[#This Row],[daily_social_media_hours]]</f>
        <v>1.6000000000000005</v>
      </c>
      <c r="H290">
        <v>2.5</v>
      </c>
      <c r="I290">
        <v>3.97</v>
      </c>
      <c r="J290" t="str" cm="1">
        <f t="array" ref="J290">_xlfn.IFS(Table1[[#This Row],[academic_performance]]&gt;1,"Need Improvement",Table1[[#This Row],[academic_performance]]&gt;2,"Good",Table1[[#This Row],[academic_performance]]&gt;3,"Very good",Table1[[#This Row],[academic_performance]]&gt;4,"Excellent")</f>
        <v>Need Improvement</v>
      </c>
      <c r="K290">
        <v>1.9</v>
      </c>
      <c r="L290" t="str">
        <f>IF(Table1[[#This Row],[physical_activity]]&gt;1.9,"better overall ","lower rate of depression")</f>
        <v>lower rate of depression</v>
      </c>
      <c r="M290" t="s">
        <v>15</v>
      </c>
      <c r="N290">
        <v>1</v>
      </c>
      <c r="O290">
        <v>3</v>
      </c>
      <c r="P290">
        <v>9</v>
      </c>
      <c r="Q290">
        <v>0</v>
      </c>
    </row>
    <row r="291" spans="1:17" x14ac:dyDescent="0.3">
      <c r="A291">
        <v>19</v>
      </c>
      <c r="B291" t="s">
        <v>13</v>
      </c>
      <c r="C291" t="str">
        <f>IF(Table1[[#This Row],[age]]&gt;18,"Adult","Teenage")</f>
        <v>Adult</v>
      </c>
      <c r="D291">
        <v>4.4000000000000004</v>
      </c>
      <c r="E291" t="s">
        <v>20</v>
      </c>
      <c r="F291">
        <v>6.4</v>
      </c>
      <c r="G291">
        <f>Table1[[#This Row],[sleep_hours]]-Table1[[#This Row],[daily_social_media_hours]]</f>
        <v>2</v>
      </c>
      <c r="H291">
        <v>0.9</v>
      </c>
      <c r="I291">
        <v>2.72</v>
      </c>
      <c r="J291" t="str" cm="1">
        <f t="array" ref="J291">_xlfn.IFS(Table1[[#This Row],[academic_performance]]&gt;1,"Need Improvement",Table1[[#This Row],[academic_performance]]&gt;2,"Good",Table1[[#This Row],[academic_performance]]&gt;3,"Very good",Table1[[#This Row],[academic_performance]]&gt;4,"Excellent")</f>
        <v>Need Improvement</v>
      </c>
      <c r="K291">
        <v>0.2</v>
      </c>
      <c r="L291" t="str">
        <f>IF(Table1[[#This Row],[physical_activity]]&gt;1.9,"better overall ","lower rate of depression")</f>
        <v>lower rate of depression</v>
      </c>
      <c r="M291" t="s">
        <v>19</v>
      </c>
      <c r="N291">
        <v>6</v>
      </c>
      <c r="O291">
        <v>9</v>
      </c>
      <c r="P291">
        <v>8</v>
      </c>
      <c r="Q291">
        <v>0</v>
      </c>
    </row>
    <row r="292" spans="1:17" x14ac:dyDescent="0.3">
      <c r="A292">
        <v>14</v>
      </c>
      <c r="B292" t="s">
        <v>13</v>
      </c>
      <c r="C292" t="str">
        <f>IF(Table1[[#This Row],[age]]&gt;18,"Adult","Teenage")</f>
        <v>Teenage</v>
      </c>
      <c r="D292">
        <v>7.2</v>
      </c>
      <c r="E292" t="s">
        <v>17</v>
      </c>
      <c r="F292">
        <v>4.8</v>
      </c>
      <c r="G292">
        <f>Table1[[#This Row],[sleep_hours]]-Table1[[#This Row],[daily_social_media_hours]]</f>
        <v>-2.4000000000000004</v>
      </c>
      <c r="H292">
        <v>1.4</v>
      </c>
      <c r="I292">
        <v>2.36</v>
      </c>
      <c r="J292" t="str" cm="1">
        <f t="array" ref="J292">_xlfn.IFS(Table1[[#This Row],[academic_performance]]&gt;1,"Need Improvement",Table1[[#This Row],[academic_performance]]&gt;2,"Good",Table1[[#This Row],[academic_performance]]&gt;3,"Very good",Table1[[#This Row],[academic_performance]]&gt;4,"Excellent")</f>
        <v>Need Improvement</v>
      </c>
      <c r="K292">
        <v>0.1</v>
      </c>
      <c r="L292" t="str">
        <f>IF(Table1[[#This Row],[physical_activity]]&gt;1.9,"better overall ","lower rate of depression")</f>
        <v>lower rate of depression</v>
      </c>
      <c r="M292" t="s">
        <v>15</v>
      </c>
      <c r="N292">
        <v>5</v>
      </c>
      <c r="O292">
        <v>7</v>
      </c>
      <c r="P292">
        <v>1</v>
      </c>
      <c r="Q292">
        <v>0</v>
      </c>
    </row>
    <row r="293" spans="1:17" x14ac:dyDescent="0.3">
      <c r="A293">
        <v>13</v>
      </c>
      <c r="B293" t="s">
        <v>13</v>
      </c>
      <c r="C293" t="str">
        <f>IF(Table1[[#This Row],[age]]&gt;18,"Adult","Teenage")</f>
        <v>Teenage</v>
      </c>
      <c r="D293">
        <v>5.4</v>
      </c>
      <c r="E293" t="s">
        <v>14</v>
      </c>
      <c r="F293">
        <v>6.5</v>
      </c>
      <c r="G293">
        <f>Table1[[#This Row],[sleep_hours]]-Table1[[#This Row],[daily_social_media_hours]]</f>
        <v>1.0999999999999996</v>
      </c>
      <c r="H293">
        <v>0.8</v>
      </c>
      <c r="I293">
        <v>3.17</v>
      </c>
      <c r="J293" t="str" cm="1">
        <f t="array" ref="J293">_xlfn.IFS(Table1[[#This Row],[academic_performance]]&gt;1,"Need Improvement",Table1[[#This Row],[academic_performance]]&gt;2,"Good",Table1[[#This Row],[academic_performance]]&gt;3,"Very good",Table1[[#This Row],[academic_performance]]&gt;4,"Excellent")</f>
        <v>Need Improvement</v>
      </c>
      <c r="K293">
        <v>0.3</v>
      </c>
      <c r="L293" t="str">
        <f>IF(Table1[[#This Row],[physical_activity]]&gt;1.9,"better overall ","lower rate of depression")</f>
        <v>lower rate of depression</v>
      </c>
      <c r="M293" t="s">
        <v>19</v>
      </c>
      <c r="N293">
        <v>10</v>
      </c>
      <c r="O293">
        <v>3</v>
      </c>
      <c r="P293">
        <v>3</v>
      </c>
      <c r="Q293">
        <v>0</v>
      </c>
    </row>
    <row r="294" spans="1:17" x14ac:dyDescent="0.3">
      <c r="A294">
        <v>16</v>
      </c>
      <c r="B294" t="s">
        <v>13</v>
      </c>
      <c r="C294" t="str">
        <f>IF(Table1[[#This Row],[age]]&gt;18,"Adult","Teenage")</f>
        <v>Teenage</v>
      </c>
      <c r="D294">
        <v>1.5</v>
      </c>
      <c r="E294" t="s">
        <v>17</v>
      </c>
      <c r="F294">
        <v>4.0999999999999996</v>
      </c>
      <c r="G294">
        <f>Table1[[#This Row],[sleep_hours]]-Table1[[#This Row],[daily_social_media_hours]]</f>
        <v>2.5999999999999996</v>
      </c>
      <c r="H294">
        <v>1.3</v>
      </c>
      <c r="I294">
        <v>3.67</v>
      </c>
      <c r="J294" t="str" cm="1">
        <f t="array" ref="J294">_xlfn.IFS(Table1[[#This Row],[academic_performance]]&gt;1,"Need Improvement",Table1[[#This Row],[academic_performance]]&gt;2,"Good",Table1[[#This Row],[academic_performance]]&gt;3,"Very good",Table1[[#This Row],[academic_performance]]&gt;4,"Excellent")</f>
        <v>Need Improvement</v>
      </c>
      <c r="K294">
        <v>1.2</v>
      </c>
      <c r="L294" t="str">
        <f>IF(Table1[[#This Row],[physical_activity]]&gt;1.9,"better overall ","lower rate of depression")</f>
        <v>lower rate of depression</v>
      </c>
      <c r="M294" t="s">
        <v>18</v>
      </c>
      <c r="N294">
        <v>10</v>
      </c>
      <c r="O294">
        <v>6</v>
      </c>
      <c r="P294">
        <v>6</v>
      </c>
      <c r="Q294">
        <v>0</v>
      </c>
    </row>
    <row r="295" spans="1:17" x14ac:dyDescent="0.3">
      <c r="A295">
        <v>15</v>
      </c>
      <c r="B295" t="s">
        <v>16</v>
      </c>
      <c r="C295" t="str">
        <f>IF(Table1[[#This Row],[age]]&gt;18,"Adult","Teenage")</f>
        <v>Teenage</v>
      </c>
      <c r="D295">
        <v>1.8</v>
      </c>
      <c r="E295" t="s">
        <v>14</v>
      </c>
      <c r="F295">
        <v>8</v>
      </c>
      <c r="G295">
        <f>Table1[[#This Row],[sleep_hours]]-Table1[[#This Row],[daily_social_media_hours]]</f>
        <v>6.2</v>
      </c>
      <c r="H295">
        <v>2.8</v>
      </c>
      <c r="I295">
        <v>3.49</v>
      </c>
      <c r="J295" t="str" cm="1">
        <f t="array" ref="J295">_xlfn.IFS(Table1[[#This Row],[academic_performance]]&gt;1,"Need Improvement",Table1[[#This Row],[academic_performance]]&gt;2,"Good",Table1[[#This Row],[academic_performance]]&gt;3,"Very good",Table1[[#This Row],[academic_performance]]&gt;4,"Excellent")</f>
        <v>Need Improvement</v>
      </c>
      <c r="K295">
        <v>0.6</v>
      </c>
      <c r="L295" t="str">
        <f>IF(Table1[[#This Row],[physical_activity]]&gt;1.9,"better overall ","lower rate of depression")</f>
        <v>lower rate of depression</v>
      </c>
      <c r="M295" t="s">
        <v>15</v>
      </c>
      <c r="N295">
        <v>9</v>
      </c>
      <c r="O295">
        <v>8</v>
      </c>
      <c r="P295">
        <v>8</v>
      </c>
      <c r="Q295">
        <v>0</v>
      </c>
    </row>
    <row r="296" spans="1:17" x14ac:dyDescent="0.3">
      <c r="A296">
        <v>17</v>
      </c>
      <c r="B296" t="s">
        <v>16</v>
      </c>
      <c r="C296" t="str">
        <f>IF(Table1[[#This Row],[age]]&gt;18,"Adult","Teenage")</f>
        <v>Teenage</v>
      </c>
      <c r="D296">
        <v>3.7</v>
      </c>
      <c r="E296" t="s">
        <v>17</v>
      </c>
      <c r="F296">
        <v>5.3</v>
      </c>
      <c r="G296">
        <f>Table1[[#This Row],[sleep_hours]]-Table1[[#This Row],[daily_social_media_hours]]</f>
        <v>1.5999999999999996</v>
      </c>
      <c r="H296">
        <v>0.7</v>
      </c>
      <c r="I296">
        <v>2.09</v>
      </c>
      <c r="J296" t="str" cm="1">
        <f t="array" ref="J296">_xlfn.IFS(Table1[[#This Row],[academic_performance]]&gt;1,"Need Improvement",Table1[[#This Row],[academic_performance]]&gt;2,"Good",Table1[[#This Row],[academic_performance]]&gt;3,"Very good",Table1[[#This Row],[academic_performance]]&gt;4,"Excellent")</f>
        <v>Need Improvement</v>
      </c>
      <c r="K296">
        <v>0.8</v>
      </c>
      <c r="L296" t="str">
        <f>IF(Table1[[#This Row],[physical_activity]]&gt;1.9,"better overall ","lower rate of depression")</f>
        <v>lower rate of depression</v>
      </c>
      <c r="M296" t="s">
        <v>18</v>
      </c>
      <c r="N296">
        <v>8</v>
      </c>
      <c r="O296">
        <v>8</v>
      </c>
      <c r="P296">
        <v>10</v>
      </c>
      <c r="Q296">
        <v>0</v>
      </c>
    </row>
    <row r="297" spans="1:17" x14ac:dyDescent="0.3">
      <c r="A297">
        <v>13</v>
      </c>
      <c r="B297" t="s">
        <v>13</v>
      </c>
      <c r="C297" t="str">
        <f>IF(Table1[[#This Row],[age]]&gt;18,"Adult","Teenage")</f>
        <v>Teenage</v>
      </c>
      <c r="D297">
        <v>6.4</v>
      </c>
      <c r="E297" t="s">
        <v>20</v>
      </c>
      <c r="F297">
        <v>8.3000000000000007</v>
      </c>
      <c r="G297">
        <f>Table1[[#This Row],[sleep_hours]]-Table1[[#This Row],[daily_social_media_hours]]</f>
        <v>1.9000000000000004</v>
      </c>
      <c r="H297">
        <v>1.3</v>
      </c>
      <c r="I297">
        <v>2.21</v>
      </c>
      <c r="J297" t="str" cm="1">
        <f t="array" ref="J297">_xlfn.IFS(Table1[[#This Row],[academic_performance]]&gt;1,"Need Improvement",Table1[[#This Row],[academic_performance]]&gt;2,"Good",Table1[[#This Row],[academic_performance]]&gt;3,"Very good",Table1[[#This Row],[academic_performance]]&gt;4,"Excellent")</f>
        <v>Need Improvement</v>
      </c>
      <c r="K297">
        <v>1.2</v>
      </c>
      <c r="L297" t="str">
        <f>IF(Table1[[#This Row],[physical_activity]]&gt;1.9,"better overall ","lower rate of depression")</f>
        <v>lower rate of depression</v>
      </c>
      <c r="M297" t="s">
        <v>18</v>
      </c>
      <c r="N297">
        <v>4</v>
      </c>
      <c r="O297">
        <v>5</v>
      </c>
      <c r="P297">
        <v>9</v>
      </c>
      <c r="Q297">
        <v>0</v>
      </c>
    </row>
    <row r="298" spans="1:17" x14ac:dyDescent="0.3">
      <c r="A298">
        <v>19</v>
      </c>
      <c r="B298" t="s">
        <v>13</v>
      </c>
      <c r="C298" t="str">
        <f>IF(Table1[[#This Row],[age]]&gt;18,"Adult","Teenage")</f>
        <v>Adult</v>
      </c>
      <c r="D298">
        <v>6.4</v>
      </c>
      <c r="E298" t="s">
        <v>20</v>
      </c>
      <c r="F298">
        <v>6.7</v>
      </c>
      <c r="G298">
        <f>Table1[[#This Row],[sleep_hours]]-Table1[[#This Row],[daily_social_media_hours]]</f>
        <v>0.29999999999999982</v>
      </c>
      <c r="H298">
        <v>2.4</v>
      </c>
      <c r="I298">
        <v>2.2000000000000002</v>
      </c>
      <c r="J298" t="str" cm="1">
        <f t="array" ref="J298">_xlfn.IFS(Table1[[#This Row],[academic_performance]]&gt;1,"Need Improvement",Table1[[#This Row],[academic_performance]]&gt;2,"Good",Table1[[#This Row],[academic_performance]]&gt;3,"Very good",Table1[[#This Row],[academic_performance]]&gt;4,"Excellent")</f>
        <v>Need Improvement</v>
      </c>
      <c r="K298">
        <v>1.3</v>
      </c>
      <c r="L298" t="str">
        <f>IF(Table1[[#This Row],[physical_activity]]&gt;1.9,"better overall ","lower rate of depression")</f>
        <v>lower rate of depression</v>
      </c>
      <c r="M298" t="s">
        <v>15</v>
      </c>
      <c r="N298">
        <v>5</v>
      </c>
      <c r="O298">
        <v>2</v>
      </c>
      <c r="P298">
        <v>2</v>
      </c>
      <c r="Q298">
        <v>0</v>
      </c>
    </row>
    <row r="299" spans="1:17" x14ac:dyDescent="0.3">
      <c r="A299">
        <v>17</v>
      </c>
      <c r="B299" t="s">
        <v>16</v>
      </c>
      <c r="C299" t="str">
        <f>IF(Table1[[#This Row],[age]]&gt;18,"Adult","Teenage")</f>
        <v>Teenage</v>
      </c>
      <c r="D299">
        <v>1.1000000000000001</v>
      </c>
      <c r="E299" t="s">
        <v>14</v>
      </c>
      <c r="F299">
        <v>9</v>
      </c>
      <c r="G299">
        <f>Table1[[#This Row],[sleep_hours]]-Table1[[#This Row],[daily_social_media_hours]]</f>
        <v>7.9</v>
      </c>
      <c r="H299">
        <v>2.9</v>
      </c>
      <c r="I299">
        <v>2.74</v>
      </c>
      <c r="J299" t="str" cm="1">
        <f t="array" ref="J299">_xlfn.IFS(Table1[[#This Row],[academic_performance]]&gt;1,"Need Improvement",Table1[[#This Row],[academic_performance]]&gt;2,"Good",Table1[[#This Row],[academic_performance]]&gt;3,"Very good",Table1[[#This Row],[academic_performance]]&gt;4,"Excellent")</f>
        <v>Need Improvement</v>
      </c>
      <c r="K299">
        <v>1</v>
      </c>
      <c r="L299" t="str">
        <f>IF(Table1[[#This Row],[physical_activity]]&gt;1.9,"better overall ","lower rate of depression")</f>
        <v>lower rate of depression</v>
      </c>
      <c r="M299" t="s">
        <v>19</v>
      </c>
      <c r="N299">
        <v>2</v>
      </c>
      <c r="O299">
        <v>8</v>
      </c>
      <c r="P299">
        <v>2</v>
      </c>
      <c r="Q299">
        <v>0</v>
      </c>
    </row>
    <row r="300" spans="1:17" x14ac:dyDescent="0.3">
      <c r="A300">
        <v>13</v>
      </c>
      <c r="B300" t="s">
        <v>13</v>
      </c>
      <c r="C300" t="str">
        <f>IF(Table1[[#This Row],[age]]&gt;18,"Adult","Teenage")</f>
        <v>Teenage</v>
      </c>
      <c r="D300">
        <v>1.3</v>
      </c>
      <c r="E300" t="s">
        <v>17</v>
      </c>
      <c r="F300">
        <v>7.8</v>
      </c>
      <c r="G300">
        <f>Table1[[#This Row],[sleep_hours]]-Table1[[#This Row],[daily_social_media_hours]]</f>
        <v>6.5</v>
      </c>
      <c r="H300">
        <v>2.6</v>
      </c>
      <c r="I300">
        <v>3.01</v>
      </c>
      <c r="J300" t="str" cm="1">
        <f t="array" ref="J300">_xlfn.IFS(Table1[[#This Row],[academic_performance]]&gt;1,"Need Improvement",Table1[[#This Row],[academic_performance]]&gt;2,"Good",Table1[[#This Row],[academic_performance]]&gt;3,"Very good",Table1[[#This Row],[academic_performance]]&gt;4,"Excellent")</f>
        <v>Need Improvement</v>
      </c>
      <c r="K300">
        <v>0.3</v>
      </c>
      <c r="L300" t="str">
        <f>IF(Table1[[#This Row],[physical_activity]]&gt;1.9,"better overall ","lower rate of depression")</f>
        <v>lower rate of depression</v>
      </c>
      <c r="M300" t="s">
        <v>15</v>
      </c>
      <c r="N300">
        <v>2</v>
      </c>
      <c r="O300">
        <v>9</v>
      </c>
      <c r="P300">
        <v>10</v>
      </c>
      <c r="Q300">
        <v>0</v>
      </c>
    </row>
    <row r="301" spans="1:17" x14ac:dyDescent="0.3">
      <c r="A301">
        <v>17</v>
      </c>
      <c r="B301" t="s">
        <v>16</v>
      </c>
      <c r="C301" t="str">
        <f>IF(Table1[[#This Row],[age]]&gt;18,"Adult","Teenage")</f>
        <v>Teenage</v>
      </c>
      <c r="D301">
        <v>4.4000000000000004</v>
      </c>
      <c r="E301" t="s">
        <v>14</v>
      </c>
      <c r="F301">
        <v>6</v>
      </c>
      <c r="G301">
        <f>Table1[[#This Row],[sleep_hours]]-Table1[[#This Row],[daily_social_media_hours]]</f>
        <v>1.5999999999999996</v>
      </c>
      <c r="H301">
        <v>1.2</v>
      </c>
      <c r="I301">
        <v>2.48</v>
      </c>
      <c r="J301" t="str" cm="1">
        <f t="array" ref="J301">_xlfn.IFS(Table1[[#This Row],[academic_performance]]&gt;1,"Need Improvement",Table1[[#This Row],[academic_performance]]&gt;2,"Good",Table1[[#This Row],[academic_performance]]&gt;3,"Very good",Table1[[#This Row],[academic_performance]]&gt;4,"Excellent")</f>
        <v>Need Improvement</v>
      </c>
      <c r="K301">
        <v>0.9</v>
      </c>
      <c r="L301" t="str">
        <f>IF(Table1[[#This Row],[physical_activity]]&gt;1.9,"better overall ","lower rate of depression")</f>
        <v>lower rate of depression</v>
      </c>
      <c r="M301" t="s">
        <v>19</v>
      </c>
      <c r="N301">
        <v>6</v>
      </c>
      <c r="O301">
        <v>2</v>
      </c>
      <c r="P301">
        <v>6</v>
      </c>
      <c r="Q301">
        <v>0</v>
      </c>
    </row>
    <row r="302" spans="1:17" x14ac:dyDescent="0.3">
      <c r="A302">
        <v>13</v>
      </c>
      <c r="B302" t="s">
        <v>13</v>
      </c>
      <c r="C302" t="str">
        <f>IF(Table1[[#This Row],[age]]&gt;18,"Adult","Teenage")</f>
        <v>Teenage</v>
      </c>
      <c r="D302">
        <v>7.8</v>
      </c>
      <c r="E302" t="s">
        <v>14</v>
      </c>
      <c r="F302">
        <v>5</v>
      </c>
      <c r="G302">
        <f>Table1[[#This Row],[sleep_hours]]-Table1[[#This Row],[daily_social_media_hours]]</f>
        <v>-2.8</v>
      </c>
      <c r="H302">
        <v>1.8</v>
      </c>
      <c r="I302">
        <v>3.57</v>
      </c>
      <c r="J302" t="str" cm="1">
        <f t="array" ref="J302">_xlfn.IFS(Table1[[#This Row],[academic_performance]]&gt;1,"Need Improvement",Table1[[#This Row],[academic_performance]]&gt;2,"Good",Table1[[#This Row],[academic_performance]]&gt;3,"Very good",Table1[[#This Row],[academic_performance]]&gt;4,"Excellent")</f>
        <v>Need Improvement</v>
      </c>
      <c r="K302">
        <v>1.5</v>
      </c>
      <c r="L302" t="str">
        <f>IF(Table1[[#This Row],[physical_activity]]&gt;1.9,"better overall ","lower rate of depression")</f>
        <v>lower rate of depression</v>
      </c>
      <c r="M302" t="s">
        <v>19</v>
      </c>
      <c r="N302">
        <v>8</v>
      </c>
      <c r="O302">
        <v>10</v>
      </c>
      <c r="P302">
        <v>3</v>
      </c>
      <c r="Q302">
        <v>1</v>
      </c>
    </row>
    <row r="303" spans="1:17" x14ac:dyDescent="0.3">
      <c r="A303">
        <v>14</v>
      </c>
      <c r="B303" t="s">
        <v>16</v>
      </c>
      <c r="C303" t="str">
        <f>IF(Table1[[#This Row],[age]]&gt;18,"Adult","Teenage")</f>
        <v>Teenage</v>
      </c>
      <c r="D303">
        <v>6.9</v>
      </c>
      <c r="E303" t="s">
        <v>17</v>
      </c>
      <c r="F303">
        <v>6.4</v>
      </c>
      <c r="G303">
        <f>Table1[[#This Row],[sleep_hours]]-Table1[[#This Row],[daily_social_media_hours]]</f>
        <v>-0.5</v>
      </c>
      <c r="H303">
        <v>0.9</v>
      </c>
      <c r="I303">
        <v>2.04</v>
      </c>
      <c r="J303" t="str" cm="1">
        <f t="array" ref="J303">_xlfn.IFS(Table1[[#This Row],[academic_performance]]&gt;1,"Need Improvement",Table1[[#This Row],[academic_performance]]&gt;2,"Good",Table1[[#This Row],[academic_performance]]&gt;3,"Very good",Table1[[#This Row],[academic_performance]]&gt;4,"Excellent")</f>
        <v>Need Improvement</v>
      </c>
      <c r="K303">
        <v>1.3</v>
      </c>
      <c r="L303" t="str">
        <f>IF(Table1[[#This Row],[physical_activity]]&gt;1.9,"better overall ","lower rate of depression")</f>
        <v>lower rate of depression</v>
      </c>
      <c r="M303" t="s">
        <v>19</v>
      </c>
      <c r="N303">
        <v>5</v>
      </c>
      <c r="O303">
        <v>5</v>
      </c>
      <c r="P303">
        <v>9</v>
      </c>
      <c r="Q303">
        <v>0</v>
      </c>
    </row>
    <row r="304" spans="1:17" x14ac:dyDescent="0.3">
      <c r="A304">
        <v>14</v>
      </c>
      <c r="B304" t="s">
        <v>16</v>
      </c>
      <c r="C304" t="str">
        <f>IF(Table1[[#This Row],[age]]&gt;18,"Adult","Teenage")</f>
        <v>Teenage</v>
      </c>
      <c r="D304">
        <v>4.8</v>
      </c>
      <c r="E304" t="s">
        <v>14</v>
      </c>
      <c r="F304">
        <v>6.8</v>
      </c>
      <c r="G304">
        <f>Table1[[#This Row],[sleep_hours]]-Table1[[#This Row],[daily_social_media_hours]]</f>
        <v>2</v>
      </c>
      <c r="H304">
        <v>0.8</v>
      </c>
      <c r="I304">
        <v>3</v>
      </c>
      <c r="J304" t="str" cm="1">
        <f t="array" ref="J304">_xlfn.IFS(Table1[[#This Row],[academic_performance]]&gt;1,"Need Improvement",Table1[[#This Row],[academic_performance]]&gt;2,"Good",Table1[[#This Row],[academic_performance]]&gt;3,"Very good",Table1[[#This Row],[academic_performance]]&gt;4,"Excellent")</f>
        <v>Need Improvement</v>
      </c>
      <c r="K304">
        <v>0.9</v>
      </c>
      <c r="L304" t="str">
        <f>IF(Table1[[#This Row],[physical_activity]]&gt;1.9,"better overall ","lower rate of depression")</f>
        <v>lower rate of depression</v>
      </c>
      <c r="M304" t="s">
        <v>15</v>
      </c>
      <c r="N304">
        <v>4</v>
      </c>
      <c r="O304">
        <v>3</v>
      </c>
      <c r="P304">
        <v>4</v>
      </c>
      <c r="Q304">
        <v>0</v>
      </c>
    </row>
    <row r="305" spans="1:17" x14ac:dyDescent="0.3">
      <c r="A305">
        <v>13</v>
      </c>
      <c r="B305" t="s">
        <v>13</v>
      </c>
      <c r="C305" t="str">
        <f>IF(Table1[[#This Row],[age]]&gt;18,"Adult","Teenage")</f>
        <v>Teenage</v>
      </c>
      <c r="D305">
        <v>7.5</v>
      </c>
      <c r="E305" t="s">
        <v>14</v>
      </c>
      <c r="F305">
        <v>8.6</v>
      </c>
      <c r="G305">
        <f>Table1[[#This Row],[sleep_hours]]-Table1[[#This Row],[daily_social_media_hours]]</f>
        <v>1.0999999999999996</v>
      </c>
      <c r="H305">
        <v>1.9</v>
      </c>
      <c r="I305">
        <v>3.33</v>
      </c>
      <c r="J305" t="str" cm="1">
        <f t="array" ref="J305">_xlfn.IFS(Table1[[#This Row],[academic_performance]]&gt;1,"Need Improvement",Table1[[#This Row],[academic_performance]]&gt;2,"Good",Table1[[#This Row],[academic_performance]]&gt;3,"Very good",Table1[[#This Row],[academic_performance]]&gt;4,"Excellent")</f>
        <v>Need Improvement</v>
      </c>
      <c r="K305">
        <v>0.9</v>
      </c>
      <c r="L305" t="str">
        <f>IF(Table1[[#This Row],[physical_activity]]&gt;1.9,"better overall ","lower rate of depression")</f>
        <v>lower rate of depression</v>
      </c>
      <c r="M305" t="s">
        <v>19</v>
      </c>
      <c r="N305">
        <v>7</v>
      </c>
      <c r="O305">
        <v>3</v>
      </c>
      <c r="P305">
        <v>10</v>
      </c>
      <c r="Q305">
        <v>0</v>
      </c>
    </row>
    <row r="306" spans="1:17" x14ac:dyDescent="0.3">
      <c r="A306">
        <v>15</v>
      </c>
      <c r="B306" t="s">
        <v>16</v>
      </c>
      <c r="C306" t="str">
        <f>IF(Table1[[#This Row],[age]]&gt;18,"Adult","Teenage")</f>
        <v>Teenage</v>
      </c>
      <c r="D306">
        <v>6.7</v>
      </c>
      <c r="E306" t="s">
        <v>14</v>
      </c>
      <c r="F306">
        <v>7</v>
      </c>
      <c r="G306">
        <f>Table1[[#This Row],[sleep_hours]]-Table1[[#This Row],[daily_social_media_hours]]</f>
        <v>0.29999999999999982</v>
      </c>
      <c r="H306">
        <v>2.2000000000000002</v>
      </c>
      <c r="I306">
        <v>2.61</v>
      </c>
      <c r="J306" t="str" cm="1">
        <f t="array" ref="J306">_xlfn.IFS(Table1[[#This Row],[academic_performance]]&gt;1,"Need Improvement",Table1[[#This Row],[academic_performance]]&gt;2,"Good",Table1[[#This Row],[academic_performance]]&gt;3,"Very good",Table1[[#This Row],[academic_performance]]&gt;4,"Excellent")</f>
        <v>Need Improvement</v>
      </c>
      <c r="K306">
        <v>0.7</v>
      </c>
      <c r="L306" t="str">
        <f>IF(Table1[[#This Row],[physical_activity]]&gt;1.9,"better overall ","lower rate of depression")</f>
        <v>lower rate of depression</v>
      </c>
      <c r="M306" t="s">
        <v>18</v>
      </c>
      <c r="N306">
        <v>2</v>
      </c>
      <c r="O306">
        <v>7</v>
      </c>
      <c r="P306">
        <v>8</v>
      </c>
      <c r="Q306">
        <v>0</v>
      </c>
    </row>
    <row r="307" spans="1:17" x14ac:dyDescent="0.3">
      <c r="A307">
        <v>14</v>
      </c>
      <c r="B307" t="s">
        <v>13</v>
      </c>
      <c r="C307" t="str">
        <f>IF(Table1[[#This Row],[age]]&gt;18,"Adult","Teenage")</f>
        <v>Teenage</v>
      </c>
      <c r="D307">
        <v>3.8</v>
      </c>
      <c r="E307" t="s">
        <v>14</v>
      </c>
      <c r="F307">
        <v>4.8</v>
      </c>
      <c r="G307">
        <f>Table1[[#This Row],[sleep_hours]]-Table1[[#This Row],[daily_social_media_hours]]</f>
        <v>1</v>
      </c>
      <c r="H307">
        <v>1.9</v>
      </c>
      <c r="I307">
        <v>3.97</v>
      </c>
      <c r="J307" t="str" cm="1">
        <f t="array" ref="J307">_xlfn.IFS(Table1[[#This Row],[academic_performance]]&gt;1,"Need Improvement",Table1[[#This Row],[academic_performance]]&gt;2,"Good",Table1[[#This Row],[academic_performance]]&gt;3,"Very good",Table1[[#This Row],[academic_performance]]&gt;4,"Excellent")</f>
        <v>Need Improvement</v>
      </c>
      <c r="K307">
        <v>0.2</v>
      </c>
      <c r="L307" t="str">
        <f>IF(Table1[[#This Row],[physical_activity]]&gt;1.9,"better overall ","lower rate of depression")</f>
        <v>lower rate of depression</v>
      </c>
      <c r="M307" t="s">
        <v>18</v>
      </c>
      <c r="N307">
        <v>4</v>
      </c>
      <c r="O307">
        <v>6</v>
      </c>
      <c r="P307">
        <v>6</v>
      </c>
      <c r="Q307">
        <v>0</v>
      </c>
    </row>
    <row r="308" spans="1:17" x14ac:dyDescent="0.3">
      <c r="A308">
        <v>15</v>
      </c>
      <c r="B308" t="s">
        <v>13</v>
      </c>
      <c r="C308" t="str">
        <f>IF(Table1[[#This Row],[age]]&gt;18,"Adult","Teenage")</f>
        <v>Teenage</v>
      </c>
      <c r="D308">
        <v>3</v>
      </c>
      <c r="E308" t="s">
        <v>14</v>
      </c>
      <c r="F308">
        <v>8.6</v>
      </c>
      <c r="G308">
        <f>Table1[[#This Row],[sleep_hours]]-Table1[[#This Row],[daily_social_media_hours]]</f>
        <v>5.6</v>
      </c>
      <c r="H308">
        <v>1.5</v>
      </c>
      <c r="I308">
        <v>3.27</v>
      </c>
      <c r="J308" t="str" cm="1">
        <f t="array" ref="J308">_xlfn.IFS(Table1[[#This Row],[academic_performance]]&gt;1,"Need Improvement",Table1[[#This Row],[academic_performance]]&gt;2,"Good",Table1[[#This Row],[academic_performance]]&gt;3,"Very good",Table1[[#This Row],[academic_performance]]&gt;4,"Excellent")</f>
        <v>Need Improvement</v>
      </c>
      <c r="K308">
        <v>0.8</v>
      </c>
      <c r="L308" t="str">
        <f>IF(Table1[[#This Row],[physical_activity]]&gt;1.9,"better overall ","lower rate of depression")</f>
        <v>lower rate of depression</v>
      </c>
      <c r="M308" t="s">
        <v>19</v>
      </c>
      <c r="N308">
        <v>10</v>
      </c>
      <c r="O308">
        <v>10</v>
      </c>
      <c r="P308">
        <v>4</v>
      </c>
      <c r="Q308">
        <v>0</v>
      </c>
    </row>
    <row r="309" spans="1:17" x14ac:dyDescent="0.3">
      <c r="A309">
        <v>17</v>
      </c>
      <c r="B309" t="s">
        <v>13</v>
      </c>
      <c r="C309" t="str">
        <f>IF(Table1[[#This Row],[age]]&gt;18,"Adult","Teenage")</f>
        <v>Teenage</v>
      </c>
      <c r="D309">
        <v>7.8</v>
      </c>
      <c r="E309" t="s">
        <v>17</v>
      </c>
      <c r="F309">
        <v>7.1</v>
      </c>
      <c r="G309">
        <f>Table1[[#This Row],[sleep_hours]]-Table1[[#This Row],[daily_social_media_hours]]</f>
        <v>-0.70000000000000018</v>
      </c>
      <c r="H309">
        <v>0.8</v>
      </c>
      <c r="I309">
        <v>2.79</v>
      </c>
      <c r="J309" t="str" cm="1">
        <f t="array" ref="J309">_xlfn.IFS(Table1[[#This Row],[academic_performance]]&gt;1,"Need Improvement",Table1[[#This Row],[academic_performance]]&gt;2,"Good",Table1[[#This Row],[academic_performance]]&gt;3,"Very good",Table1[[#This Row],[academic_performance]]&gt;4,"Excellent")</f>
        <v>Need Improvement</v>
      </c>
      <c r="K309">
        <v>1.4</v>
      </c>
      <c r="L309" t="str">
        <f>IF(Table1[[#This Row],[physical_activity]]&gt;1.9,"better overall ","lower rate of depression")</f>
        <v>lower rate of depression</v>
      </c>
      <c r="M309" t="s">
        <v>19</v>
      </c>
      <c r="N309">
        <v>9</v>
      </c>
      <c r="O309">
        <v>4</v>
      </c>
      <c r="P309">
        <v>2</v>
      </c>
      <c r="Q309">
        <v>0</v>
      </c>
    </row>
    <row r="310" spans="1:17" x14ac:dyDescent="0.3">
      <c r="A310">
        <v>14</v>
      </c>
      <c r="B310" t="s">
        <v>16</v>
      </c>
      <c r="C310" t="str">
        <f>IF(Table1[[#This Row],[age]]&gt;18,"Adult","Teenage")</f>
        <v>Teenage</v>
      </c>
      <c r="D310">
        <v>7.8</v>
      </c>
      <c r="E310" t="s">
        <v>14</v>
      </c>
      <c r="F310">
        <v>4.3</v>
      </c>
      <c r="G310">
        <f>Table1[[#This Row],[sleep_hours]]-Table1[[#This Row],[daily_social_media_hours]]</f>
        <v>-3.5</v>
      </c>
      <c r="H310">
        <v>2.6</v>
      </c>
      <c r="I310">
        <v>3.33</v>
      </c>
      <c r="J310" t="str" cm="1">
        <f t="array" ref="J310">_xlfn.IFS(Table1[[#This Row],[academic_performance]]&gt;1,"Need Improvement",Table1[[#This Row],[academic_performance]]&gt;2,"Good",Table1[[#This Row],[academic_performance]]&gt;3,"Very good",Table1[[#This Row],[academic_performance]]&gt;4,"Excellent")</f>
        <v>Need Improvement</v>
      </c>
      <c r="K310">
        <v>2</v>
      </c>
      <c r="L310" t="str">
        <f>IF(Table1[[#This Row],[physical_activity]]&gt;1.9,"better overall ","lower rate of depression")</f>
        <v xml:space="preserve">better overall </v>
      </c>
      <c r="M310" t="s">
        <v>18</v>
      </c>
      <c r="N310">
        <v>3</v>
      </c>
      <c r="O310">
        <v>7</v>
      </c>
      <c r="P310">
        <v>3</v>
      </c>
      <c r="Q310">
        <v>0</v>
      </c>
    </row>
    <row r="311" spans="1:17" x14ac:dyDescent="0.3">
      <c r="A311">
        <v>15</v>
      </c>
      <c r="B311" t="s">
        <v>16</v>
      </c>
      <c r="C311" t="str">
        <f>IF(Table1[[#This Row],[age]]&gt;18,"Adult","Teenage")</f>
        <v>Teenage</v>
      </c>
      <c r="D311">
        <v>6.6</v>
      </c>
      <c r="E311" t="s">
        <v>17</v>
      </c>
      <c r="F311">
        <v>9</v>
      </c>
      <c r="G311">
        <f>Table1[[#This Row],[sleep_hours]]-Table1[[#This Row],[daily_social_media_hours]]</f>
        <v>2.4000000000000004</v>
      </c>
      <c r="H311">
        <v>1.5</v>
      </c>
      <c r="I311">
        <v>3.04</v>
      </c>
      <c r="J311" t="str" cm="1">
        <f t="array" ref="J311">_xlfn.IFS(Table1[[#This Row],[academic_performance]]&gt;1,"Need Improvement",Table1[[#This Row],[academic_performance]]&gt;2,"Good",Table1[[#This Row],[academic_performance]]&gt;3,"Very good",Table1[[#This Row],[academic_performance]]&gt;4,"Excellent")</f>
        <v>Need Improvement</v>
      </c>
      <c r="K311">
        <v>1.5</v>
      </c>
      <c r="L311" t="str">
        <f>IF(Table1[[#This Row],[physical_activity]]&gt;1.9,"better overall ","lower rate of depression")</f>
        <v>lower rate of depression</v>
      </c>
      <c r="M311" t="s">
        <v>15</v>
      </c>
      <c r="N311">
        <v>4</v>
      </c>
      <c r="O311">
        <v>2</v>
      </c>
      <c r="P311">
        <v>7</v>
      </c>
      <c r="Q311">
        <v>0</v>
      </c>
    </row>
    <row r="312" spans="1:17" x14ac:dyDescent="0.3">
      <c r="A312">
        <v>13</v>
      </c>
      <c r="B312" t="s">
        <v>16</v>
      </c>
      <c r="C312" t="str">
        <f>IF(Table1[[#This Row],[age]]&gt;18,"Adult","Teenage")</f>
        <v>Teenage</v>
      </c>
      <c r="D312">
        <v>7.3</v>
      </c>
      <c r="E312" t="s">
        <v>14</v>
      </c>
      <c r="F312">
        <v>6.4</v>
      </c>
      <c r="G312">
        <f>Table1[[#This Row],[sleep_hours]]-Table1[[#This Row],[daily_social_media_hours]]</f>
        <v>-0.89999999999999947</v>
      </c>
      <c r="H312">
        <v>2.2999999999999998</v>
      </c>
      <c r="I312">
        <v>2.5299999999999998</v>
      </c>
      <c r="J312" t="str" cm="1">
        <f t="array" ref="J312">_xlfn.IFS(Table1[[#This Row],[academic_performance]]&gt;1,"Need Improvement",Table1[[#This Row],[academic_performance]]&gt;2,"Good",Table1[[#This Row],[academic_performance]]&gt;3,"Very good",Table1[[#This Row],[academic_performance]]&gt;4,"Excellent")</f>
        <v>Need Improvement</v>
      </c>
      <c r="K312">
        <v>0.7</v>
      </c>
      <c r="L312" t="str">
        <f>IF(Table1[[#This Row],[physical_activity]]&gt;1.9,"better overall ","lower rate of depression")</f>
        <v>lower rate of depression</v>
      </c>
      <c r="M312" t="s">
        <v>15</v>
      </c>
      <c r="N312">
        <v>9</v>
      </c>
      <c r="O312">
        <v>9</v>
      </c>
      <c r="P312">
        <v>4</v>
      </c>
      <c r="Q312">
        <v>0</v>
      </c>
    </row>
    <row r="313" spans="1:17" x14ac:dyDescent="0.3">
      <c r="A313">
        <v>19</v>
      </c>
      <c r="B313" t="s">
        <v>13</v>
      </c>
      <c r="C313" t="str">
        <f>IF(Table1[[#This Row],[age]]&gt;18,"Adult","Teenage")</f>
        <v>Adult</v>
      </c>
      <c r="D313">
        <v>6.6</v>
      </c>
      <c r="E313" t="s">
        <v>14</v>
      </c>
      <c r="F313">
        <v>4.4000000000000004</v>
      </c>
      <c r="G313">
        <f>Table1[[#This Row],[sleep_hours]]-Table1[[#This Row],[daily_social_media_hours]]</f>
        <v>-2.1999999999999993</v>
      </c>
      <c r="H313">
        <v>1.1000000000000001</v>
      </c>
      <c r="I313">
        <v>2.29</v>
      </c>
      <c r="J313" t="str" cm="1">
        <f t="array" ref="J313">_xlfn.IFS(Table1[[#This Row],[academic_performance]]&gt;1,"Need Improvement",Table1[[#This Row],[academic_performance]]&gt;2,"Good",Table1[[#This Row],[academic_performance]]&gt;3,"Very good",Table1[[#This Row],[academic_performance]]&gt;4,"Excellent")</f>
        <v>Need Improvement</v>
      </c>
      <c r="K313">
        <v>1</v>
      </c>
      <c r="L313" t="str">
        <f>IF(Table1[[#This Row],[physical_activity]]&gt;1.9,"better overall ","lower rate of depression")</f>
        <v>lower rate of depression</v>
      </c>
      <c r="M313" t="s">
        <v>15</v>
      </c>
      <c r="N313">
        <v>6</v>
      </c>
      <c r="O313">
        <v>8</v>
      </c>
      <c r="P313">
        <v>5</v>
      </c>
      <c r="Q313">
        <v>0</v>
      </c>
    </row>
    <row r="314" spans="1:17" x14ac:dyDescent="0.3">
      <c r="A314">
        <v>19</v>
      </c>
      <c r="B314" t="s">
        <v>16</v>
      </c>
      <c r="C314" t="str">
        <f>IF(Table1[[#This Row],[age]]&gt;18,"Adult","Teenage")</f>
        <v>Adult</v>
      </c>
      <c r="D314">
        <v>5.6</v>
      </c>
      <c r="E314" t="s">
        <v>17</v>
      </c>
      <c r="F314">
        <v>8.1</v>
      </c>
      <c r="G314">
        <f>Table1[[#This Row],[sleep_hours]]-Table1[[#This Row],[daily_social_media_hours]]</f>
        <v>2.5</v>
      </c>
      <c r="H314">
        <v>3</v>
      </c>
      <c r="I314">
        <v>2.75</v>
      </c>
      <c r="J314" t="str" cm="1">
        <f t="array" ref="J314">_xlfn.IFS(Table1[[#This Row],[academic_performance]]&gt;1,"Need Improvement",Table1[[#This Row],[academic_performance]]&gt;2,"Good",Table1[[#This Row],[academic_performance]]&gt;3,"Very good",Table1[[#This Row],[academic_performance]]&gt;4,"Excellent")</f>
        <v>Need Improvement</v>
      </c>
      <c r="K314">
        <v>0.7</v>
      </c>
      <c r="L314" t="str">
        <f>IF(Table1[[#This Row],[physical_activity]]&gt;1.9,"better overall ","lower rate of depression")</f>
        <v>lower rate of depression</v>
      </c>
      <c r="M314" t="s">
        <v>19</v>
      </c>
      <c r="N314">
        <v>6</v>
      </c>
      <c r="O314">
        <v>3</v>
      </c>
      <c r="P314">
        <v>4</v>
      </c>
      <c r="Q314">
        <v>0</v>
      </c>
    </row>
    <row r="315" spans="1:17" x14ac:dyDescent="0.3">
      <c r="A315">
        <v>13</v>
      </c>
      <c r="B315" t="s">
        <v>16</v>
      </c>
      <c r="C315" t="str">
        <f>IF(Table1[[#This Row],[age]]&gt;18,"Adult","Teenage")</f>
        <v>Teenage</v>
      </c>
      <c r="D315">
        <v>8</v>
      </c>
      <c r="E315" t="s">
        <v>14</v>
      </c>
      <c r="F315">
        <v>5.4</v>
      </c>
      <c r="G315">
        <f>Table1[[#This Row],[sleep_hours]]-Table1[[#This Row],[daily_social_media_hours]]</f>
        <v>-2.5999999999999996</v>
      </c>
      <c r="H315">
        <v>2.8</v>
      </c>
      <c r="I315">
        <v>3.1</v>
      </c>
      <c r="J315" t="str" cm="1">
        <f t="array" ref="J315">_xlfn.IFS(Table1[[#This Row],[academic_performance]]&gt;1,"Need Improvement",Table1[[#This Row],[academic_performance]]&gt;2,"Good",Table1[[#This Row],[academic_performance]]&gt;3,"Very good",Table1[[#This Row],[academic_performance]]&gt;4,"Excellent")</f>
        <v>Need Improvement</v>
      </c>
      <c r="K315">
        <v>1.9</v>
      </c>
      <c r="L315" t="str">
        <f>IF(Table1[[#This Row],[physical_activity]]&gt;1.9,"better overall ","lower rate of depression")</f>
        <v>lower rate of depression</v>
      </c>
      <c r="M315" t="s">
        <v>18</v>
      </c>
      <c r="N315">
        <v>6</v>
      </c>
      <c r="O315">
        <v>10</v>
      </c>
      <c r="P315">
        <v>10</v>
      </c>
      <c r="Q315">
        <v>0</v>
      </c>
    </row>
    <row r="316" spans="1:17" x14ac:dyDescent="0.3">
      <c r="A316">
        <v>13</v>
      </c>
      <c r="B316" t="s">
        <v>16</v>
      </c>
      <c r="C316" t="str">
        <f>IF(Table1[[#This Row],[age]]&gt;18,"Adult","Teenage")</f>
        <v>Teenage</v>
      </c>
      <c r="D316">
        <v>1.3</v>
      </c>
      <c r="E316" t="s">
        <v>14</v>
      </c>
      <c r="F316">
        <v>8.9</v>
      </c>
      <c r="G316">
        <f>Table1[[#This Row],[sleep_hours]]-Table1[[#This Row],[daily_social_media_hours]]</f>
        <v>7.6000000000000005</v>
      </c>
      <c r="H316">
        <v>2.6</v>
      </c>
      <c r="I316">
        <v>3.54</v>
      </c>
      <c r="J316" t="str" cm="1">
        <f t="array" ref="J316">_xlfn.IFS(Table1[[#This Row],[academic_performance]]&gt;1,"Need Improvement",Table1[[#This Row],[academic_performance]]&gt;2,"Good",Table1[[#This Row],[academic_performance]]&gt;3,"Very good",Table1[[#This Row],[academic_performance]]&gt;4,"Excellent")</f>
        <v>Need Improvement</v>
      </c>
      <c r="K316">
        <v>1.2</v>
      </c>
      <c r="L316" t="str">
        <f>IF(Table1[[#This Row],[physical_activity]]&gt;1.9,"better overall ","lower rate of depression")</f>
        <v>lower rate of depression</v>
      </c>
      <c r="M316" t="s">
        <v>18</v>
      </c>
      <c r="N316">
        <v>8</v>
      </c>
      <c r="O316">
        <v>5</v>
      </c>
      <c r="P316">
        <v>2</v>
      </c>
      <c r="Q316">
        <v>0</v>
      </c>
    </row>
    <row r="317" spans="1:17" x14ac:dyDescent="0.3">
      <c r="A317">
        <v>15</v>
      </c>
      <c r="B317" t="s">
        <v>16</v>
      </c>
      <c r="C317" t="str">
        <f>IF(Table1[[#This Row],[age]]&gt;18,"Adult","Teenage")</f>
        <v>Teenage</v>
      </c>
      <c r="D317">
        <v>5.9</v>
      </c>
      <c r="E317" t="s">
        <v>20</v>
      </c>
      <c r="F317">
        <v>6.9</v>
      </c>
      <c r="G317">
        <f>Table1[[#This Row],[sleep_hours]]-Table1[[#This Row],[daily_social_media_hours]]</f>
        <v>1</v>
      </c>
      <c r="H317">
        <v>1.4</v>
      </c>
      <c r="I317">
        <v>3.62</v>
      </c>
      <c r="J317" t="str" cm="1">
        <f t="array" ref="J317">_xlfn.IFS(Table1[[#This Row],[academic_performance]]&gt;1,"Need Improvement",Table1[[#This Row],[academic_performance]]&gt;2,"Good",Table1[[#This Row],[academic_performance]]&gt;3,"Very good",Table1[[#This Row],[academic_performance]]&gt;4,"Excellent")</f>
        <v>Need Improvement</v>
      </c>
      <c r="K317">
        <v>1.5</v>
      </c>
      <c r="L317" t="str">
        <f>IF(Table1[[#This Row],[physical_activity]]&gt;1.9,"better overall ","lower rate of depression")</f>
        <v>lower rate of depression</v>
      </c>
      <c r="M317" t="s">
        <v>19</v>
      </c>
      <c r="N317">
        <v>3</v>
      </c>
      <c r="O317">
        <v>9</v>
      </c>
      <c r="P317">
        <v>1</v>
      </c>
      <c r="Q317">
        <v>0</v>
      </c>
    </row>
    <row r="318" spans="1:17" x14ac:dyDescent="0.3">
      <c r="A318">
        <v>14</v>
      </c>
      <c r="B318" t="s">
        <v>16</v>
      </c>
      <c r="C318" t="str">
        <f>IF(Table1[[#This Row],[age]]&gt;18,"Adult","Teenage")</f>
        <v>Teenage</v>
      </c>
      <c r="D318">
        <v>2</v>
      </c>
      <c r="E318" t="s">
        <v>14</v>
      </c>
      <c r="F318">
        <v>8.8000000000000007</v>
      </c>
      <c r="G318">
        <f>Table1[[#This Row],[sleep_hours]]-Table1[[#This Row],[daily_social_media_hours]]</f>
        <v>6.8000000000000007</v>
      </c>
      <c r="H318">
        <v>0.9</v>
      </c>
      <c r="I318">
        <v>3.61</v>
      </c>
      <c r="J318" t="str" cm="1">
        <f t="array" ref="J318">_xlfn.IFS(Table1[[#This Row],[academic_performance]]&gt;1,"Need Improvement",Table1[[#This Row],[academic_performance]]&gt;2,"Good",Table1[[#This Row],[academic_performance]]&gt;3,"Very good",Table1[[#This Row],[academic_performance]]&gt;4,"Excellent")</f>
        <v>Need Improvement</v>
      </c>
      <c r="K318">
        <v>0.7</v>
      </c>
      <c r="L318" t="str">
        <f>IF(Table1[[#This Row],[physical_activity]]&gt;1.9,"better overall ","lower rate of depression")</f>
        <v>lower rate of depression</v>
      </c>
      <c r="M318" t="s">
        <v>18</v>
      </c>
      <c r="N318">
        <v>10</v>
      </c>
      <c r="O318">
        <v>2</v>
      </c>
      <c r="P318">
        <v>3</v>
      </c>
      <c r="Q318">
        <v>0</v>
      </c>
    </row>
    <row r="319" spans="1:17" x14ac:dyDescent="0.3">
      <c r="A319">
        <v>19</v>
      </c>
      <c r="B319" t="s">
        <v>16</v>
      </c>
      <c r="C319" t="str">
        <f>IF(Table1[[#This Row],[age]]&gt;18,"Adult","Teenage")</f>
        <v>Adult</v>
      </c>
      <c r="D319">
        <v>1.4</v>
      </c>
      <c r="E319" t="s">
        <v>14</v>
      </c>
      <c r="F319">
        <v>6.6</v>
      </c>
      <c r="G319">
        <f>Table1[[#This Row],[sleep_hours]]-Table1[[#This Row],[daily_social_media_hours]]</f>
        <v>5.1999999999999993</v>
      </c>
      <c r="H319">
        <v>1.8</v>
      </c>
      <c r="I319">
        <v>3.07</v>
      </c>
      <c r="J319" t="str" cm="1">
        <f t="array" ref="J319">_xlfn.IFS(Table1[[#This Row],[academic_performance]]&gt;1,"Need Improvement",Table1[[#This Row],[academic_performance]]&gt;2,"Good",Table1[[#This Row],[academic_performance]]&gt;3,"Very good",Table1[[#This Row],[academic_performance]]&gt;4,"Excellent")</f>
        <v>Need Improvement</v>
      </c>
      <c r="K319">
        <v>0</v>
      </c>
      <c r="L319" t="str">
        <f>IF(Table1[[#This Row],[physical_activity]]&gt;1.9,"better overall ","lower rate of depression")</f>
        <v>lower rate of depression</v>
      </c>
      <c r="M319" t="s">
        <v>15</v>
      </c>
      <c r="N319">
        <v>5</v>
      </c>
      <c r="O319">
        <v>2</v>
      </c>
      <c r="P319">
        <v>6</v>
      </c>
      <c r="Q319">
        <v>0</v>
      </c>
    </row>
    <row r="320" spans="1:17" x14ac:dyDescent="0.3">
      <c r="A320">
        <v>13</v>
      </c>
      <c r="B320" t="s">
        <v>16</v>
      </c>
      <c r="C320" t="str">
        <f>IF(Table1[[#This Row],[age]]&gt;18,"Adult","Teenage")</f>
        <v>Teenage</v>
      </c>
      <c r="D320">
        <v>6.4</v>
      </c>
      <c r="E320" t="s">
        <v>20</v>
      </c>
      <c r="F320">
        <v>6.7</v>
      </c>
      <c r="G320">
        <f>Table1[[#This Row],[sleep_hours]]-Table1[[#This Row],[daily_social_media_hours]]</f>
        <v>0.29999999999999982</v>
      </c>
      <c r="H320">
        <v>0.8</v>
      </c>
      <c r="I320">
        <v>3.9</v>
      </c>
      <c r="J320" t="str" cm="1">
        <f t="array" ref="J320">_xlfn.IFS(Table1[[#This Row],[academic_performance]]&gt;1,"Need Improvement",Table1[[#This Row],[academic_performance]]&gt;2,"Good",Table1[[#This Row],[academic_performance]]&gt;3,"Very good",Table1[[#This Row],[academic_performance]]&gt;4,"Excellent")</f>
        <v>Need Improvement</v>
      </c>
      <c r="K320">
        <v>1.9</v>
      </c>
      <c r="L320" t="str">
        <f>IF(Table1[[#This Row],[physical_activity]]&gt;1.9,"better overall ","lower rate of depression")</f>
        <v>lower rate of depression</v>
      </c>
      <c r="M320" t="s">
        <v>18</v>
      </c>
      <c r="N320">
        <v>3</v>
      </c>
      <c r="O320">
        <v>3</v>
      </c>
      <c r="P320">
        <v>10</v>
      </c>
      <c r="Q320">
        <v>0</v>
      </c>
    </row>
    <row r="321" spans="1:17" x14ac:dyDescent="0.3">
      <c r="A321">
        <v>15</v>
      </c>
      <c r="B321" t="s">
        <v>13</v>
      </c>
      <c r="C321" t="str">
        <f>IF(Table1[[#This Row],[age]]&gt;18,"Adult","Teenage")</f>
        <v>Teenage</v>
      </c>
      <c r="D321">
        <v>7.6</v>
      </c>
      <c r="E321" t="s">
        <v>17</v>
      </c>
      <c r="F321">
        <v>7.9</v>
      </c>
      <c r="G321">
        <f>Table1[[#This Row],[sleep_hours]]-Table1[[#This Row],[daily_social_media_hours]]</f>
        <v>0.30000000000000071</v>
      </c>
      <c r="H321">
        <v>0.8</v>
      </c>
      <c r="I321">
        <v>3.55</v>
      </c>
      <c r="J321" t="str" cm="1">
        <f t="array" ref="J321">_xlfn.IFS(Table1[[#This Row],[academic_performance]]&gt;1,"Need Improvement",Table1[[#This Row],[academic_performance]]&gt;2,"Good",Table1[[#This Row],[academic_performance]]&gt;3,"Very good",Table1[[#This Row],[academic_performance]]&gt;4,"Excellent")</f>
        <v>Need Improvement</v>
      </c>
      <c r="K321">
        <v>1.9</v>
      </c>
      <c r="L321" t="str">
        <f>IF(Table1[[#This Row],[physical_activity]]&gt;1.9,"better overall ","lower rate of depression")</f>
        <v>lower rate of depression</v>
      </c>
      <c r="M321" t="s">
        <v>18</v>
      </c>
      <c r="N321">
        <v>10</v>
      </c>
      <c r="O321">
        <v>8</v>
      </c>
      <c r="P321">
        <v>6</v>
      </c>
      <c r="Q321">
        <v>0</v>
      </c>
    </row>
    <row r="322" spans="1:17" x14ac:dyDescent="0.3">
      <c r="A322">
        <v>16</v>
      </c>
      <c r="B322" t="s">
        <v>13</v>
      </c>
      <c r="C322" t="str">
        <f>IF(Table1[[#This Row],[age]]&gt;18,"Adult","Teenage")</f>
        <v>Teenage</v>
      </c>
      <c r="D322">
        <v>7.9</v>
      </c>
      <c r="E322" t="s">
        <v>20</v>
      </c>
      <c r="F322">
        <v>5.5</v>
      </c>
      <c r="G322">
        <f>Table1[[#This Row],[sleep_hours]]-Table1[[#This Row],[daily_social_media_hours]]</f>
        <v>-2.4000000000000004</v>
      </c>
      <c r="H322">
        <v>0.6</v>
      </c>
      <c r="I322">
        <v>3.65</v>
      </c>
      <c r="J322" t="str" cm="1">
        <f t="array" ref="J322">_xlfn.IFS(Table1[[#This Row],[academic_performance]]&gt;1,"Need Improvement",Table1[[#This Row],[academic_performance]]&gt;2,"Good",Table1[[#This Row],[academic_performance]]&gt;3,"Very good",Table1[[#This Row],[academic_performance]]&gt;4,"Excellent")</f>
        <v>Need Improvement</v>
      </c>
      <c r="K322">
        <v>1.4</v>
      </c>
      <c r="L322" t="str">
        <f>IF(Table1[[#This Row],[physical_activity]]&gt;1.9,"better overall ","lower rate of depression")</f>
        <v>lower rate of depression</v>
      </c>
      <c r="M322" t="s">
        <v>15</v>
      </c>
      <c r="N322">
        <v>1</v>
      </c>
      <c r="O322">
        <v>4</v>
      </c>
      <c r="P322">
        <v>1</v>
      </c>
      <c r="Q322">
        <v>0</v>
      </c>
    </row>
    <row r="323" spans="1:17" x14ac:dyDescent="0.3">
      <c r="A323">
        <v>15</v>
      </c>
      <c r="B323" t="s">
        <v>13</v>
      </c>
      <c r="C323" t="str">
        <f>IF(Table1[[#This Row],[age]]&gt;18,"Adult","Teenage")</f>
        <v>Teenage</v>
      </c>
      <c r="D323">
        <v>5.0999999999999996</v>
      </c>
      <c r="E323" t="s">
        <v>14</v>
      </c>
      <c r="F323">
        <v>4.0999999999999996</v>
      </c>
      <c r="G323">
        <f>Table1[[#This Row],[sleep_hours]]-Table1[[#This Row],[daily_social_media_hours]]</f>
        <v>-1</v>
      </c>
      <c r="H323">
        <v>2.8</v>
      </c>
      <c r="I323">
        <v>3.79</v>
      </c>
      <c r="J323" t="str" cm="1">
        <f t="array" ref="J323">_xlfn.IFS(Table1[[#This Row],[academic_performance]]&gt;1,"Need Improvement",Table1[[#This Row],[academic_performance]]&gt;2,"Good",Table1[[#This Row],[academic_performance]]&gt;3,"Very good",Table1[[#This Row],[academic_performance]]&gt;4,"Excellent")</f>
        <v>Need Improvement</v>
      </c>
      <c r="K323">
        <v>0.8</v>
      </c>
      <c r="L323" t="str">
        <f>IF(Table1[[#This Row],[physical_activity]]&gt;1.9,"better overall ","lower rate of depression")</f>
        <v>lower rate of depression</v>
      </c>
      <c r="M323" t="s">
        <v>19</v>
      </c>
      <c r="N323">
        <v>9</v>
      </c>
      <c r="O323">
        <v>7</v>
      </c>
      <c r="P323">
        <v>3</v>
      </c>
      <c r="Q323">
        <v>1</v>
      </c>
    </row>
    <row r="324" spans="1:17" x14ac:dyDescent="0.3">
      <c r="A324">
        <v>18</v>
      </c>
      <c r="B324" t="s">
        <v>13</v>
      </c>
      <c r="C324" t="str">
        <f>IF(Table1[[#This Row],[age]]&gt;18,"Adult","Teenage")</f>
        <v>Teenage</v>
      </c>
      <c r="D324">
        <v>6.4</v>
      </c>
      <c r="E324" t="s">
        <v>17</v>
      </c>
      <c r="F324">
        <v>7.4</v>
      </c>
      <c r="G324">
        <f>Table1[[#This Row],[sleep_hours]]-Table1[[#This Row],[daily_social_media_hours]]</f>
        <v>1</v>
      </c>
      <c r="H324">
        <v>1.5</v>
      </c>
      <c r="I324">
        <v>2.92</v>
      </c>
      <c r="J324" t="str" cm="1">
        <f t="array" ref="J324">_xlfn.IFS(Table1[[#This Row],[academic_performance]]&gt;1,"Need Improvement",Table1[[#This Row],[academic_performance]]&gt;2,"Good",Table1[[#This Row],[academic_performance]]&gt;3,"Very good",Table1[[#This Row],[academic_performance]]&gt;4,"Excellent")</f>
        <v>Need Improvement</v>
      </c>
      <c r="K324">
        <v>0.6</v>
      </c>
      <c r="L324" t="str">
        <f>IF(Table1[[#This Row],[physical_activity]]&gt;1.9,"better overall ","lower rate of depression")</f>
        <v>lower rate of depression</v>
      </c>
      <c r="M324" t="s">
        <v>15</v>
      </c>
      <c r="N324">
        <v>9</v>
      </c>
      <c r="O324">
        <v>2</v>
      </c>
      <c r="P324">
        <v>5</v>
      </c>
      <c r="Q324">
        <v>0</v>
      </c>
    </row>
    <row r="325" spans="1:17" x14ac:dyDescent="0.3">
      <c r="A325">
        <v>13</v>
      </c>
      <c r="B325" t="s">
        <v>16</v>
      </c>
      <c r="C325" t="str">
        <f>IF(Table1[[#This Row],[age]]&gt;18,"Adult","Teenage")</f>
        <v>Teenage</v>
      </c>
      <c r="D325">
        <v>7.2</v>
      </c>
      <c r="E325" t="s">
        <v>20</v>
      </c>
      <c r="F325">
        <v>6.7</v>
      </c>
      <c r="G325">
        <f>Table1[[#This Row],[sleep_hours]]-Table1[[#This Row],[daily_social_media_hours]]</f>
        <v>-0.5</v>
      </c>
      <c r="H325">
        <v>0.9</v>
      </c>
      <c r="I325">
        <v>2.36</v>
      </c>
      <c r="J325" t="str" cm="1">
        <f t="array" ref="J325">_xlfn.IFS(Table1[[#This Row],[academic_performance]]&gt;1,"Need Improvement",Table1[[#This Row],[academic_performance]]&gt;2,"Good",Table1[[#This Row],[academic_performance]]&gt;3,"Very good",Table1[[#This Row],[academic_performance]]&gt;4,"Excellent")</f>
        <v>Need Improvement</v>
      </c>
      <c r="K325">
        <v>0.6</v>
      </c>
      <c r="L325" t="str">
        <f>IF(Table1[[#This Row],[physical_activity]]&gt;1.9,"better overall ","lower rate of depression")</f>
        <v>lower rate of depression</v>
      </c>
      <c r="M325" t="s">
        <v>15</v>
      </c>
      <c r="N325">
        <v>8</v>
      </c>
      <c r="O325">
        <v>8</v>
      </c>
      <c r="P325">
        <v>1</v>
      </c>
      <c r="Q325">
        <v>0</v>
      </c>
    </row>
    <row r="326" spans="1:17" x14ac:dyDescent="0.3">
      <c r="A326">
        <v>18</v>
      </c>
      <c r="B326" t="s">
        <v>16</v>
      </c>
      <c r="C326" t="str">
        <f>IF(Table1[[#This Row],[age]]&gt;18,"Adult","Teenage")</f>
        <v>Teenage</v>
      </c>
      <c r="D326">
        <v>2.9</v>
      </c>
      <c r="E326" t="s">
        <v>20</v>
      </c>
      <c r="F326">
        <v>4.5999999999999996</v>
      </c>
      <c r="G326">
        <f>Table1[[#This Row],[sleep_hours]]-Table1[[#This Row],[daily_social_media_hours]]</f>
        <v>1.6999999999999997</v>
      </c>
      <c r="H326">
        <v>2.2999999999999998</v>
      </c>
      <c r="I326">
        <v>3.03</v>
      </c>
      <c r="J326" t="str" cm="1">
        <f t="array" ref="J326">_xlfn.IFS(Table1[[#This Row],[academic_performance]]&gt;1,"Need Improvement",Table1[[#This Row],[academic_performance]]&gt;2,"Good",Table1[[#This Row],[academic_performance]]&gt;3,"Very good",Table1[[#This Row],[academic_performance]]&gt;4,"Excellent")</f>
        <v>Need Improvement</v>
      </c>
      <c r="K326">
        <v>0.3</v>
      </c>
      <c r="L326" t="str">
        <f>IF(Table1[[#This Row],[physical_activity]]&gt;1.9,"better overall ","lower rate of depression")</f>
        <v>lower rate of depression</v>
      </c>
      <c r="M326" t="s">
        <v>15</v>
      </c>
      <c r="N326">
        <v>6</v>
      </c>
      <c r="O326">
        <v>1</v>
      </c>
      <c r="P326">
        <v>9</v>
      </c>
      <c r="Q326">
        <v>0</v>
      </c>
    </row>
    <row r="327" spans="1:17" x14ac:dyDescent="0.3">
      <c r="A327">
        <v>19</v>
      </c>
      <c r="B327" t="s">
        <v>13</v>
      </c>
      <c r="C327" t="str">
        <f>IF(Table1[[#This Row],[age]]&gt;18,"Adult","Teenage")</f>
        <v>Adult</v>
      </c>
      <c r="D327">
        <v>1.5</v>
      </c>
      <c r="E327" t="s">
        <v>14</v>
      </c>
      <c r="F327">
        <v>7.3</v>
      </c>
      <c r="G327">
        <f>Table1[[#This Row],[sleep_hours]]-Table1[[#This Row],[daily_social_media_hours]]</f>
        <v>5.8</v>
      </c>
      <c r="H327">
        <v>2.7</v>
      </c>
      <c r="I327">
        <v>2.61</v>
      </c>
      <c r="J327" t="str" cm="1">
        <f t="array" ref="J327">_xlfn.IFS(Table1[[#This Row],[academic_performance]]&gt;1,"Need Improvement",Table1[[#This Row],[academic_performance]]&gt;2,"Good",Table1[[#This Row],[academic_performance]]&gt;3,"Very good",Table1[[#This Row],[academic_performance]]&gt;4,"Excellent")</f>
        <v>Need Improvement</v>
      </c>
      <c r="K327">
        <v>0.9</v>
      </c>
      <c r="L327" t="str">
        <f>IF(Table1[[#This Row],[physical_activity]]&gt;1.9,"better overall ","lower rate of depression")</f>
        <v>lower rate of depression</v>
      </c>
      <c r="M327" t="s">
        <v>15</v>
      </c>
      <c r="N327">
        <v>5</v>
      </c>
      <c r="O327">
        <v>7</v>
      </c>
      <c r="P327">
        <v>10</v>
      </c>
      <c r="Q327">
        <v>0</v>
      </c>
    </row>
    <row r="328" spans="1:17" x14ac:dyDescent="0.3">
      <c r="A328">
        <v>14</v>
      </c>
      <c r="B328" t="s">
        <v>13</v>
      </c>
      <c r="C328" t="str">
        <f>IF(Table1[[#This Row],[age]]&gt;18,"Adult","Teenage")</f>
        <v>Teenage</v>
      </c>
      <c r="D328">
        <v>5.4</v>
      </c>
      <c r="E328" t="s">
        <v>20</v>
      </c>
      <c r="F328">
        <v>8.1</v>
      </c>
      <c r="G328">
        <f>Table1[[#This Row],[sleep_hours]]-Table1[[#This Row],[daily_social_media_hours]]</f>
        <v>2.6999999999999993</v>
      </c>
      <c r="H328">
        <v>1.8</v>
      </c>
      <c r="I328">
        <v>2.5299999999999998</v>
      </c>
      <c r="J328" t="str" cm="1">
        <f t="array" ref="J328">_xlfn.IFS(Table1[[#This Row],[academic_performance]]&gt;1,"Need Improvement",Table1[[#This Row],[academic_performance]]&gt;2,"Good",Table1[[#This Row],[academic_performance]]&gt;3,"Very good",Table1[[#This Row],[academic_performance]]&gt;4,"Excellent")</f>
        <v>Need Improvement</v>
      </c>
      <c r="K328">
        <v>0.9</v>
      </c>
      <c r="L328" t="str">
        <f>IF(Table1[[#This Row],[physical_activity]]&gt;1.9,"better overall ","lower rate of depression")</f>
        <v>lower rate of depression</v>
      </c>
      <c r="M328" t="s">
        <v>19</v>
      </c>
      <c r="N328">
        <v>5</v>
      </c>
      <c r="O328">
        <v>8</v>
      </c>
      <c r="P328">
        <v>8</v>
      </c>
      <c r="Q328">
        <v>0</v>
      </c>
    </row>
    <row r="329" spans="1:17" x14ac:dyDescent="0.3">
      <c r="A329">
        <v>13</v>
      </c>
      <c r="B329" t="s">
        <v>13</v>
      </c>
      <c r="C329" t="str">
        <f>IF(Table1[[#This Row],[age]]&gt;18,"Adult","Teenage")</f>
        <v>Teenage</v>
      </c>
      <c r="D329">
        <v>7.2</v>
      </c>
      <c r="E329" t="s">
        <v>17</v>
      </c>
      <c r="F329">
        <v>4.0999999999999996</v>
      </c>
      <c r="G329">
        <f>Table1[[#This Row],[sleep_hours]]-Table1[[#This Row],[daily_social_media_hours]]</f>
        <v>-3.1000000000000005</v>
      </c>
      <c r="H329">
        <v>1.3</v>
      </c>
      <c r="I329">
        <v>2.4900000000000002</v>
      </c>
      <c r="J329" t="str" cm="1">
        <f t="array" ref="J329">_xlfn.IFS(Table1[[#This Row],[academic_performance]]&gt;1,"Need Improvement",Table1[[#This Row],[academic_performance]]&gt;2,"Good",Table1[[#This Row],[academic_performance]]&gt;3,"Very good",Table1[[#This Row],[academic_performance]]&gt;4,"Excellent")</f>
        <v>Need Improvement</v>
      </c>
      <c r="K329">
        <v>1.8</v>
      </c>
      <c r="L329" t="str">
        <f>IF(Table1[[#This Row],[physical_activity]]&gt;1.9,"better overall ","lower rate of depression")</f>
        <v>lower rate of depression</v>
      </c>
      <c r="M329" t="s">
        <v>19</v>
      </c>
      <c r="N329">
        <v>5</v>
      </c>
      <c r="O329">
        <v>5</v>
      </c>
      <c r="P329">
        <v>4</v>
      </c>
      <c r="Q329">
        <v>0</v>
      </c>
    </row>
    <row r="330" spans="1:17" x14ac:dyDescent="0.3">
      <c r="A330">
        <v>15</v>
      </c>
      <c r="B330" t="s">
        <v>16</v>
      </c>
      <c r="C330" t="str">
        <f>IF(Table1[[#This Row],[age]]&gt;18,"Adult","Teenage")</f>
        <v>Teenage</v>
      </c>
      <c r="D330">
        <v>7</v>
      </c>
      <c r="E330" t="s">
        <v>14</v>
      </c>
      <c r="F330">
        <v>5.9</v>
      </c>
      <c r="G330">
        <f>Table1[[#This Row],[sleep_hours]]-Table1[[#This Row],[daily_social_media_hours]]</f>
        <v>-1.0999999999999996</v>
      </c>
      <c r="H330">
        <v>1.3</v>
      </c>
      <c r="I330">
        <v>2.91</v>
      </c>
      <c r="J330" t="str" cm="1">
        <f t="array" ref="J330">_xlfn.IFS(Table1[[#This Row],[academic_performance]]&gt;1,"Need Improvement",Table1[[#This Row],[academic_performance]]&gt;2,"Good",Table1[[#This Row],[academic_performance]]&gt;3,"Very good",Table1[[#This Row],[academic_performance]]&gt;4,"Excellent")</f>
        <v>Need Improvement</v>
      </c>
      <c r="K330">
        <v>1.2</v>
      </c>
      <c r="L330" t="str">
        <f>IF(Table1[[#This Row],[physical_activity]]&gt;1.9,"better overall ","lower rate of depression")</f>
        <v>lower rate of depression</v>
      </c>
      <c r="M330" t="s">
        <v>15</v>
      </c>
      <c r="N330">
        <v>10</v>
      </c>
      <c r="O330">
        <v>2</v>
      </c>
      <c r="P330">
        <v>6</v>
      </c>
      <c r="Q330">
        <v>0</v>
      </c>
    </row>
    <row r="331" spans="1:17" x14ac:dyDescent="0.3">
      <c r="A331">
        <v>17</v>
      </c>
      <c r="B331" t="s">
        <v>16</v>
      </c>
      <c r="C331" t="str">
        <f>IF(Table1[[#This Row],[age]]&gt;18,"Adult","Teenage")</f>
        <v>Teenage</v>
      </c>
      <c r="D331">
        <v>7.5</v>
      </c>
      <c r="E331" t="s">
        <v>17</v>
      </c>
      <c r="F331">
        <v>6.7</v>
      </c>
      <c r="G331">
        <f>Table1[[#This Row],[sleep_hours]]-Table1[[#This Row],[daily_social_media_hours]]</f>
        <v>-0.79999999999999982</v>
      </c>
      <c r="H331">
        <v>1.1000000000000001</v>
      </c>
      <c r="I331">
        <v>3.77</v>
      </c>
      <c r="J331" t="str" cm="1">
        <f t="array" ref="J331">_xlfn.IFS(Table1[[#This Row],[academic_performance]]&gt;1,"Need Improvement",Table1[[#This Row],[academic_performance]]&gt;2,"Good",Table1[[#This Row],[academic_performance]]&gt;3,"Very good",Table1[[#This Row],[academic_performance]]&gt;4,"Excellent")</f>
        <v>Need Improvement</v>
      </c>
      <c r="K331">
        <v>0.6</v>
      </c>
      <c r="L331" t="str">
        <f>IF(Table1[[#This Row],[physical_activity]]&gt;1.9,"better overall ","lower rate of depression")</f>
        <v>lower rate of depression</v>
      </c>
      <c r="M331" t="s">
        <v>18</v>
      </c>
      <c r="N331">
        <v>3</v>
      </c>
      <c r="O331">
        <v>8</v>
      </c>
      <c r="P331">
        <v>6</v>
      </c>
      <c r="Q331">
        <v>0</v>
      </c>
    </row>
    <row r="332" spans="1:17" x14ac:dyDescent="0.3">
      <c r="A332">
        <v>14</v>
      </c>
      <c r="B332" t="s">
        <v>13</v>
      </c>
      <c r="C332" t="str">
        <f>IF(Table1[[#This Row],[age]]&gt;18,"Adult","Teenage")</f>
        <v>Teenage</v>
      </c>
      <c r="D332">
        <v>1.4</v>
      </c>
      <c r="E332" t="s">
        <v>20</v>
      </c>
      <c r="F332">
        <v>7</v>
      </c>
      <c r="G332">
        <f>Table1[[#This Row],[sleep_hours]]-Table1[[#This Row],[daily_social_media_hours]]</f>
        <v>5.6</v>
      </c>
      <c r="H332">
        <v>1.8</v>
      </c>
      <c r="I332">
        <v>2.69</v>
      </c>
      <c r="J332" t="str" cm="1">
        <f t="array" ref="J332">_xlfn.IFS(Table1[[#This Row],[academic_performance]]&gt;1,"Need Improvement",Table1[[#This Row],[academic_performance]]&gt;2,"Good",Table1[[#This Row],[academic_performance]]&gt;3,"Very good",Table1[[#This Row],[academic_performance]]&gt;4,"Excellent")</f>
        <v>Need Improvement</v>
      </c>
      <c r="K332">
        <v>0.9</v>
      </c>
      <c r="L332" t="str">
        <f>IF(Table1[[#This Row],[physical_activity]]&gt;1.9,"better overall ","lower rate of depression")</f>
        <v>lower rate of depression</v>
      </c>
      <c r="M332" t="s">
        <v>15</v>
      </c>
      <c r="N332">
        <v>10</v>
      </c>
      <c r="O332">
        <v>4</v>
      </c>
      <c r="P332">
        <v>2</v>
      </c>
      <c r="Q332">
        <v>0</v>
      </c>
    </row>
    <row r="333" spans="1:17" x14ac:dyDescent="0.3">
      <c r="A333">
        <v>16</v>
      </c>
      <c r="B333" t="s">
        <v>16</v>
      </c>
      <c r="C333" t="str">
        <f>IF(Table1[[#This Row],[age]]&gt;18,"Adult","Teenage")</f>
        <v>Teenage</v>
      </c>
      <c r="D333">
        <v>6.1</v>
      </c>
      <c r="E333" t="s">
        <v>14</v>
      </c>
      <c r="F333">
        <v>8.1</v>
      </c>
      <c r="G333">
        <f>Table1[[#This Row],[sleep_hours]]-Table1[[#This Row],[daily_social_media_hours]]</f>
        <v>2</v>
      </c>
      <c r="H333">
        <v>1.4</v>
      </c>
      <c r="I333">
        <v>3.27</v>
      </c>
      <c r="J333" t="str" cm="1">
        <f t="array" ref="J333">_xlfn.IFS(Table1[[#This Row],[academic_performance]]&gt;1,"Need Improvement",Table1[[#This Row],[academic_performance]]&gt;2,"Good",Table1[[#This Row],[academic_performance]]&gt;3,"Very good",Table1[[#This Row],[academic_performance]]&gt;4,"Excellent")</f>
        <v>Need Improvement</v>
      </c>
      <c r="K333">
        <v>1.6</v>
      </c>
      <c r="L333" t="str">
        <f>IF(Table1[[#This Row],[physical_activity]]&gt;1.9,"better overall ","lower rate of depression")</f>
        <v>lower rate of depression</v>
      </c>
      <c r="M333" t="s">
        <v>15</v>
      </c>
      <c r="N333">
        <v>10</v>
      </c>
      <c r="O333">
        <v>1</v>
      </c>
      <c r="P333">
        <v>4</v>
      </c>
      <c r="Q333">
        <v>0</v>
      </c>
    </row>
    <row r="334" spans="1:17" x14ac:dyDescent="0.3">
      <c r="A334">
        <v>16</v>
      </c>
      <c r="B334" t="s">
        <v>16</v>
      </c>
      <c r="C334" t="str">
        <f>IF(Table1[[#This Row],[age]]&gt;18,"Adult","Teenage")</f>
        <v>Teenage</v>
      </c>
      <c r="D334">
        <v>1.4</v>
      </c>
      <c r="E334" t="s">
        <v>20</v>
      </c>
      <c r="F334">
        <v>5.2</v>
      </c>
      <c r="G334">
        <f>Table1[[#This Row],[sleep_hours]]-Table1[[#This Row],[daily_social_media_hours]]</f>
        <v>3.8000000000000003</v>
      </c>
      <c r="H334">
        <v>1.7</v>
      </c>
      <c r="I334">
        <v>3.82</v>
      </c>
      <c r="J334" t="str" cm="1">
        <f t="array" ref="J334">_xlfn.IFS(Table1[[#This Row],[academic_performance]]&gt;1,"Need Improvement",Table1[[#This Row],[academic_performance]]&gt;2,"Good",Table1[[#This Row],[academic_performance]]&gt;3,"Very good",Table1[[#This Row],[academic_performance]]&gt;4,"Excellent")</f>
        <v>Need Improvement</v>
      </c>
      <c r="K334">
        <v>0.7</v>
      </c>
      <c r="L334" t="str">
        <f>IF(Table1[[#This Row],[physical_activity]]&gt;1.9,"better overall ","lower rate of depression")</f>
        <v>lower rate of depression</v>
      </c>
      <c r="M334" t="s">
        <v>15</v>
      </c>
      <c r="N334">
        <v>10</v>
      </c>
      <c r="O334">
        <v>4</v>
      </c>
      <c r="P334">
        <v>3</v>
      </c>
      <c r="Q334">
        <v>0</v>
      </c>
    </row>
    <row r="335" spans="1:17" x14ac:dyDescent="0.3">
      <c r="A335">
        <v>13</v>
      </c>
      <c r="B335" t="s">
        <v>13</v>
      </c>
      <c r="C335" t="str">
        <f>IF(Table1[[#This Row],[age]]&gt;18,"Adult","Teenage")</f>
        <v>Teenage</v>
      </c>
      <c r="D335">
        <v>5.4</v>
      </c>
      <c r="E335" t="s">
        <v>14</v>
      </c>
      <c r="F335">
        <v>4.0999999999999996</v>
      </c>
      <c r="G335">
        <f>Table1[[#This Row],[sleep_hours]]-Table1[[#This Row],[daily_social_media_hours]]</f>
        <v>-1.3000000000000007</v>
      </c>
      <c r="H335">
        <v>2</v>
      </c>
      <c r="I335">
        <v>3.82</v>
      </c>
      <c r="J335" t="str" cm="1">
        <f t="array" ref="J335">_xlfn.IFS(Table1[[#This Row],[academic_performance]]&gt;1,"Need Improvement",Table1[[#This Row],[academic_performance]]&gt;2,"Good",Table1[[#This Row],[academic_performance]]&gt;3,"Very good",Table1[[#This Row],[academic_performance]]&gt;4,"Excellent")</f>
        <v>Need Improvement</v>
      </c>
      <c r="K335">
        <v>1.9</v>
      </c>
      <c r="L335" t="str">
        <f>IF(Table1[[#This Row],[physical_activity]]&gt;1.9,"better overall ","lower rate of depression")</f>
        <v>lower rate of depression</v>
      </c>
      <c r="M335" t="s">
        <v>19</v>
      </c>
      <c r="N335">
        <v>6</v>
      </c>
      <c r="O335">
        <v>10</v>
      </c>
      <c r="P335">
        <v>8</v>
      </c>
      <c r="Q335">
        <v>0</v>
      </c>
    </row>
    <row r="336" spans="1:17" x14ac:dyDescent="0.3">
      <c r="A336">
        <v>13</v>
      </c>
      <c r="B336" t="s">
        <v>16</v>
      </c>
      <c r="C336" t="str">
        <f>IF(Table1[[#This Row],[age]]&gt;18,"Adult","Teenage")</f>
        <v>Teenage</v>
      </c>
      <c r="D336">
        <v>2.1</v>
      </c>
      <c r="E336" t="s">
        <v>14</v>
      </c>
      <c r="F336">
        <v>8.1999999999999993</v>
      </c>
      <c r="G336">
        <f>Table1[[#This Row],[sleep_hours]]-Table1[[#This Row],[daily_social_media_hours]]</f>
        <v>6.1</v>
      </c>
      <c r="H336">
        <v>0.9</v>
      </c>
      <c r="I336">
        <v>2.48</v>
      </c>
      <c r="J336" t="str" cm="1">
        <f t="array" ref="J336">_xlfn.IFS(Table1[[#This Row],[academic_performance]]&gt;1,"Need Improvement",Table1[[#This Row],[academic_performance]]&gt;2,"Good",Table1[[#This Row],[academic_performance]]&gt;3,"Very good",Table1[[#This Row],[academic_performance]]&gt;4,"Excellent")</f>
        <v>Need Improvement</v>
      </c>
      <c r="K336">
        <v>0.5</v>
      </c>
      <c r="L336" t="str">
        <f>IF(Table1[[#This Row],[physical_activity]]&gt;1.9,"better overall ","lower rate of depression")</f>
        <v>lower rate of depression</v>
      </c>
      <c r="M336" t="s">
        <v>18</v>
      </c>
      <c r="N336">
        <v>2</v>
      </c>
      <c r="O336">
        <v>7</v>
      </c>
      <c r="P336">
        <v>6</v>
      </c>
      <c r="Q336">
        <v>0</v>
      </c>
    </row>
    <row r="337" spans="1:17" x14ac:dyDescent="0.3">
      <c r="A337">
        <v>14</v>
      </c>
      <c r="B337" t="s">
        <v>13</v>
      </c>
      <c r="C337" t="str">
        <f>IF(Table1[[#This Row],[age]]&gt;18,"Adult","Teenage")</f>
        <v>Teenage</v>
      </c>
      <c r="D337">
        <v>5</v>
      </c>
      <c r="E337" t="s">
        <v>20</v>
      </c>
      <c r="F337">
        <v>4.3</v>
      </c>
      <c r="G337">
        <f>Table1[[#This Row],[sleep_hours]]-Table1[[#This Row],[daily_social_media_hours]]</f>
        <v>-0.70000000000000018</v>
      </c>
      <c r="H337">
        <v>1.1000000000000001</v>
      </c>
      <c r="I337">
        <v>3.8</v>
      </c>
      <c r="J337" t="str" cm="1">
        <f t="array" ref="J337">_xlfn.IFS(Table1[[#This Row],[academic_performance]]&gt;1,"Need Improvement",Table1[[#This Row],[academic_performance]]&gt;2,"Good",Table1[[#This Row],[academic_performance]]&gt;3,"Very good",Table1[[#This Row],[academic_performance]]&gt;4,"Excellent")</f>
        <v>Need Improvement</v>
      </c>
      <c r="K337">
        <v>0.4</v>
      </c>
      <c r="L337" t="str">
        <f>IF(Table1[[#This Row],[physical_activity]]&gt;1.9,"better overall ","lower rate of depression")</f>
        <v>lower rate of depression</v>
      </c>
      <c r="M337" t="s">
        <v>19</v>
      </c>
      <c r="N337">
        <v>9</v>
      </c>
      <c r="O337">
        <v>4</v>
      </c>
      <c r="P337">
        <v>10</v>
      </c>
      <c r="Q337">
        <v>0</v>
      </c>
    </row>
    <row r="338" spans="1:17" x14ac:dyDescent="0.3">
      <c r="A338">
        <v>13</v>
      </c>
      <c r="B338" t="s">
        <v>16</v>
      </c>
      <c r="C338" t="str">
        <f>IF(Table1[[#This Row],[age]]&gt;18,"Adult","Teenage")</f>
        <v>Teenage</v>
      </c>
      <c r="D338">
        <v>4.4000000000000004</v>
      </c>
      <c r="E338" t="s">
        <v>14</v>
      </c>
      <c r="F338">
        <v>4.3</v>
      </c>
      <c r="G338">
        <f>Table1[[#This Row],[sleep_hours]]-Table1[[#This Row],[daily_social_media_hours]]</f>
        <v>-0.10000000000000053</v>
      </c>
      <c r="H338">
        <v>1.9</v>
      </c>
      <c r="I338">
        <v>3.51</v>
      </c>
      <c r="J338" t="str" cm="1">
        <f t="array" ref="J338">_xlfn.IFS(Table1[[#This Row],[academic_performance]]&gt;1,"Need Improvement",Table1[[#This Row],[academic_performance]]&gt;2,"Good",Table1[[#This Row],[academic_performance]]&gt;3,"Very good",Table1[[#This Row],[academic_performance]]&gt;4,"Excellent")</f>
        <v>Need Improvement</v>
      </c>
      <c r="K338">
        <v>0.9</v>
      </c>
      <c r="L338" t="str">
        <f>IF(Table1[[#This Row],[physical_activity]]&gt;1.9,"better overall ","lower rate of depression")</f>
        <v>lower rate of depression</v>
      </c>
      <c r="M338" t="s">
        <v>19</v>
      </c>
      <c r="N338">
        <v>8</v>
      </c>
      <c r="O338">
        <v>4</v>
      </c>
      <c r="P338">
        <v>3</v>
      </c>
      <c r="Q338">
        <v>0</v>
      </c>
    </row>
    <row r="339" spans="1:17" x14ac:dyDescent="0.3">
      <c r="A339">
        <v>13</v>
      </c>
      <c r="B339" t="s">
        <v>13</v>
      </c>
      <c r="C339" t="str">
        <f>IF(Table1[[#This Row],[age]]&gt;18,"Adult","Teenage")</f>
        <v>Teenage</v>
      </c>
      <c r="D339">
        <v>3.4</v>
      </c>
      <c r="E339" t="s">
        <v>20</v>
      </c>
      <c r="F339">
        <v>8.6</v>
      </c>
      <c r="G339">
        <f>Table1[[#This Row],[sleep_hours]]-Table1[[#This Row],[daily_social_media_hours]]</f>
        <v>5.1999999999999993</v>
      </c>
      <c r="H339">
        <v>0.8</v>
      </c>
      <c r="I339">
        <v>3.08</v>
      </c>
      <c r="J339" t="str" cm="1">
        <f t="array" ref="J339">_xlfn.IFS(Table1[[#This Row],[academic_performance]]&gt;1,"Need Improvement",Table1[[#This Row],[academic_performance]]&gt;2,"Good",Table1[[#This Row],[academic_performance]]&gt;3,"Very good",Table1[[#This Row],[academic_performance]]&gt;4,"Excellent")</f>
        <v>Need Improvement</v>
      </c>
      <c r="K339">
        <v>0.4</v>
      </c>
      <c r="L339" t="str">
        <f>IF(Table1[[#This Row],[physical_activity]]&gt;1.9,"better overall ","lower rate of depression")</f>
        <v>lower rate of depression</v>
      </c>
      <c r="M339" t="s">
        <v>15</v>
      </c>
      <c r="N339">
        <v>7</v>
      </c>
      <c r="O339">
        <v>10</v>
      </c>
      <c r="P339">
        <v>6</v>
      </c>
      <c r="Q339">
        <v>0</v>
      </c>
    </row>
    <row r="340" spans="1:17" x14ac:dyDescent="0.3">
      <c r="A340">
        <v>18</v>
      </c>
      <c r="B340" t="s">
        <v>13</v>
      </c>
      <c r="C340" t="str">
        <f>IF(Table1[[#This Row],[age]]&gt;18,"Adult","Teenage")</f>
        <v>Teenage</v>
      </c>
      <c r="D340">
        <v>1.2</v>
      </c>
      <c r="E340" t="s">
        <v>14</v>
      </c>
      <c r="F340">
        <v>6.4</v>
      </c>
      <c r="G340">
        <f>Table1[[#This Row],[sleep_hours]]-Table1[[#This Row],[daily_social_media_hours]]</f>
        <v>5.2</v>
      </c>
      <c r="H340">
        <v>1.3</v>
      </c>
      <c r="I340">
        <v>3.03</v>
      </c>
      <c r="J340" t="str" cm="1">
        <f t="array" ref="J340">_xlfn.IFS(Table1[[#This Row],[academic_performance]]&gt;1,"Need Improvement",Table1[[#This Row],[academic_performance]]&gt;2,"Good",Table1[[#This Row],[academic_performance]]&gt;3,"Very good",Table1[[#This Row],[academic_performance]]&gt;4,"Excellent")</f>
        <v>Need Improvement</v>
      </c>
      <c r="K340">
        <v>1</v>
      </c>
      <c r="L340" t="str">
        <f>IF(Table1[[#This Row],[physical_activity]]&gt;1.9,"better overall ","lower rate of depression")</f>
        <v>lower rate of depression</v>
      </c>
      <c r="M340" t="s">
        <v>15</v>
      </c>
      <c r="N340">
        <v>5</v>
      </c>
      <c r="O340">
        <v>9</v>
      </c>
      <c r="P340">
        <v>10</v>
      </c>
      <c r="Q340">
        <v>0</v>
      </c>
    </row>
    <row r="341" spans="1:17" x14ac:dyDescent="0.3">
      <c r="A341">
        <v>14</v>
      </c>
      <c r="B341" t="s">
        <v>13</v>
      </c>
      <c r="C341" t="str">
        <f>IF(Table1[[#This Row],[age]]&gt;18,"Adult","Teenage")</f>
        <v>Teenage</v>
      </c>
      <c r="D341">
        <v>5.5</v>
      </c>
      <c r="E341" t="s">
        <v>17</v>
      </c>
      <c r="F341">
        <v>7.3</v>
      </c>
      <c r="G341">
        <f>Table1[[#This Row],[sleep_hours]]-Table1[[#This Row],[daily_social_media_hours]]</f>
        <v>1.7999999999999998</v>
      </c>
      <c r="H341">
        <v>1.4</v>
      </c>
      <c r="I341">
        <v>2.61</v>
      </c>
      <c r="J341" t="str" cm="1">
        <f t="array" ref="J341">_xlfn.IFS(Table1[[#This Row],[academic_performance]]&gt;1,"Need Improvement",Table1[[#This Row],[academic_performance]]&gt;2,"Good",Table1[[#This Row],[academic_performance]]&gt;3,"Very good",Table1[[#This Row],[academic_performance]]&gt;4,"Excellent")</f>
        <v>Need Improvement</v>
      </c>
      <c r="K341">
        <v>1.2</v>
      </c>
      <c r="L341" t="str">
        <f>IF(Table1[[#This Row],[physical_activity]]&gt;1.9,"better overall ","lower rate of depression")</f>
        <v>lower rate of depression</v>
      </c>
      <c r="M341" t="s">
        <v>18</v>
      </c>
      <c r="N341">
        <v>5</v>
      </c>
      <c r="O341">
        <v>7</v>
      </c>
      <c r="P341">
        <v>1</v>
      </c>
      <c r="Q341">
        <v>0</v>
      </c>
    </row>
    <row r="342" spans="1:17" x14ac:dyDescent="0.3">
      <c r="A342">
        <v>15</v>
      </c>
      <c r="B342" t="s">
        <v>13</v>
      </c>
      <c r="C342" t="str">
        <f>IF(Table1[[#This Row],[age]]&gt;18,"Adult","Teenage")</f>
        <v>Teenage</v>
      </c>
      <c r="D342">
        <v>2.2999999999999998</v>
      </c>
      <c r="E342" t="s">
        <v>20</v>
      </c>
      <c r="F342">
        <v>7.8</v>
      </c>
      <c r="G342">
        <f>Table1[[#This Row],[sleep_hours]]-Table1[[#This Row],[daily_social_media_hours]]</f>
        <v>5.5</v>
      </c>
      <c r="H342">
        <v>3</v>
      </c>
      <c r="I342">
        <v>2.2999999999999998</v>
      </c>
      <c r="J342" t="str" cm="1">
        <f t="array" ref="J342">_xlfn.IFS(Table1[[#This Row],[academic_performance]]&gt;1,"Need Improvement",Table1[[#This Row],[academic_performance]]&gt;2,"Good",Table1[[#This Row],[academic_performance]]&gt;3,"Very good",Table1[[#This Row],[academic_performance]]&gt;4,"Excellent")</f>
        <v>Need Improvement</v>
      </c>
      <c r="K342">
        <v>1.4</v>
      </c>
      <c r="L342" t="str">
        <f>IF(Table1[[#This Row],[physical_activity]]&gt;1.9,"better overall ","lower rate of depression")</f>
        <v>lower rate of depression</v>
      </c>
      <c r="M342" t="s">
        <v>19</v>
      </c>
      <c r="N342">
        <v>4</v>
      </c>
      <c r="O342">
        <v>9</v>
      </c>
      <c r="P342">
        <v>10</v>
      </c>
      <c r="Q342">
        <v>0</v>
      </c>
    </row>
    <row r="343" spans="1:17" x14ac:dyDescent="0.3">
      <c r="A343">
        <v>13</v>
      </c>
      <c r="B343" t="s">
        <v>16</v>
      </c>
      <c r="C343" t="str">
        <f>IF(Table1[[#This Row],[age]]&gt;18,"Adult","Teenage")</f>
        <v>Teenage</v>
      </c>
      <c r="D343">
        <v>1.4</v>
      </c>
      <c r="E343" t="s">
        <v>20</v>
      </c>
      <c r="F343">
        <v>7.4</v>
      </c>
      <c r="G343">
        <f>Table1[[#This Row],[sleep_hours]]-Table1[[#This Row],[daily_social_media_hours]]</f>
        <v>6</v>
      </c>
      <c r="H343">
        <v>0.5</v>
      </c>
      <c r="I343">
        <v>2.3199999999999998</v>
      </c>
      <c r="J343" t="str" cm="1">
        <f t="array" ref="J343">_xlfn.IFS(Table1[[#This Row],[academic_performance]]&gt;1,"Need Improvement",Table1[[#This Row],[academic_performance]]&gt;2,"Good",Table1[[#This Row],[academic_performance]]&gt;3,"Very good",Table1[[#This Row],[academic_performance]]&gt;4,"Excellent")</f>
        <v>Need Improvement</v>
      </c>
      <c r="K343">
        <v>1.3</v>
      </c>
      <c r="L343" t="str">
        <f>IF(Table1[[#This Row],[physical_activity]]&gt;1.9,"better overall ","lower rate of depression")</f>
        <v>lower rate of depression</v>
      </c>
      <c r="M343" t="s">
        <v>15</v>
      </c>
      <c r="N343">
        <v>3</v>
      </c>
      <c r="O343">
        <v>2</v>
      </c>
      <c r="P343">
        <v>6</v>
      </c>
      <c r="Q343">
        <v>0</v>
      </c>
    </row>
    <row r="344" spans="1:17" x14ac:dyDescent="0.3">
      <c r="A344">
        <v>13</v>
      </c>
      <c r="B344" t="s">
        <v>16</v>
      </c>
      <c r="C344" t="str">
        <f>IF(Table1[[#This Row],[age]]&gt;18,"Adult","Teenage")</f>
        <v>Teenage</v>
      </c>
      <c r="D344">
        <v>3</v>
      </c>
      <c r="E344" t="s">
        <v>14</v>
      </c>
      <c r="F344">
        <v>7</v>
      </c>
      <c r="G344">
        <f>Table1[[#This Row],[sleep_hours]]-Table1[[#This Row],[daily_social_media_hours]]</f>
        <v>4</v>
      </c>
      <c r="H344">
        <v>0.9</v>
      </c>
      <c r="I344">
        <v>2.73</v>
      </c>
      <c r="J344" t="str" cm="1">
        <f t="array" ref="J344">_xlfn.IFS(Table1[[#This Row],[academic_performance]]&gt;1,"Need Improvement",Table1[[#This Row],[academic_performance]]&gt;2,"Good",Table1[[#This Row],[academic_performance]]&gt;3,"Very good",Table1[[#This Row],[academic_performance]]&gt;4,"Excellent")</f>
        <v>Need Improvement</v>
      </c>
      <c r="K344">
        <v>1.7</v>
      </c>
      <c r="L344" t="str">
        <f>IF(Table1[[#This Row],[physical_activity]]&gt;1.9,"better overall ","lower rate of depression")</f>
        <v>lower rate of depression</v>
      </c>
      <c r="M344" t="s">
        <v>18</v>
      </c>
      <c r="N344">
        <v>5</v>
      </c>
      <c r="O344">
        <v>6</v>
      </c>
      <c r="P344">
        <v>9</v>
      </c>
      <c r="Q344">
        <v>0</v>
      </c>
    </row>
    <row r="345" spans="1:17" x14ac:dyDescent="0.3">
      <c r="A345">
        <v>14</v>
      </c>
      <c r="B345" t="s">
        <v>13</v>
      </c>
      <c r="C345" t="str">
        <f>IF(Table1[[#This Row],[age]]&gt;18,"Adult","Teenage")</f>
        <v>Teenage</v>
      </c>
      <c r="D345">
        <v>2.8</v>
      </c>
      <c r="E345" t="s">
        <v>14</v>
      </c>
      <c r="F345">
        <v>5</v>
      </c>
      <c r="G345">
        <f>Table1[[#This Row],[sleep_hours]]-Table1[[#This Row],[daily_social_media_hours]]</f>
        <v>2.2000000000000002</v>
      </c>
      <c r="H345">
        <v>2.5</v>
      </c>
      <c r="I345">
        <v>3.92</v>
      </c>
      <c r="J345" t="str" cm="1">
        <f t="array" ref="J345">_xlfn.IFS(Table1[[#This Row],[academic_performance]]&gt;1,"Need Improvement",Table1[[#This Row],[academic_performance]]&gt;2,"Good",Table1[[#This Row],[academic_performance]]&gt;3,"Very good",Table1[[#This Row],[academic_performance]]&gt;4,"Excellent")</f>
        <v>Need Improvement</v>
      </c>
      <c r="K345">
        <v>1.8</v>
      </c>
      <c r="L345" t="str">
        <f>IF(Table1[[#This Row],[physical_activity]]&gt;1.9,"better overall ","lower rate of depression")</f>
        <v>lower rate of depression</v>
      </c>
      <c r="M345" t="s">
        <v>18</v>
      </c>
      <c r="N345">
        <v>1</v>
      </c>
      <c r="O345">
        <v>3</v>
      </c>
      <c r="P345">
        <v>4</v>
      </c>
      <c r="Q345">
        <v>0</v>
      </c>
    </row>
    <row r="346" spans="1:17" x14ac:dyDescent="0.3">
      <c r="A346">
        <v>14</v>
      </c>
      <c r="B346" t="s">
        <v>13</v>
      </c>
      <c r="C346" t="str">
        <f>IF(Table1[[#This Row],[age]]&gt;18,"Adult","Teenage")</f>
        <v>Teenage</v>
      </c>
      <c r="D346">
        <v>7</v>
      </c>
      <c r="E346" t="s">
        <v>17</v>
      </c>
      <c r="F346">
        <v>6.9</v>
      </c>
      <c r="G346">
        <f>Table1[[#This Row],[sleep_hours]]-Table1[[#This Row],[daily_social_media_hours]]</f>
        <v>-9.9999999999999645E-2</v>
      </c>
      <c r="H346">
        <v>1</v>
      </c>
      <c r="I346">
        <v>3.93</v>
      </c>
      <c r="J346" t="str" cm="1">
        <f t="array" ref="J346">_xlfn.IFS(Table1[[#This Row],[academic_performance]]&gt;1,"Need Improvement",Table1[[#This Row],[academic_performance]]&gt;2,"Good",Table1[[#This Row],[academic_performance]]&gt;3,"Very good",Table1[[#This Row],[academic_performance]]&gt;4,"Excellent")</f>
        <v>Need Improvement</v>
      </c>
      <c r="K346">
        <v>1.1000000000000001</v>
      </c>
      <c r="L346" t="str">
        <f>IF(Table1[[#This Row],[physical_activity]]&gt;1.9,"better overall ","lower rate of depression")</f>
        <v>lower rate of depression</v>
      </c>
      <c r="M346" t="s">
        <v>18</v>
      </c>
      <c r="N346">
        <v>9</v>
      </c>
      <c r="O346">
        <v>3</v>
      </c>
      <c r="P346">
        <v>7</v>
      </c>
      <c r="Q346">
        <v>0</v>
      </c>
    </row>
    <row r="347" spans="1:17" x14ac:dyDescent="0.3">
      <c r="A347">
        <v>13</v>
      </c>
      <c r="B347" t="s">
        <v>16</v>
      </c>
      <c r="C347" t="str">
        <f>IF(Table1[[#This Row],[age]]&gt;18,"Adult","Teenage")</f>
        <v>Teenage</v>
      </c>
      <c r="D347">
        <v>1.6</v>
      </c>
      <c r="E347" t="s">
        <v>20</v>
      </c>
      <c r="F347">
        <v>8.4</v>
      </c>
      <c r="G347">
        <f>Table1[[#This Row],[sleep_hours]]-Table1[[#This Row],[daily_social_media_hours]]</f>
        <v>6.8000000000000007</v>
      </c>
      <c r="H347">
        <v>1.4</v>
      </c>
      <c r="I347">
        <v>3.47</v>
      </c>
      <c r="J347" t="str" cm="1">
        <f t="array" ref="J347">_xlfn.IFS(Table1[[#This Row],[academic_performance]]&gt;1,"Need Improvement",Table1[[#This Row],[academic_performance]]&gt;2,"Good",Table1[[#This Row],[academic_performance]]&gt;3,"Very good",Table1[[#This Row],[academic_performance]]&gt;4,"Excellent")</f>
        <v>Need Improvement</v>
      </c>
      <c r="K347">
        <v>0.1</v>
      </c>
      <c r="L347" t="str">
        <f>IF(Table1[[#This Row],[physical_activity]]&gt;1.9,"better overall ","lower rate of depression")</f>
        <v>lower rate of depression</v>
      </c>
      <c r="M347" t="s">
        <v>19</v>
      </c>
      <c r="N347">
        <v>1</v>
      </c>
      <c r="O347">
        <v>6</v>
      </c>
      <c r="P347">
        <v>6</v>
      </c>
      <c r="Q347">
        <v>0</v>
      </c>
    </row>
    <row r="348" spans="1:17" x14ac:dyDescent="0.3">
      <c r="A348">
        <v>15</v>
      </c>
      <c r="B348" t="s">
        <v>16</v>
      </c>
      <c r="C348" t="str">
        <f>IF(Table1[[#This Row],[age]]&gt;18,"Adult","Teenage")</f>
        <v>Teenage</v>
      </c>
      <c r="D348">
        <v>4.2</v>
      </c>
      <c r="E348" t="s">
        <v>14</v>
      </c>
      <c r="F348">
        <v>8.4</v>
      </c>
      <c r="G348">
        <f>Table1[[#This Row],[sleep_hours]]-Table1[[#This Row],[daily_social_media_hours]]</f>
        <v>4.2</v>
      </c>
      <c r="H348">
        <v>1.2</v>
      </c>
      <c r="I348">
        <v>2.61</v>
      </c>
      <c r="J348" t="str" cm="1">
        <f t="array" ref="J348">_xlfn.IFS(Table1[[#This Row],[academic_performance]]&gt;1,"Need Improvement",Table1[[#This Row],[academic_performance]]&gt;2,"Good",Table1[[#This Row],[academic_performance]]&gt;3,"Very good",Table1[[#This Row],[academic_performance]]&gt;4,"Excellent")</f>
        <v>Need Improvement</v>
      </c>
      <c r="K348">
        <v>0</v>
      </c>
      <c r="L348" t="str">
        <f>IF(Table1[[#This Row],[physical_activity]]&gt;1.9,"better overall ","lower rate of depression")</f>
        <v>lower rate of depression</v>
      </c>
      <c r="M348" t="s">
        <v>19</v>
      </c>
      <c r="N348">
        <v>3</v>
      </c>
      <c r="O348">
        <v>10</v>
      </c>
      <c r="P348">
        <v>2</v>
      </c>
      <c r="Q348">
        <v>0</v>
      </c>
    </row>
    <row r="349" spans="1:17" x14ac:dyDescent="0.3">
      <c r="A349">
        <v>17</v>
      </c>
      <c r="B349" t="s">
        <v>13</v>
      </c>
      <c r="C349" t="str">
        <f>IF(Table1[[#This Row],[age]]&gt;18,"Adult","Teenage")</f>
        <v>Teenage</v>
      </c>
      <c r="D349">
        <v>4.9000000000000004</v>
      </c>
      <c r="E349" t="s">
        <v>14</v>
      </c>
      <c r="F349">
        <v>8.6</v>
      </c>
      <c r="G349">
        <f>Table1[[#This Row],[sleep_hours]]-Table1[[#This Row],[daily_social_media_hours]]</f>
        <v>3.6999999999999993</v>
      </c>
      <c r="H349">
        <v>3</v>
      </c>
      <c r="I349">
        <v>3.62</v>
      </c>
      <c r="J349" t="str" cm="1">
        <f t="array" ref="J349">_xlfn.IFS(Table1[[#This Row],[academic_performance]]&gt;1,"Need Improvement",Table1[[#This Row],[academic_performance]]&gt;2,"Good",Table1[[#This Row],[academic_performance]]&gt;3,"Very good",Table1[[#This Row],[academic_performance]]&gt;4,"Excellent")</f>
        <v>Need Improvement</v>
      </c>
      <c r="K349">
        <v>1.2</v>
      </c>
      <c r="L349" t="str">
        <f>IF(Table1[[#This Row],[physical_activity]]&gt;1.9,"better overall ","lower rate of depression")</f>
        <v>lower rate of depression</v>
      </c>
      <c r="M349" t="s">
        <v>15</v>
      </c>
      <c r="N349">
        <v>6</v>
      </c>
      <c r="O349">
        <v>6</v>
      </c>
      <c r="P349">
        <v>9</v>
      </c>
      <c r="Q349">
        <v>0</v>
      </c>
    </row>
    <row r="350" spans="1:17" x14ac:dyDescent="0.3">
      <c r="A350">
        <v>14</v>
      </c>
      <c r="B350" t="s">
        <v>16</v>
      </c>
      <c r="C350" t="str">
        <f>IF(Table1[[#This Row],[age]]&gt;18,"Adult","Teenage")</f>
        <v>Teenage</v>
      </c>
      <c r="D350">
        <v>3.6</v>
      </c>
      <c r="E350" t="s">
        <v>14</v>
      </c>
      <c r="F350">
        <v>4.0999999999999996</v>
      </c>
      <c r="G350">
        <f>Table1[[#This Row],[sleep_hours]]-Table1[[#This Row],[daily_social_media_hours]]</f>
        <v>0.49999999999999956</v>
      </c>
      <c r="H350">
        <v>2.9</v>
      </c>
      <c r="I350">
        <v>2.83</v>
      </c>
      <c r="J350" t="str" cm="1">
        <f t="array" ref="J350">_xlfn.IFS(Table1[[#This Row],[academic_performance]]&gt;1,"Need Improvement",Table1[[#This Row],[academic_performance]]&gt;2,"Good",Table1[[#This Row],[academic_performance]]&gt;3,"Very good",Table1[[#This Row],[academic_performance]]&gt;4,"Excellent")</f>
        <v>Need Improvement</v>
      </c>
      <c r="K350">
        <v>0.5</v>
      </c>
      <c r="L350" t="str">
        <f>IF(Table1[[#This Row],[physical_activity]]&gt;1.9,"better overall ","lower rate of depression")</f>
        <v>lower rate of depression</v>
      </c>
      <c r="M350" t="s">
        <v>19</v>
      </c>
      <c r="N350">
        <v>10</v>
      </c>
      <c r="O350">
        <v>6</v>
      </c>
      <c r="P350">
        <v>7</v>
      </c>
      <c r="Q350">
        <v>0</v>
      </c>
    </row>
    <row r="351" spans="1:17" x14ac:dyDescent="0.3">
      <c r="A351">
        <v>19</v>
      </c>
      <c r="B351" t="s">
        <v>13</v>
      </c>
      <c r="C351" t="str">
        <f>IF(Table1[[#This Row],[age]]&gt;18,"Adult","Teenage")</f>
        <v>Adult</v>
      </c>
      <c r="D351">
        <v>1.8</v>
      </c>
      <c r="E351" t="s">
        <v>17</v>
      </c>
      <c r="F351">
        <v>6</v>
      </c>
      <c r="G351">
        <f>Table1[[#This Row],[sleep_hours]]-Table1[[#This Row],[daily_social_media_hours]]</f>
        <v>4.2</v>
      </c>
      <c r="H351">
        <v>2.2999999999999998</v>
      </c>
      <c r="I351">
        <v>3.22</v>
      </c>
      <c r="J351" t="str" cm="1">
        <f t="array" ref="J351">_xlfn.IFS(Table1[[#This Row],[academic_performance]]&gt;1,"Need Improvement",Table1[[#This Row],[academic_performance]]&gt;2,"Good",Table1[[#This Row],[academic_performance]]&gt;3,"Very good",Table1[[#This Row],[academic_performance]]&gt;4,"Excellent")</f>
        <v>Need Improvement</v>
      </c>
      <c r="K351">
        <v>1</v>
      </c>
      <c r="L351" t="str">
        <f>IF(Table1[[#This Row],[physical_activity]]&gt;1.9,"better overall ","lower rate of depression")</f>
        <v>lower rate of depression</v>
      </c>
      <c r="M351" t="s">
        <v>19</v>
      </c>
      <c r="N351">
        <v>5</v>
      </c>
      <c r="O351">
        <v>6</v>
      </c>
      <c r="P351">
        <v>8</v>
      </c>
      <c r="Q351">
        <v>0</v>
      </c>
    </row>
    <row r="352" spans="1:17" x14ac:dyDescent="0.3">
      <c r="A352">
        <v>17</v>
      </c>
      <c r="B352" t="s">
        <v>16</v>
      </c>
      <c r="C352" t="str">
        <f>IF(Table1[[#This Row],[age]]&gt;18,"Adult","Teenage")</f>
        <v>Teenage</v>
      </c>
      <c r="D352">
        <v>2.7</v>
      </c>
      <c r="E352" t="s">
        <v>14</v>
      </c>
      <c r="F352">
        <v>5.4</v>
      </c>
      <c r="G352">
        <f>Table1[[#This Row],[sleep_hours]]-Table1[[#This Row],[daily_social_media_hours]]</f>
        <v>2.7</v>
      </c>
      <c r="H352">
        <v>2.6</v>
      </c>
      <c r="I352">
        <v>2.0699999999999998</v>
      </c>
      <c r="J352" t="str" cm="1">
        <f t="array" ref="J352">_xlfn.IFS(Table1[[#This Row],[academic_performance]]&gt;1,"Need Improvement",Table1[[#This Row],[academic_performance]]&gt;2,"Good",Table1[[#This Row],[academic_performance]]&gt;3,"Very good",Table1[[#This Row],[academic_performance]]&gt;4,"Excellent")</f>
        <v>Need Improvement</v>
      </c>
      <c r="K352">
        <v>0</v>
      </c>
      <c r="L352" t="str">
        <f>IF(Table1[[#This Row],[physical_activity]]&gt;1.9,"better overall ","lower rate of depression")</f>
        <v>lower rate of depression</v>
      </c>
      <c r="M352" t="s">
        <v>19</v>
      </c>
      <c r="N352">
        <v>6</v>
      </c>
      <c r="O352">
        <v>5</v>
      </c>
      <c r="P352">
        <v>6</v>
      </c>
      <c r="Q352">
        <v>0</v>
      </c>
    </row>
    <row r="353" spans="1:17" x14ac:dyDescent="0.3">
      <c r="A353">
        <v>15</v>
      </c>
      <c r="B353" t="s">
        <v>16</v>
      </c>
      <c r="C353" t="str">
        <f>IF(Table1[[#This Row],[age]]&gt;18,"Adult","Teenage")</f>
        <v>Teenage</v>
      </c>
      <c r="D353">
        <v>1.2</v>
      </c>
      <c r="E353" t="s">
        <v>14</v>
      </c>
      <c r="F353">
        <v>5.2</v>
      </c>
      <c r="G353">
        <f>Table1[[#This Row],[sleep_hours]]-Table1[[#This Row],[daily_social_media_hours]]</f>
        <v>4</v>
      </c>
      <c r="H353">
        <v>1</v>
      </c>
      <c r="I353">
        <v>2.78</v>
      </c>
      <c r="J353" t="str" cm="1">
        <f t="array" ref="J353">_xlfn.IFS(Table1[[#This Row],[academic_performance]]&gt;1,"Need Improvement",Table1[[#This Row],[academic_performance]]&gt;2,"Good",Table1[[#This Row],[academic_performance]]&gt;3,"Very good",Table1[[#This Row],[academic_performance]]&gt;4,"Excellent")</f>
        <v>Need Improvement</v>
      </c>
      <c r="K353">
        <v>1.3</v>
      </c>
      <c r="L353" t="str">
        <f>IF(Table1[[#This Row],[physical_activity]]&gt;1.9,"better overall ","lower rate of depression")</f>
        <v>lower rate of depression</v>
      </c>
      <c r="M353" t="s">
        <v>18</v>
      </c>
      <c r="N353">
        <v>5</v>
      </c>
      <c r="O353">
        <v>8</v>
      </c>
      <c r="P353">
        <v>10</v>
      </c>
      <c r="Q353">
        <v>0</v>
      </c>
    </row>
    <row r="354" spans="1:17" x14ac:dyDescent="0.3">
      <c r="A354">
        <v>18</v>
      </c>
      <c r="B354" t="s">
        <v>16</v>
      </c>
      <c r="C354" t="str">
        <f>IF(Table1[[#This Row],[age]]&gt;18,"Adult","Teenage")</f>
        <v>Teenage</v>
      </c>
      <c r="D354">
        <v>6.2</v>
      </c>
      <c r="E354" t="s">
        <v>20</v>
      </c>
      <c r="F354">
        <v>6.7</v>
      </c>
      <c r="G354">
        <f>Table1[[#This Row],[sleep_hours]]-Table1[[#This Row],[daily_social_media_hours]]</f>
        <v>0.5</v>
      </c>
      <c r="H354">
        <v>1.4</v>
      </c>
      <c r="I354">
        <v>3.42</v>
      </c>
      <c r="J354" t="str" cm="1">
        <f t="array" ref="J354">_xlfn.IFS(Table1[[#This Row],[academic_performance]]&gt;1,"Need Improvement",Table1[[#This Row],[academic_performance]]&gt;2,"Good",Table1[[#This Row],[academic_performance]]&gt;3,"Very good",Table1[[#This Row],[academic_performance]]&gt;4,"Excellent")</f>
        <v>Need Improvement</v>
      </c>
      <c r="K354">
        <v>0.9</v>
      </c>
      <c r="L354" t="str">
        <f>IF(Table1[[#This Row],[physical_activity]]&gt;1.9,"better overall ","lower rate of depression")</f>
        <v>lower rate of depression</v>
      </c>
      <c r="M354" t="s">
        <v>15</v>
      </c>
      <c r="N354">
        <v>6</v>
      </c>
      <c r="O354">
        <v>8</v>
      </c>
      <c r="P354">
        <v>6</v>
      </c>
      <c r="Q354">
        <v>0</v>
      </c>
    </row>
    <row r="355" spans="1:17" x14ac:dyDescent="0.3">
      <c r="A355">
        <v>18</v>
      </c>
      <c r="B355" t="s">
        <v>13</v>
      </c>
      <c r="C355" t="str">
        <f>IF(Table1[[#This Row],[age]]&gt;18,"Adult","Teenage")</f>
        <v>Teenage</v>
      </c>
      <c r="D355">
        <v>1.6</v>
      </c>
      <c r="E355" t="s">
        <v>17</v>
      </c>
      <c r="F355">
        <v>6.2</v>
      </c>
      <c r="G355">
        <f>Table1[[#This Row],[sleep_hours]]-Table1[[#This Row],[daily_social_media_hours]]</f>
        <v>4.5999999999999996</v>
      </c>
      <c r="H355">
        <v>1.9</v>
      </c>
      <c r="I355">
        <v>2.0499999999999998</v>
      </c>
      <c r="J355" t="str" cm="1">
        <f t="array" ref="J355">_xlfn.IFS(Table1[[#This Row],[academic_performance]]&gt;1,"Need Improvement",Table1[[#This Row],[academic_performance]]&gt;2,"Good",Table1[[#This Row],[academic_performance]]&gt;3,"Very good",Table1[[#This Row],[academic_performance]]&gt;4,"Excellent")</f>
        <v>Need Improvement</v>
      </c>
      <c r="K355">
        <v>0.3</v>
      </c>
      <c r="L355" t="str">
        <f>IF(Table1[[#This Row],[physical_activity]]&gt;1.9,"better overall ","lower rate of depression")</f>
        <v>lower rate of depression</v>
      </c>
      <c r="M355" t="s">
        <v>15</v>
      </c>
      <c r="N355">
        <v>8</v>
      </c>
      <c r="O355">
        <v>9</v>
      </c>
      <c r="P355">
        <v>9</v>
      </c>
      <c r="Q355">
        <v>0</v>
      </c>
    </row>
    <row r="356" spans="1:17" x14ac:dyDescent="0.3">
      <c r="A356">
        <v>18</v>
      </c>
      <c r="B356" t="s">
        <v>16</v>
      </c>
      <c r="C356" t="str">
        <f>IF(Table1[[#This Row],[age]]&gt;18,"Adult","Teenage")</f>
        <v>Teenage</v>
      </c>
      <c r="D356">
        <v>5.0999999999999996</v>
      </c>
      <c r="E356" t="s">
        <v>17</v>
      </c>
      <c r="F356">
        <v>7.4</v>
      </c>
      <c r="G356">
        <f>Table1[[#This Row],[sleep_hours]]-Table1[[#This Row],[daily_social_media_hours]]</f>
        <v>2.3000000000000007</v>
      </c>
      <c r="H356">
        <v>1.3</v>
      </c>
      <c r="I356">
        <v>3.5</v>
      </c>
      <c r="J356" t="str" cm="1">
        <f t="array" ref="J356">_xlfn.IFS(Table1[[#This Row],[academic_performance]]&gt;1,"Need Improvement",Table1[[#This Row],[academic_performance]]&gt;2,"Good",Table1[[#This Row],[academic_performance]]&gt;3,"Very good",Table1[[#This Row],[academic_performance]]&gt;4,"Excellent")</f>
        <v>Need Improvement</v>
      </c>
      <c r="K356">
        <v>1.6</v>
      </c>
      <c r="L356" t="str">
        <f>IF(Table1[[#This Row],[physical_activity]]&gt;1.9,"better overall ","lower rate of depression")</f>
        <v>lower rate of depression</v>
      </c>
      <c r="M356" t="s">
        <v>18</v>
      </c>
      <c r="N356">
        <v>1</v>
      </c>
      <c r="O356">
        <v>5</v>
      </c>
      <c r="P356">
        <v>5</v>
      </c>
      <c r="Q356">
        <v>0</v>
      </c>
    </row>
    <row r="357" spans="1:17" x14ac:dyDescent="0.3">
      <c r="A357">
        <v>13</v>
      </c>
      <c r="B357" t="s">
        <v>16</v>
      </c>
      <c r="C357" t="str">
        <f>IF(Table1[[#This Row],[age]]&gt;18,"Adult","Teenage")</f>
        <v>Teenage</v>
      </c>
      <c r="D357">
        <v>5.2</v>
      </c>
      <c r="E357" t="s">
        <v>17</v>
      </c>
      <c r="F357">
        <v>8.1999999999999993</v>
      </c>
      <c r="G357">
        <f>Table1[[#This Row],[sleep_hours]]-Table1[[#This Row],[daily_social_media_hours]]</f>
        <v>2.9999999999999991</v>
      </c>
      <c r="H357">
        <v>2.8</v>
      </c>
      <c r="I357">
        <v>2.12</v>
      </c>
      <c r="J357" t="str" cm="1">
        <f t="array" ref="J357">_xlfn.IFS(Table1[[#This Row],[academic_performance]]&gt;1,"Need Improvement",Table1[[#This Row],[academic_performance]]&gt;2,"Good",Table1[[#This Row],[academic_performance]]&gt;3,"Very good",Table1[[#This Row],[academic_performance]]&gt;4,"Excellent")</f>
        <v>Need Improvement</v>
      </c>
      <c r="K357">
        <v>1.4</v>
      </c>
      <c r="L357" t="str">
        <f>IF(Table1[[#This Row],[physical_activity]]&gt;1.9,"better overall ","lower rate of depression")</f>
        <v>lower rate of depression</v>
      </c>
      <c r="M357" t="s">
        <v>19</v>
      </c>
      <c r="N357">
        <v>1</v>
      </c>
      <c r="O357">
        <v>8</v>
      </c>
      <c r="P357">
        <v>1</v>
      </c>
      <c r="Q357">
        <v>0</v>
      </c>
    </row>
    <row r="358" spans="1:17" x14ac:dyDescent="0.3">
      <c r="A358">
        <v>14</v>
      </c>
      <c r="B358" t="s">
        <v>13</v>
      </c>
      <c r="C358" t="str">
        <f>IF(Table1[[#This Row],[age]]&gt;18,"Adult","Teenage")</f>
        <v>Teenage</v>
      </c>
      <c r="D358">
        <v>4.0999999999999996</v>
      </c>
      <c r="E358" t="s">
        <v>17</v>
      </c>
      <c r="F358">
        <v>5.0999999999999996</v>
      </c>
      <c r="G358">
        <f>Table1[[#This Row],[sleep_hours]]-Table1[[#This Row],[daily_social_media_hours]]</f>
        <v>1</v>
      </c>
      <c r="H358">
        <v>2</v>
      </c>
      <c r="I358">
        <v>3.51</v>
      </c>
      <c r="J358" t="str" cm="1">
        <f t="array" ref="J358">_xlfn.IFS(Table1[[#This Row],[academic_performance]]&gt;1,"Need Improvement",Table1[[#This Row],[academic_performance]]&gt;2,"Good",Table1[[#This Row],[academic_performance]]&gt;3,"Very good",Table1[[#This Row],[academic_performance]]&gt;4,"Excellent")</f>
        <v>Need Improvement</v>
      </c>
      <c r="K358">
        <v>0.7</v>
      </c>
      <c r="L358" t="str">
        <f>IF(Table1[[#This Row],[physical_activity]]&gt;1.9,"better overall ","lower rate of depression")</f>
        <v>lower rate of depression</v>
      </c>
      <c r="M358" t="s">
        <v>18</v>
      </c>
      <c r="N358">
        <v>2</v>
      </c>
      <c r="O358">
        <v>9</v>
      </c>
      <c r="P358">
        <v>1</v>
      </c>
      <c r="Q358">
        <v>0</v>
      </c>
    </row>
    <row r="359" spans="1:17" x14ac:dyDescent="0.3">
      <c r="A359">
        <v>19</v>
      </c>
      <c r="B359" t="s">
        <v>16</v>
      </c>
      <c r="C359" t="str">
        <f>IF(Table1[[#This Row],[age]]&gt;18,"Adult","Teenage")</f>
        <v>Adult</v>
      </c>
      <c r="D359">
        <v>5.4</v>
      </c>
      <c r="E359" t="s">
        <v>17</v>
      </c>
      <c r="F359">
        <v>4.4000000000000004</v>
      </c>
      <c r="G359">
        <f>Table1[[#This Row],[sleep_hours]]-Table1[[#This Row],[daily_social_media_hours]]</f>
        <v>-1</v>
      </c>
      <c r="H359">
        <v>2.2999999999999998</v>
      </c>
      <c r="I359">
        <v>3.34</v>
      </c>
      <c r="J359" t="str" cm="1">
        <f t="array" ref="J359">_xlfn.IFS(Table1[[#This Row],[academic_performance]]&gt;1,"Need Improvement",Table1[[#This Row],[academic_performance]]&gt;2,"Good",Table1[[#This Row],[academic_performance]]&gt;3,"Very good",Table1[[#This Row],[academic_performance]]&gt;4,"Excellent")</f>
        <v>Need Improvement</v>
      </c>
      <c r="K359">
        <v>0.4</v>
      </c>
      <c r="L359" t="str">
        <f>IF(Table1[[#This Row],[physical_activity]]&gt;1.9,"better overall ","lower rate of depression")</f>
        <v>lower rate of depression</v>
      </c>
      <c r="M359" t="s">
        <v>18</v>
      </c>
      <c r="N359">
        <v>3</v>
      </c>
      <c r="O359">
        <v>3</v>
      </c>
      <c r="P359">
        <v>8</v>
      </c>
      <c r="Q359">
        <v>0</v>
      </c>
    </row>
    <row r="360" spans="1:17" x14ac:dyDescent="0.3">
      <c r="A360">
        <v>13</v>
      </c>
      <c r="B360" t="s">
        <v>13</v>
      </c>
      <c r="C360" t="str">
        <f>IF(Table1[[#This Row],[age]]&gt;18,"Adult","Teenage")</f>
        <v>Teenage</v>
      </c>
      <c r="D360">
        <v>2.4</v>
      </c>
      <c r="E360" t="s">
        <v>17</v>
      </c>
      <c r="F360">
        <v>8.4</v>
      </c>
      <c r="G360">
        <f>Table1[[#This Row],[sleep_hours]]-Table1[[#This Row],[daily_social_media_hours]]</f>
        <v>6</v>
      </c>
      <c r="H360">
        <v>1.6</v>
      </c>
      <c r="I360">
        <v>2.82</v>
      </c>
      <c r="J360" t="str" cm="1">
        <f t="array" ref="J360">_xlfn.IFS(Table1[[#This Row],[academic_performance]]&gt;1,"Need Improvement",Table1[[#This Row],[academic_performance]]&gt;2,"Good",Table1[[#This Row],[academic_performance]]&gt;3,"Very good",Table1[[#This Row],[academic_performance]]&gt;4,"Excellent")</f>
        <v>Need Improvement</v>
      </c>
      <c r="K360">
        <v>1.1000000000000001</v>
      </c>
      <c r="L360" t="str">
        <f>IF(Table1[[#This Row],[physical_activity]]&gt;1.9,"better overall ","lower rate of depression")</f>
        <v>lower rate of depression</v>
      </c>
      <c r="M360" t="s">
        <v>15</v>
      </c>
      <c r="N360">
        <v>1</v>
      </c>
      <c r="O360">
        <v>3</v>
      </c>
      <c r="P360">
        <v>2</v>
      </c>
      <c r="Q360">
        <v>0</v>
      </c>
    </row>
    <row r="361" spans="1:17" x14ac:dyDescent="0.3">
      <c r="A361">
        <v>18</v>
      </c>
      <c r="B361" t="s">
        <v>13</v>
      </c>
      <c r="C361" t="str">
        <f>IF(Table1[[#This Row],[age]]&gt;18,"Adult","Teenage")</f>
        <v>Teenage</v>
      </c>
      <c r="D361">
        <v>1.7</v>
      </c>
      <c r="E361" t="s">
        <v>20</v>
      </c>
      <c r="F361">
        <v>5.6</v>
      </c>
      <c r="G361">
        <f>Table1[[#This Row],[sleep_hours]]-Table1[[#This Row],[daily_social_media_hours]]</f>
        <v>3.8999999999999995</v>
      </c>
      <c r="H361">
        <v>1.4</v>
      </c>
      <c r="I361">
        <v>2.85</v>
      </c>
      <c r="J361" t="str" cm="1">
        <f t="array" ref="J361">_xlfn.IFS(Table1[[#This Row],[academic_performance]]&gt;1,"Need Improvement",Table1[[#This Row],[academic_performance]]&gt;2,"Good",Table1[[#This Row],[academic_performance]]&gt;3,"Very good",Table1[[#This Row],[academic_performance]]&gt;4,"Excellent")</f>
        <v>Need Improvement</v>
      </c>
      <c r="K361">
        <v>1</v>
      </c>
      <c r="L361" t="str">
        <f>IF(Table1[[#This Row],[physical_activity]]&gt;1.9,"better overall ","lower rate of depression")</f>
        <v>lower rate of depression</v>
      </c>
      <c r="M361" t="s">
        <v>18</v>
      </c>
      <c r="N361">
        <v>3</v>
      </c>
      <c r="O361">
        <v>3</v>
      </c>
      <c r="P361">
        <v>7</v>
      </c>
      <c r="Q361">
        <v>0</v>
      </c>
    </row>
    <row r="362" spans="1:17" x14ac:dyDescent="0.3">
      <c r="A362">
        <v>18</v>
      </c>
      <c r="B362" t="s">
        <v>13</v>
      </c>
      <c r="C362" t="str">
        <f>IF(Table1[[#This Row],[age]]&gt;18,"Adult","Teenage")</f>
        <v>Teenage</v>
      </c>
      <c r="D362">
        <v>6</v>
      </c>
      <c r="E362" t="s">
        <v>20</v>
      </c>
      <c r="F362">
        <v>6.1</v>
      </c>
      <c r="G362">
        <f>Table1[[#This Row],[sleep_hours]]-Table1[[#This Row],[daily_social_media_hours]]</f>
        <v>9.9999999999999645E-2</v>
      </c>
      <c r="H362">
        <v>0.9</v>
      </c>
      <c r="I362">
        <v>2.68</v>
      </c>
      <c r="J362" t="str" cm="1">
        <f t="array" ref="J362">_xlfn.IFS(Table1[[#This Row],[academic_performance]]&gt;1,"Need Improvement",Table1[[#This Row],[academic_performance]]&gt;2,"Good",Table1[[#This Row],[academic_performance]]&gt;3,"Very good",Table1[[#This Row],[academic_performance]]&gt;4,"Excellent")</f>
        <v>Need Improvement</v>
      </c>
      <c r="K362">
        <v>0.3</v>
      </c>
      <c r="L362" t="str">
        <f>IF(Table1[[#This Row],[physical_activity]]&gt;1.9,"better overall ","lower rate of depression")</f>
        <v>lower rate of depression</v>
      </c>
      <c r="M362" t="s">
        <v>19</v>
      </c>
      <c r="N362">
        <v>2</v>
      </c>
      <c r="O362">
        <v>10</v>
      </c>
      <c r="P362">
        <v>10</v>
      </c>
      <c r="Q362">
        <v>0</v>
      </c>
    </row>
    <row r="363" spans="1:17" x14ac:dyDescent="0.3">
      <c r="A363">
        <v>17</v>
      </c>
      <c r="B363" t="s">
        <v>13</v>
      </c>
      <c r="C363" t="str">
        <f>IF(Table1[[#This Row],[age]]&gt;18,"Adult","Teenage")</f>
        <v>Teenage</v>
      </c>
      <c r="D363">
        <v>7.2</v>
      </c>
      <c r="E363" t="s">
        <v>20</v>
      </c>
      <c r="F363">
        <v>6.1</v>
      </c>
      <c r="G363">
        <f>Table1[[#This Row],[sleep_hours]]-Table1[[#This Row],[daily_social_media_hours]]</f>
        <v>-1.1000000000000005</v>
      </c>
      <c r="H363">
        <v>0.8</v>
      </c>
      <c r="I363">
        <v>3.9</v>
      </c>
      <c r="J363" t="str" cm="1">
        <f t="array" ref="J363">_xlfn.IFS(Table1[[#This Row],[academic_performance]]&gt;1,"Need Improvement",Table1[[#This Row],[academic_performance]]&gt;2,"Good",Table1[[#This Row],[academic_performance]]&gt;3,"Very good",Table1[[#This Row],[academic_performance]]&gt;4,"Excellent")</f>
        <v>Need Improvement</v>
      </c>
      <c r="K363">
        <v>0.2</v>
      </c>
      <c r="L363" t="str">
        <f>IF(Table1[[#This Row],[physical_activity]]&gt;1.9,"better overall ","lower rate of depression")</f>
        <v>lower rate of depression</v>
      </c>
      <c r="M363" t="s">
        <v>15</v>
      </c>
      <c r="N363">
        <v>8</v>
      </c>
      <c r="O363">
        <v>3</v>
      </c>
      <c r="P363">
        <v>7</v>
      </c>
      <c r="Q363">
        <v>0</v>
      </c>
    </row>
    <row r="364" spans="1:17" x14ac:dyDescent="0.3">
      <c r="A364">
        <v>18</v>
      </c>
      <c r="B364" t="s">
        <v>13</v>
      </c>
      <c r="C364" t="str">
        <f>IF(Table1[[#This Row],[age]]&gt;18,"Adult","Teenage")</f>
        <v>Teenage</v>
      </c>
      <c r="D364">
        <v>3.5</v>
      </c>
      <c r="E364" t="s">
        <v>17</v>
      </c>
      <c r="F364">
        <v>6.3</v>
      </c>
      <c r="G364">
        <f>Table1[[#This Row],[sleep_hours]]-Table1[[#This Row],[daily_social_media_hours]]</f>
        <v>2.8</v>
      </c>
      <c r="H364">
        <v>2.9</v>
      </c>
      <c r="I364">
        <v>3.35</v>
      </c>
      <c r="J364" t="str" cm="1">
        <f t="array" ref="J364">_xlfn.IFS(Table1[[#This Row],[academic_performance]]&gt;1,"Need Improvement",Table1[[#This Row],[academic_performance]]&gt;2,"Good",Table1[[#This Row],[academic_performance]]&gt;3,"Very good",Table1[[#This Row],[academic_performance]]&gt;4,"Excellent")</f>
        <v>Need Improvement</v>
      </c>
      <c r="K364">
        <v>1.6</v>
      </c>
      <c r="L364" t="str">
        <f>IF(Table1[[#This Row],[physical_activity]]&gt;1.9,"better overall ","lower rate of depression")</f>
        <v>lower rate of depression</v>
      </c>
      <c r="M364" t="s">
        <v>18</v>
      </c>
      <c r="N364">
        <v>1</v>
      </c>
      <c r="O364">
        <v>4</v>
      </c>
      <c r="P364">
        <v>2</v>
      </c>
      <c r="Q364">
        <v>0</v>
      </c>
    </row>
    <row r="365" spans="1:17" x14ac:dyDescent="0.3">
      <c r="A365">
        <v>15</v>
      </c>
      <c r="B365" t="s">
        <v>16</v>
      </c>
      <c r="C365" t="str">
        <f>IF(Table1[[#This Row],[age]]&gt;18,"Adult","Teenage")</f>
        <v>Teenage</v>
      </c>
      <c r="D365">
        <v>3.8</v>
      </c>
      <c r="E365" t="s">
        <v>14</v>
      </c>
      <c r="F365">
        <v>4.4000000000000004</v>
      </c>
      <c r="G365">
        <f>Table1[[#This Row],[sleep_hours]]-Table1[[#This Row],[daily_social_media_hours]]</f>
        <v>0.60000000000000053</v>
      </c>
      <c r="H365">
        <v>1.9</v>
      </c>
      <c r="I365">
        <v>2.04</v>
      </c>
      <c r="J365" t="str" cm="1">
        <f t="array" ref="J365">_xlfn.IFS(Table1[[#This Row],[academic_performance]]&gt;1,"Need Improvement",Table1[[#This Row],[academic_performance]]&gt;2,"Good",Table1[[#This Row],[academic_performance]]&gt;3,"Very good",Table1[[#This Row],[academic_performance]]&gt;4,"Excellent")</f>
        <v>Need Improvement</v>
      </c>
      <c r="K365">
        <v>0.5</v>
      </c>
      <c r="L365" t="str">
        <f>IF(Table1[[#This Row],[physical_activity]]&gt;1.9,"better overall ","lower rate of depression")</f>
        <v>lower rate of depression</v>
      </c>
      <c r="M365" t="s">
        <v>19</v>
      </c>
      <c r="N365">
        <v>4</v>
      </c>
      <c r="O365">
        <v>9</v>
      </c>
      <c r="P365">
        <v>7</v>
      </c>
      <c r="Q365">
        <v>0</v>
      </c>
    </row>
    <row r="366" spans="1:17" x14ac:dyDescent="0.3">
      <c r="A366">
        <v>18</v>
      </c>
      <c r="B366" t="s">
        <v>16</v>
      </c>
      <c r="C366" t="str">
        <f>IF(Table1[[#This Row],[age]]&gt;18,"Adult","Teenage")</f>
        <v>Teenage</v>
      </c>
      <c r="D366">
        <v>4.5</v>
      </c>
      <c r="E366" t="s">
        <v>20</v>
      </c>
      <c r="F366">
        <v>8</v>
      </c>
      <c r="G366">
        <f>Table1[[#This Row],[sleep_hours]]-Table1[[#This Row],[daily_social_media_hours]]</f>
        <v>3.5</v>
      </c>
      <c r="H366">
        <v>1.5</v>
      </c>
      <c r="I366">
        <v>3.45</v>
      </c>
      <c r="J366" t="str" cm="1">
        <f t="array" ref="J366">_xlfn.IFS(Table1[[#This Row],[academic_performance]]&gt;1,"Need Improvement",Table1[[#This Row],[academic_performance]]&gt;2,"Good",Table1[[#This Row],[academic_performance]]&gt;3,"Very good",Table1[[#This Row],[academic_performance]]&gt;4,"Excellent")</f>
        <v>Need Improvement</v>
      </c>
      <c r="K366">
        <v>1</v>
      </c>
      <c r="L366" t="str">
        <f>IF(Table1[[#This Row],[physical_activity]]&gt;1.9,"better overall ","lower rate of depression")</f>
        <v>lower rate of depression</v>
      </c>
      <c r="M366" t="s">
        <v>15</v>
      </c>
      <c r="N366">
        <v>4</v>
      </c>
      <c r="O366">
        <v>3</v>
      </c>
      <c r="P366">
        <v>9</v>
      </c>
      <c r="Q366">
        <v>0</v>
      </c>
    </row>
    <row r="367" spans="1:17" x14ac:dyDescent="0.3">
      <c r="A367">
        <v>16</v>
      </c>
      <c r="B367" t="s">
        <v>16</v>
      </c>
      <c r="C367" t="str">
        <f>IF(Table1[[#This Row],[age]]&gt;18,"Adult","Teenage")</f>
        <v>Teenage</v>
      </c>
      <c r="D367">
        <v>7.3</v>
      </c>
      <c r="E367" t="s">
        <v>20</v>
      </c>
      <c r="F367">
        <v>7.2</v>
      </c>
      <c r="G367">
        <f>Table1[[#This Row],[sleep_hours]]-Table1[[#This Row],[daily_social_media_hours]]</f>
        <v>-9.9999999999999645E-2</v>
      </c>
      <c r="H367">
        <v>0.5</v>
      </c>
      <c r="I367">
        <v>2.78</v>
      </c>
      <c r="J367" t="str" cm="1">
        <f t="array" ref="J367">_xlfn.IFS(Table1[[#This Row],[academic_performance]]&gt;1,"Need Improvement",Table1[[#This Row],[academic_performance]]&gt;2,"Good",Table1[[#This Row],[academic_performance]]&gt;3,"Very good",Table1[[#This Row],[academic_performance]]&gt;4,"Excellent")</f>
        <v>Need Improvement</v>
      </c>
      <c r="K367">
        <v>1.9</v>
      </c>
      <c r="L367" t="str">
        <f>IF(Table1[[#This Row],[physical_activity]]&gt;1.9,"better overall ","lower rate of depression")</f>
        <v>lower rate of depression</v>
      </c>
      <c r="M367" t="s">
        <v>15</v>
      </c>
      <c r="N367">
        <v>7</v>
      </c>
      <c r="O367">
        <v>3</v>
      </c>
      <c r="P367">
        <v>9</v>
      </c>
      <c r="Q367">
        <v>0</v>
      </c>
    </row>
    <row r="368" spans="1:17" x14ac:dyDescent="0.3">
      <c r="A368">
        <v>18</v>
      </c>
      <c r="B368" t="s">
        <v>16</v>
      </c>
      <c r="C368" t="str">
        <f>IF(Table1[[#This Row],[age]]&gt;18,"Adult","Teenage")</f>
        <v>Teenage</v>
      </c>
      <c r="D368">
        <v>6.4</v>
      </c>
      <c r="E368" t="s">
        <v>14</v>
      </c>
      <c r="F368">
        <v>7.7</v>
      </c>
      <c r="G368">
        <f>Table1[[#This Row],[sleep_hours]]-Table1[[#This Row],[daily_social_media_hours]]</f>
        <v>1.2999999999999998</v>
      </c>
      <c r="H368">
        <v>0.5</v>
      </c>
      <c r="I368">
        <v>3.05</v>
      </c>
      <c r="J368" t="str" cm="1">
        <f t="array" ref="J368">_xlfn.IFS(Table1[[#This Row],[academic_performance]]&gt;1,"Need Improvement",Table1[[#This Row],[academic_performance]]&gt;2,"Good",Table1[[#This Row],[academic_performance]]&gt;3,"Very good",Table1[[#This Row],[academic_performance]]&gt;4,"Excellent")</f>
        <v>Need Improvement</v>
      </c>
      <c r="K368">
        <v>1.2</v>
      </c>
      <c r="L368" t="str">
        <f>IF(Table1[[#This Row],[physical_activity]]&gt;1.9,"better overall ","lower rate of depression")</f>
        <v>lower rate of depression</v>
      </c>
      <c r="M368" t="s">
        <v>15</v>
      </c>
      <c r="N368">
        <v>3</v>
      </c>
      <c r="O368">
        <v>1</v>
      </c>
      <c r="P368">
        <v>2</v>
      </c>
      <c r="Q368">
        <v>0</v>
      </c>
    </row>
    <row r="369" spans="1:17" x14ac:dyDescent="0.3">
      <c r="A369">
        <v>16</v>
      </c>
      <c r="B369" t="s">
        <v>13</v>
      </c>
      <c r="C369" t="str">
        <f>IF(Table1[[#This Row],[age]]&gt;18,"Adult","Teenage")</f>
        <v>Teenage</v>
      </c>
      <c r="D369">
        <v>5.3</v>
      </c>
      <c r="E369" t="s">
        <v>17</v>
      </c>
      <c r="F369">
        <v>8.4</v>
      </c>
      <c r="G369">
        <f>Table1[[#This Row],[sleep_hours]]-Table1[[#This Row],[daily_social_media_hours]]</f>
        <v>3.1000000000000005</v>
      </c>
      <c r="H369">
        <v>2.2000000000000002</v>
      </c>
      <c r="I369">
        <v>2.81</v>
      </c>
      <c r="J369" t="str" cm="1">
        <f t="array" ref="J369">_xlfn.IFS(Table1[[#This Row],[academic_performance]]&gt;1,"Need Improvement",Table1[[#This Row],[academic_performance]]&gt;2,"Good",Table1[[#This Row],[academic_performance]]&gt;3,"Very good",Table1[[#This Row],[academic_performance]]&gt;4,"Excellent")</f>
        <v>Need Improvement</v>
      </c>
      <c r="K369">
        <v>0.6</v>
      </c>
      <c r="L369" t="str">
        <f>IF(Table1[[#This Row],[physical_activity]]&gt;1.9,"better overall ","lower rate of depression")</f>
        <v>lower rate of depression</v>
      </c>
      <c r="M369" t="s">
        <v>18</v>
      </c>
      <c r="N369">
        <v>2</v>
      </c>
      <c r="O369">
        <v>8</v>
      </c>
      <c r="P369">
        <v>8</v>
      </c>
      <c r="Q369">
        <v>0</v>
      </c>
    </row>
    <row r="370" spans="1:17" x14ac:dyDescent="0.3">
      <c r="A370">
        <v>13</v>
      </c>
      <c r="B370" t="s">
        <v>13</v>
      </c>
      <c r="C370" t="str">
        <f>IF(Table1[[#This Row],[age]]&gt;18,"Adult","Teenage")</f>
        <v>Teenage</v>
      </c>
      <c r="D370">
        <v>2.4</v>
      </c>
      <c r="E370" t="s">
        <v>14</v>
      </c>
      <c r="F370">
        <v>7.1</v>
      </c>
      <c r="G370">
        <f>Table1[[#This Row],[sleep_hours]]-Table1[[#This Row],[daily_social_media_hours]]</f>
        <v>4.6999999999999993</v>
      </c>
      <c r="H370">
        <v>0.7</v>
      </c>
      <c r="I370">
        <v>3.64</v>
      </c>
      <c r="J370" t="str" cm="1">
        <f t="array" ref="J370">_xlfn.IFS(Table1[[#This Row],[academic_performance]]&gt;1,"Need Improvement",Table1[[#This Row],[academic_performance]]&gt;2,"Good",Table1[[#This Row],[academic_performance]]&gt;3,"Very good",Table1[[#This Row],[academic_performance]]&gt;4,"Excellent")</f>
        <v>Need Improvement</v>
      </c>
      <c r="K370">
        <v>1.1000000000000001</v>
      </c>
      <c r="L370" t="str">
        <f>IF(Table1[[#This Row],[physical_activity]]&gt;1.9,"better overall ","lower rate of depression")</f>
        <v>lower rate of depression</v>
      </c>
      <c r="M370" t="s">
        <v>18</v>
      </c>
      <c r="N370">
        <v>6</v>
      </c>
      <c r="O370">
        <v>5</v>
      </c>
      <c r="P370">
        <v>5</v>
      </c>
      <c r="Q370">
        <v>0</v>
      </c>
    </row>
    <row r="371" spans="1:17" x14ac:dyDescent="0.3">
      <c r="A371">
        <v>13</v>
      </c>
      <c r="B371" t="s">
        <v>13</v>
      </c>
      <c r="C371" t="str">
        <f>IF(Table1[[#This Row],[age]]&gt;18,"Adult","Teenage")</f>
        <v>Teenage</v>
      </c>
      <c r="D371">
        <v>8</v>
      </c>
      <c r="E371" t="s">
        <v>20</v>
      </c>
      <c r="F371">
        <v>8.9</v>
      </c>
      <c r="G371">
        <f>Table1[[#This Row],[sleep_hours]]-Table1[[#This Row],[daily_social_media_hours]]</f>
        <v>0.90000000000000036</v>
      </c>
      <c r="H371">
        <v>2.2000000000000002</v>
      </c>
      <c r="I371">
        <v>3.82</v>
      </c>
      <c r="J371" t="str" cm="1">
        <f t="array" ref="J371">_xlfn.IFS(Table1[[#This Row],[academic_performance]]&gt;1,"Need Improvement",Table1[[#This Row],[academic_performance]]&gt;2,"Good",Table1[[#This Row],[academic_performance]]&gt;3,"Very good",Table1[[#This Row],[academic_performance]]&gt;4,"Excellent")</f>
        <v>Need Improvement</v>
      </c>
      <c r="K371">
        <v>1.2</v>
      </c>
      <c r="L371" t="str">
        <f>IF(Table1[[#This Row],[physical_activity]]&gt;1.9,"better overall ","lower rate of depression")</f>
        <v>lower rate of depression</v>
      </c>
      <c r="M371" t="s">
        <v>15</v>
      </c>
      <c r="N371">
        <v>8</v>
      </c>
      <c r="O371">
        <v>8</v>
      </c>
      <c r="P371">
        <v>4</v>
      </c>
      <c r="Q371">
        <v>0</v>
      </c>
    </row>
    <row r="372" spans="1:17" x14ac:dyDescent="0.3">
      <c r="A372">
        <v>15</v>
      </c>
      <c r="B372" t="s">
        <v>13</v>
      </c>
      <c r="C372" t="str">
        <f>IF(Table1[[#This Row],[age]]&gt;18,"Adult","Teenage")</f>
        <v>Teenage</v>
      </c>
      <c r="D372">
        <v>7.3</v>
      </c>
      <c r="E372" t="s">
        <v>20</v>
      </c>
      <c r="F372">
        <v>4.4000000000000004</v>
      </c>
      <c r="G372">
        <f>Table1[[#This Row],[sleep_hours]]-Table1[[#This Row],[daily_social_media_hours]]</f>
        <v>-2.8999999999999995</v>
      </c>
      <c r="H372">
        <v>2.2999999999999998</v>
      </c>
      <c r="I372">
        <v>2.76</v>
      </c>
      <c r="J372" t="str" cm="1">
        <f t="array" ref="J372">_xlfn.IFS(Table1[[#This Row],[academic_performance]]&gt;1,"Need Improvement",Table1[[#This Row],[academic_performance]]&gt;2,"Good",Table1[[#This Row],[academic_performance]]&gt;3,"Very good",Table1[[#This Row],[academic_performance]]&gt;4,"Excellent")</f>
        <v>Need Improvement</v>
      </c>
      <c r="K372">
        <v>1.8</v>
      </c>
      <c r="L372" t="str">
        <f>IF(Table1[[#This Row],[physical_activity]]&gt;1.9,"better overall ","lower rate of depression")</f>
        <v>lower rate of depression</v>
      </c>
      <c r="M372" t="s">
        <v>19</v>
      </c>
      <c r="N372">
        <v>4</v>
      </c>
      <c r="O372">
        <v>6</v>
      </c>
      <c r="P372">
        <v>9</v>
      </c>
      <c r="Q372">
        <v>0</v>
      </c>
    </row>
    <row r="373" spans="1:17" x14ac:dyDescent="0.3">
      <c r="A373">
        <v>17</v>
      </c>
      <c r="B373" t="s">
        <v>16</v>
      </c>
      <c r="C373" t="str">
        <f>IF(Table1[[#This Row],[age]]&gt;18,"Adult","Teenage")</f>
        <v>Teenage</v>
      </c>
      <c r="D373">
        <v>4.5</v>
      </c>
      <c r="E373" t="s">
        <v>20</v>
      </c>
      <c r="F373">
        <v>7.3</v>
      </c>
      <c r="G373">
        <f>Table1[[#This Row],[sleep_hours]]-Table1[[#This Row],[daily_social_media_hours]]</f>
        <v>2.8</v>
      </c>
      <c r="H373">
        <v>0.9</v>
      </c>
      <c r="I373">
        <v>2.34</v>
      </c>
      <c r="J373" t="str" cm="1">
        <f t="array" ref="J373">_xlfn.IFS(Table1[[#This Row],[academic_performance]]&gt;1,"Need Improvement",Table1[[#This Row],[academic_performance]]&gt;2,"Good",Table1[[#This Row],[academic_performance]]&gt;3,"Very good",Table1[[#This Row],[academic_performance]]&gt;4,"Excellent")</f>
        <v>Need Improvement</v>
      </c>
      <c r="K373">
        <v>0.9</v>
      </c>
      <c r="L373" t="str">
        <f>IF(Table1[[#This Row],[physical_activity]]&gt;1.9,"better overall ","lower rate of depression")</f>
        <v>lower rate of depression</v>
      </c>
      <c r="M373" t="s">
        <v>19</v>
      </c>
      <c r="N373">
        <v>7</v>
      </c>
      <c r="O373">
        <v>3</v>
      </c>
      <c r="P373">
        <v>8</v>
      </c>
      <c r="Q373">
        <v>0</v>
      </c>
    </row>
    <row r="374" spans="1:17" x14ac:dyDescent="0.3">
      <c r="A374">
        <v>19</v>
      </c>
      <c r="B374" t="s">
        <v>13</v>
      </c>
      <c r="C374" t="str">
        <f>IF(Table1[[#This Row],[age]]&gt;18,"Adult","Teenage")</f>
        <v>Adult</v>
      </c>
      <c r="D374">
        <v>5</v>
      </c>
      <c r="E374" t="s">
        <v>20</v>
      </c>
      <c r="F374">
        <v>9</v>
      </c>
      <c r="G374">
        <f>Table1[[#This Row],[sleep_hours]]-Table1[[#This Row],[daily_social_media_hours]]</f>
        <v>4</v>
      </c>
      <c r="H374">
        <v>2.4</v>
      </c>
      <c r="I374">
        <v>2.5299999999999998</v>
      </c>
      <c r="J374" t="str" cm="1">
        <f t="array" ref="J374">_xlfn.IFS(Table1[[#This Row],[academic_performance]]&gt;1,"Need Improvement",Table1[[#This Row],[academic_performance]]&gt;2,"Good",Table1[[#This Row],[academic_performance]]&gt;3,"Very good",Table1[[#This Row],[academic_performance]]&gt;4,"Excellent")</f>
        <v>Need Improvement</v>
      </c>
      <c r="K374">
        <v>0.4</v>
      </c>
      <c r="L374" t="str">
        <f>IF(Table1[[#This Row],[physical_activity]]&gt;1.9,"better overall ","lower rate of depression")</f>
        <v>lower rate of depression</v>
      </c>
      <c r="M374" t="s">
        <v>19</v>
      </c>
      <c r="N374">
        <v>7</v>
      </c>
      <c r="O374">
        <v>2</v>
      </c>
      <c r="P374">
        <v>10</v>
      </c>
      <c r="Q374">
        <v>0</v>
      </c>
    </row>
    <row r="375" spans="1:17" x14ac:dyDescent="0.3">
      <c r="A375">
        <v>16</v>
      </c>
      <c r="B375" t="s">
        <v>16</v>
      </c>
      <c r="C375" t="str">
        <f>IF(Table1[[#This Row],[age]]&gt;18,"Adult","Teenage")</f>
        <v>Teenage</v>
      </c>
      <c r="D375">
        <v>5.7</v>
      </c>
      <c r="E375" t="s">
        <v>20</v>
      </c>
      <c r="F375">
        <v>4.2</v>
      </c>
      <c r="G375">
        <f>Table1[[#This Row],[sleep_hours]]-Table1[[#This Row],[daily_social_media_hours]]</f>
        <v>-1.5</v>
      </c>
      <c r="H375">
        <v>1.4</v>
      </c>
      <c r="I375">
        <v>2.56</v>
      </c>
      <c r="J375" t="str" cm="1">
        <f t="array" ref="J375">_xlfn.IFS(Table1[[#This Row],[academic_performance]]&gt;1,"Need Improvement",Table1[[#This Row],[academic_performance]]&gt;2,"Good",Table1[[#This Row],[academic_performance]]&gt;3,"Very good",Table1[[#This Row],[academic_performance]]&gt;4,"Excellent")</f>
        <v>Need Improvement</v>
      </c>
      <c r="K375">
        <v>0.1</v>
      </c>
      <c r="L375" t="str">
        <f>IF(Table1[[#This Row],[physical_activity]]&gt;1.9,"better overall ","lower rate of depression")</f>
        <v>lower rate of depression</v>
      </c>
      <c r="M375" t="s">
        <v>18</v>
      </c>
      <c r="N375">
        <v>4</v>
      </c>
      <c r="O375">
        <v>3</v>
      </c>
      <c r="P375">
        <v>1</v>
      </c>
      <c r="Q375">
        <v>0</v>
      </c>
    </row>
    <row r="376" spans="1:17" x14ac:dyDescent="0.3">
      <c r="A376">
        <v>18</v>
      </c>
      <c r="B376" t="s">
        <v>16</v>
      </c>
      <c r="C376" t="str">
        <f>IF(Table1[[#This Row],[age]]&gt;18,"Adult","Teenage")</f>
        <v>Teenage</v>
      </c>
      <c r="D376">
        <v>2.9</v>
      </c>
      <c r="E376" t="s">
        <v>14</v>
      </c>
      <c r="F376">
        <v>8.4</v>
      </c>
      <c r="G376">
        <f>Table1[[#This Row],[sleep_hours]]-Table1[[#This Row],[daily_social_media_hours]]</f>
        <v>5.5</v>
      </c>
      <c r="H376">
        <v>2.6</v>
      </c>
      <c r="I376">
        <v>2.57</v>
      </c>
      <c r="J376" t="str" cm="1">
        <f t="array" ref="J376">_xlfn.IFS(Table1[[#This Row],[academic_performance]]&gt;1,"Need Improvement",Table1[[#This Row],[academic_performance]]&gt;2,"Good",Table1[[#This Row],[academic_performance]]&gt;3,"Very good",Table1[[#This Row],[academic_performance]]&gt;4,"Excellent")</f>
        <v>Need Improvement</v>
      </c>
      <c r="K376">
        <v>1.8</v>
      </c>
      <c r="L376" t="str">
        <f>IF(Table1[[#This Row],[physical_activity]]&gt;1.9,"better overall ","lower rate of depression")</f>
        <v>lower rate of depression</v>
      </c>
      <c r="M376" t="s">
        <v>19</v>
      </c>
      <c r="N376">
        <v>4</v>
      </c>
      <c r="O376">
        <v>1</v>
      </c>
      <c r="P376">
        <v>3</v>
      </c>
      <c r="Q376">
        <v>0</v>
      </c>
    </row>
    <row r="377" spans="1:17" x14ac:dyDescent="0.3">
      <c r="A377">
        <v>13</v>
      </c>
      <c r="B377" t="s">
        <v>13</v>
      </c>
      <c r="C377" t="str">
        <f>IF(Table1[[#This Row],[age]]&gt;18,"Adult","Teenage")</f>
        <v>Teenage</v>
      </c>
      <c r="D377">
        <v>7.9</v>
      </c>
      <c r="E377" t="s">
        <v>14</v>
      </c>
      <c r="F377">
        <v>8.8000000000000007</v>
      </c>
      <c r="G377">
        <f>Table1[[#This Row],[sleep_hours]]-Table1[[#This Row],[daily_social_media_hours]]</f>
        <v>0.90000000000000036</v>
      </c>
      <c r="H377">
        <v>2.2999999999999998</v>
      </c>
      <c r="I377">
        <v>3.39</v>
      </c>
      <c r="J377" t="str" cm="1">
        <f t="array" ref="J377">_xlfn.IFS(Table1[[#This Row],[academic_performance]]&gt;1,"Need Improvement",Table1[[#This Row],[academic_performance]]&gt;2,"Good",Table1[[#This Row],[academic_performance]]&gt;3,"Very good",Table1[[#This Row],[academic_performance]]&gt;4,"Excellent")</f>
        <v>Need Improvement</v>
      </c>
      <c r="K377">
        <v>0.5</v>
      </c>
      <c r="L377" t="str">
        <f>IF(Table1[[#This Row],[physical_activity]]&gt;1.9,"better overall ","lower rate of depression")</f>
        <v>lower rate of depression</v>
      </c>
      <c r="M377" t="s">
        <v>15</v>
      </c>
      <c r="N377">
        <v>1</v>
      </c>
      <c r="O377">
        <v>9</v>
      </c>
      <c r="P377">
        <v>3</v>
      </c>
      <c r="Q377">
        <v>0</v>
      </c>
    </row>
    <row r="378" spans="1:17" x14ac:dyDescent="0.3">
      <c r="A378">
        <v>19</v>
      </c>
      <c r="B378" t="s">
        <v>13</v>
      </c>
      <c r="C378" t="str">
        <f>IF(Table1[[#This Row],[age]]&gt;18,"Adult","Teenage")</f>
        <v>Adult</v>
      </c>
      <c r="D378">
        <v>4.8</v>
      </c>
      <c r="E378" t="s">
        <v>17</v>
      </c>
      <c r="F378">
        <v>5</v>
      </c>
      <c r="G378">
        <f>Table1[[#This Row],[sleep_hours]]-Table1[[#This Row],[daily_social_media_hours]]</f>
        <v>0.20000000000000018</v>
      </c>
      <c r="H378">
        <v>2.6</v>
      </c>
      <c r="I378">
        <v>3.25</v>
      </c>
      <c r="J378" t="str" cm="1">
        <f t="array" ref="J378">_xlfn.IFS(Table1[[#This Row],[academic_performance]]&gt;1,"Need Improvement",Table1[[#This Row],[academic_performance]]&gt;2,"Good",Table1[[#This Row],[academic_performance]]&gt;3,"Very good",Table1[[#This Row],[academic_performance]]&gt;4,"Excellent")</f>
        <v>Need Improvement</v>
      </c>
      <c r="K378">
        <v>1.6</v>
      </c>
      <c r="L378" t="str">
        <f>IF(Table1[[#This Row],[physical_activity]]&gt;1.9,"better overall ","lower rate of depression")</f>
        <v>lower rate of depression</v>
      </c>
      <c r="M378" t="s">
        <v>15</v>
      </c>
      <c r="N378">
        <v>4</v>
      </c>
      <c r="O378">
        <v>6</v>
      </c>
      <c r="P378">
        <v>1</v>
      </c>
      <c r="Q378">
        <v>0</v>
      </c>
    </row>
    <row r="379" spans="1:17" x14ac:dyDescent="0.3">
      <c r="A379">
        <v>13</v>
      </c>
      <c r="B379" t="s">
        <v>16</v>
      </c>
      <c r="C379" t="str">
        <f>IF(Table1[[#This Row],[age]]&gt;18,"Adult","Teenage")</f>
        <v>Teenage</v>
      </c>
      <c r="D379">
        <v>3</v>
      </c>
      <c r="E379" t="s">
        <v>20</v>
      </c>
      <c r="F379">
        <v>6</v>
      </c>
      <c r="G379">
        <f>Table1[[#This Row],[sleep_hours]]-Table1[[#This Row],[daily_social_media_hours]]</f>
        <v>3</v>
      </c>
      <c r="H379">
        <v>1</v>
      </c>
      <c r="I379">
        <v>2.63</v>
      </c>
      <c r="J379" t="str" cm="1">
        <f t="array" ref="J379">_xlfn.IFS(Table1[[#This Row],[academic_performance]]&gt;1,"Need Improvement",Table1[[#This Row],[academic_performance]]&gt;2,"Good",Table1[[#This Row],[academic_performance]]&gt;3,"Very good",Table1[[#This Row],[academic_performance]]&gt;4,"Excellent")</f>
        <v>Need Improvement</v>
      </c>
      <c r="K379">
        <v>0.1</v>
      </c>
      <c r="L379" t="str">
        <f>IF(Table1[[#This Row],[physical_activity]]&gt;1.9,"better overall ","lower rate of depression")</f>
        <v>lower rate of depression</v>
      </c>
      <c r="M379" t="s">
        <v>15</v>
      </c>
      <c r="N379">
        <v>5</v>
      </c>
      <c r="O379">
        <v>10</v>
      </c>
      <c r="P379">
        <v>9</v>
      </c>
      <c r="Q379">
        <v>0</v>
      </c>
    </row>
    <row r="380" spans="1:17" x14ac:dyDescent="0.3">
      <c r="A380">
        <v>14</v>
      </c>
      <c r="B380" t="s">
        <v>16</v>
      </c>
      <c r="C380" t="str">
        <f>IF(Table1[[#This Row],[age]]&gt;18,"Adult","Teenage")</f>
        <v>Teenage</v>
      </c>
      <c r="D380">
        <v>4.0999999999999996</v>
      </c>
      <c r="E380" t="s">
        <v>20</v>
      </c>
      <c r="F380">
        <v>6.4</v>
      </c>
      <c r="G380">
        <f>Table1[[#This Row],[sleep_hours]]-Table1[[#This Row],[daily_social_media_hours]]</f>
        <v>2.3000000000000007</v>
      </c>
      <c r="H380">
        <v>2</v>
      </c>
      <c r="I380">
        <v>3.69</v>
      </c>
      <c r="J380" t="str" cm="1">
        <f t="array" ref="J380">_xlfn.IFS(Table1[[#This Row],[academic_performance]]&gt;1,"Need Improvement",Table1[[#This Row],[academic_performance]]&gt;2,"Good",Table1[[#This Row],[academic_performance]]&gt;3,"Very good",Table1[[#This Row],[academic_performance]]&gt;4,"Excellent")</f>
        <v>Need Improvement</v>
      </c>
      <c r="K380">
        <v>1.5</v>
      </c>
      <c r="L380" t="str">
        <f>IF(Table1[[#This Row],[physical_activity]]&gt;1.9,"better overall ","lower rate of depression")</f>
        <v>lower rate of depression</v>
      </c>
      <c r="M380" t="s">
        <v>19</v>
      </c>
      <c r="N380">
        <v>7</v>
      </c>
      <c r="O380">
        <v>7</v>
      </c>
      <c r="P380">
        <v>9</v>
      </c>
      <c r="Q380">
        <v>0</v>
      </c>
    </row>
    <row r="381" spans="1:17" x14ac:dyDescent="0.3">
      <c r="A381">
        <v>19</v>
      </c>
      <c r="B381" t="s">
        <v>13</v>
      </c>
      <c r="C381" t="str">
        <f>IF(Table1[[#This Row],[age]]&gt;18,"Adult","Teenage")</f>
        <v>Adult</v>
      </c>
      <c r="D381">
        <v>6.9</v>
      </c>
      <c r="E381" t="s">
        <v>14</v>
      </c>
      <c r="F381">
        <v>5</v>
      </c>
      <c r="G381">
        <f>Table1[[#This Row],[sleep_hours]]-Table1[[#This Row],[daily_social_media_hours]]</f>
        <v>-1.9000000000000004</v>
      </c>
      <c r="H381">
        <v>1.2</v>
      </c>
      <c r="I381">
        <v>2.56</v>
      </c>
      <c r="J381" t="str" cm="1">
        <f t="array" ref="J381">_xlfn.IFS(Table1[[#This Row],[academic_performance]]&gt;1,"Need Improvement",Table1[[#This Row],[academic_performance]]&gt;2,"Good",Table1[[#This Row],[academic_performance]]&gt;3,"Very good",Table1[[#This Row],[academic_performance]]&gt;4,"Excellent")</f>
        <v>Need Improvement</v>
      </c>
      <c r="K381">
        <v>1.6</v>
      </c>
      <c r="L381" t="str">
        <f>IF(Table1[[#This Row],[physical_activity]]&gt;1.9,"better overall ","lower rate of depression")</f>
        <v>lower rate of depression</v>
      </c>
      <c r="M381" t="s">
        <v>18</v>
      </c>
      <c r="N381">
        <v>3</v>
      </c>
      <c r="O381">
        <v>10</v>
      </c>
      <c r="P381">
        <v>8</v>
      </c>
      <c r="Q381">
        <v>0</v>
      </c>
    </row>
    <row r="382" spans="1:17" x14ac:dyDescent="0.3">
      <c r="A382">
        <v>17</v>
      </c>
      <c r="B382" t="s">
        <v>16</v>
      </c>
      <c r="C382" t="str">
        <f>IF(Table1[[#This Row],[age]]&gt;18,"Adult","Teenage")</f>
        <v>Teenage</v>
      </c>
      <c r="D382">
        <v>3.2</v>
      </c>
      <c r="E382" t="s">
        <v>14</v>
      </c>
      <c r="F382">
        <v>6.2</v>
      </c>
      <c r="G382">
        <f>Table1[[#This Row],[sleep_hours]]-Table1[[#This Row],[daily_social_media_hours]]</f>
        <v>3</v>
      </c>
      <c r="H382">
        <v>2.2000000000000002</v>
      </c>
      <c r="I382">
        <v>2.96</v>
      </c>
      <c r="J382" t="str" cm="1">
        <f t="array" ref="J382">_xlfn.IFS(Table1[[#This Row],[academic_performance]]&gt;1,"Need Improvement",Table1[[#This Row],[academic_performance]]&gt;2,"Good",Table1[[#This Row],[academic_performance]]&gt;3,"Very good",Table1[[#This Row],[academic_performance]]&gt;4,"Excellent")</f>
        <v>Need Improvement</v>
      </c>
      <c r="K382">
        <v>1.6</v>
      </c>
      <c r="L382" t="str">
        <f>IF(Table1[[#This Row],[physical_activity]]&gt;1.9,"better overall ","lower rate of depression")</f>
        <v>lower rate of depression</v>
      </c>
      <c r="M382" t="s">
        <v>15</v>
      </c>
      <c r="N382">
        <v>8</v>
      </c>
      <c r="O382">
        <v>10</v>
      </c>
      <c r="P382">
        <v>9</v>
      </c>
      <c r="Q382">
        <v>0</v>
      </c>
    </row>
    <row r="383" spans="1:17" x14ac:dyDescent="0.3">
      <c r="A383">
        <v>18</v>
      </c>
      <c r="B383" t="s">
        <v>16</v>
      </c>
      <c r="C383" t="str">
        <f>IF(Table1[[#This Row],[age]]&gt;18,"Adult","Teenage")</f>
        <v>Teenage</v>
      </c>
      <c r="D383">
        <v>1.3</v>
      </c>
      <c r="E383" t="s">
        <v>20</v>
      </c>
      <c r="F383">
        <v>4.9000000000000004</v>
      </c>
      <c r="G383">
        <f>Table1[[#This Row],[sleep_hours]]-Table1[[#This Row],[daily_social_media_hours]]</f>
        <v>3.6000000000000005</v>
      </c>
      <c r="H383">
        <v>0.9</v>
      </c>
      <c r="I383">
        <v>3.86</v>
      </c>
      <c r="J383" t="str" cm="1">
        <f t="array" ref="J383">_xlfn.IFS(Table1[[#This Row],[academic_performance]]&gt;1,"Need Improvement",Table1[[#This Row],[academic_performance]]&gt;2,"Good",Table1[[#This Row],[academic_performance]]&gt;3,"Very good",Table1[[#This Row],[academic_performance]]&gt;4,"Excellent")</f>
        <v>Need Improvement</v>
      </c>
      <c r="K383">
        <v>0</v>
      </c>
      <c r="L383" t="str">
        <f>IF(Table1[[#This Row],[physical_activity]]&gt;1.9,"better overall ","lower rate of depression")</f>
        <v>lower rate of depression</v>
      </c>
      <c r="M383" t="s">
        <v>19</v>
      </c>
      <c r="N383">
        <v>4</v>
      </c>
      <c r="O383">
        <v>9</v>
      </c>
      <c r="P383">
        <v>8</v>
      </c>
      <c r="Q383">
        <v>0</v>
      </c>
    </row>
    <row r="384" spans="1:17" x14ac:dyDescent="0.3">
      <c r="A384">
        <v>15</v>
      </c>
      <c r="B384" t="s">
        <v>16</v>
      </c>
      <c r="C384" t="str">
        <f>IF(Table1[[#This Row],[age]]&gt;18,"Adult","Teenage")</f>
        <v>Teenage</v>
      </c>
      <c r="D384">
        <v>4.2</v>
      </c>
      <c r="E384" t="s">
        <v>17</v>
      </c>
      <c r="F384">
        <v>6.8</v>
      </c>
      <c r="G384">
        <f>Table1[[#This Row],[sleep_hours]]-Table1[[#This Row],[daily_social_media_hours]]</f>
        <v>2.5999999999999996</v>
      </c>
      <c r="H384">
        <v>1.1000000000000001</v>
      </c>
      <c r="I384">
        <v>3.37</v>
      </c>
      <c r="J384" t="str" cm="1">
        <f t="array" ref="J384">_xlfn.IFS(Table1[[#This Row],[academic_performance]]&gt;1,"Need Improvement",Table1[[#This Row],[academic_performance]]&gt;2,"Good",Table1[[#This Row],[academic_performance]]&gt;3,"Very good",Table1[[#This Row],[academic_performance]]&gt;4,"Excellent")</f>
        <v>Need Improvement</v>
      </c>
      <c r="K384">
        <v>0.7</v>
      </c>
      <c r="L384" t="str">
        <f>IF(Table1[[#This Row],[physical_activity]]&gt;1.9,"better overall ","lower rate of depression")</f>
        <v>lower rate of depression</v>
      </c>
      <c r="M384" t="s">
        <v>18</v>
      </c>
      <c r="N384">
        <v>3</v>
      </c>
      <c r="O384">
        <v>6</v>
      </c>
      <c r="P384">
        <v>8</v>
      </c>
      <c r="Q384">
        <v>0</v>
      </c>
    </row>
    <row r="385" spans="1:17" x14ac:dyDescent="0.3">
      <c r="A385">
        <v>19</v>
      </c>
      <c r="B385" t="s">
        <v>13</v>
      </c>
      <c r="C385" t="str">
        <f>IF(Table1[[#This Row],[age]]&gt;18,"Adult","Teenage")</f>
        <v>Adult</v>
      </c>
      <c r="D385">
        <v>6.6</v>
      </c>
      <c r="E385" t="s">
        <v>20</v>
      </c>
      <c r="F385">
        <v>6</v>
      </c>
      <c r="G385">
        <f>Table1[[#This Row],[sleep_hours]]-Table1[[#This Row],[daily_social_media_hours]]</f>
        <v>-0.59999999999999964</v>
      </c>
      <c r="H385">
        <v>2.1</v>
      </c>
      <c r="I385">
        <v>2.84</v>
      </c>
      <c r="J385" t="str" cm="1">
        <f t="array" ref="J385">_xlfn.IFS(Table1[[#This Row],[academic_performance]]&gt;1,"Need Improvement",Table1[[#This Row],[academic_performance]]&gt;2,"Good",Table1[[#This Row],[academic_performance]]&gt;3,"Very good",Table1[[#This Row],[academic_performance]]&gt;4,"Excellent")</f>
        <v>Need Improvement</v>
      </c>
      <c r="K385">
        <v>1.5</v>
      </c>
      <c r="L385" t="str">
        <f>IF(Table1[[#This Row],[physical_activity]]&gt;1.9,"better overall ","lower rate of depression")</f>
        <v>lower rate of depression</v>
      </c>
      <c r="M385" t="s">
        <v>15</v>
      </c>
      <c r="N385">
        <v>9</v>
      </c>
      <c r="O385">
        <v>4</v>
      </c>
      <c r="P385">
        <v>5</v>
      </c>
      <c r="Q385">
        <v>0</v>
      </c>
    </row>
    <row r="386" spans="1:17" x14ac:dyDescent="0.3">
      <c r="A386">
        <v>13</v>
      </c>
      <c r="B386" t="s">
        <v>13</v>
      </c>
      <c r="C386" t="str">
        <f>IF(Table1[[#This Row],[age]]&gt;18,"Adult","Teenage")</f>
        <v>Teenage</v>
      </c>
      <c r="D386">
        <v>7.5</v>
      </c>
      <c r="E386" t="s">
        <v>17</v>
      </c>
      <c r="F386">
        <v>4.8</v>
      </c>
      <c r="G386">
        <f>Table1[[#This Row],[sleep_hours]]-Table1[[#This Row],[daily_social_media_hours]]</f>
        <v>-2.7</v>
      </c>
      <c r="H386">
        <v>0.7</v>
      </c>
      <c r="I386">
        <v>2.91</v>
      </c>
      <c r="J386" t="str" cm="1">
        <f t="array" ref="J386">_xlfn.IFS(Table1[[#This Row],[academic_performance]]&gt;1,"Need Improvement",Table1[[#This Row],[academic_performance]]&gt;2,"Good",Table1[[#This Row],[academic_performance]]&gt;3,"Very good",Table1[[#This Row],[academic_performance]]&gt;4,"Excellent")</f>
        <v>Need Improvement</v>
      </c>
      <c r="K386">
        <v>2</v>
      </c>
      <c r="L386" t="str">
        <f>IF(Table1[[#This Row],[physical_activity]]&gt;1.9,"better overall ","lower rate of depression")</f>
        <v xml:space="preserve">better overall </v>
      </c>
      <c r="M386" t="s">
        <v>18</v>
      </c>
      <c r="N386">
        <v>10</v>
      </c>
      <c r="O386">
        <v>9</v>
      </c>
      <c r="P386">
        <v>1</v>
      </c>
      <c r="Q386">
        <v>1</v>
      </c>
    </row>
    <row r="387" spans="1:17" x14ac:dyDescent="0.3">
      <c r="A387">
        <v>15</v>
      </c>
      <c r="B387" t="s">
        <v>13</v>
      </c>
      <c r="C387" t="str">
        <f>IF(Table1[[#This Row],[age]]&gt;18,"Adult","Teenage")</f>
        <v>Teenage</v>
      </c>
      <c r="D387">
        <v>7</v>
      </c>
      <c r="E387" t="s">
        <v>20</v>
      </c>
      <c r="F387">
        <v>8.6999999999999993</v>
      </c>
      <c r="G387">
        <f>Table1[[#This Row],[sleep_hours]]-Table1[[#This Row],[daily_social_media_hours]]</f>
        <v>1.6999999999999993</v>
      </c>
      <c r="H387">
        <v>3</v>
      </c>
      <c r="I387">
        <v>2.84</v>
      </c>
      <c r="J387" t="str" cm="1">
        <f t="array" ref="J387">_xlfn.IFS(Table1[[#This Row],[academic_performance]]&gt;1,"Need Improvement",Table1[[#This Row],[academic_performance]]&gt;2,"Good",Table1[[#This Row],[academic_performance]]&gt;3,"Very good",Table1[[#This Row],[academic_performance]]&gt;4,"Excellent")</f>
        <v>Need Improvement</v>
      </c>
      <c r="K387">
        <v>1.4</v>
      </c>
      <c r="L387" t="str">
        <f>IF(Table1[[#This Row],[physical_activity]]&gt;1.9,"better overall ","lower rate of depression")</f>
        <v>lower rate of depression</v>
      </c>
      <c r="M387" t="s">
        <v>19</v>
      </c>
      <c r="N387">
        <v>5</v>
      </c>
      <c r="O387">
        <v>3</v>
      </c>
      <c r="P387">
        <v>2</v>
      </c>
      <c r="Q387">
        <v>0</v>
      </c>
    </row>
    <row r="388" spans="1:17" x14ac:dyDescent="0.3">
      <c r="A388">
        <v>15</v>
      </c>
      <c r="B388" t="s">
        <v>16</v>
      </c>
      <c r="C388" t="str">
        <f>IF(Table1[[#This Row],[age]]&gt;18,"Adult","Teenage")</f>
        <v>Teenage</v>
      </c>
      <c r="D388">
        <v>6.7</v>
      </c>
      <c r="E388" t="s">
        <v>20</v>
      </c>
      <c r="F388">
        <v>5</v>
      </c>
      <c r="G388">
        <f>Table1[[#This Row],[sleep_hours]]-Table1[[#This Row],[daily_social_media_hours]]</f>
        <v>-1.7000000000000002</v>
      </c>
      <c r="H388">
        <v>0.6</v>
      </c>
      <c r="I388">
        <v>2.75</v>
      </c>
      <c r="J388" t="str" cm="1">
        <f t="array" ref="J388">_xlfn.IFS(Table1[[#This Row],[academic_performance]]&gt;1,"Need Improvement",Table1[[#This Row],[academic_performance]]&gt;2,"Good",Table1[[#This Row],[academic_performance]]&gt;3,"Very good",Table1[[#This Row],[academic_performance]]&gt;4,"Excellent")</f>
        <v>Need Improvement</v>
      </c>
      <c r="K388">
        <v>1.5</v>
      </c>
      <c r="L388" t="str">
        <f>IF(Table1[[#This Row],[physical_activity]]&gt;1.9,"better overall ","lower rate of depression")</f>
        <v>lower rate of depression</v>
      </c>
      <c r="M388" t="s">
        <v>19</v>
      </c>
      <c r="N388">
        <v>7</v>
      </c>
      <c r="O388">
        <v>4</v>
      </c>
      <c r="P388">
        <v>8</v>
      </c>
      <c r="Q388">
        <v>0</v>
      </c>
    </row>
    <row r="389" spans="1:17" x14ac:dyDescent="0.3">
      <c r="A389">
        <v>15</v>
      </c>
      <c r="B389" t="s">
        <v>16</v>
      </c>
      <c r="C389" t="str">
        <f>IF(Table1[[#This Row],[age]]&gt;18,"Adult","Teenage")</f>
        <v>Teenage</v>
      </c>
      <c r="D389">
        <v>2.2999999999999998</v>
      </c>
      <c r="E389" t="s">
        <v>14</v>
      </c>
      <c r="F389">
        <v>5.6</v>
      </c>
      <c r="G389">
        <f>Table1[[#This Row],[sleep_hours]]-Table1[[#This Row],[daily_social_media_hours]]</f>
        <v>3.3</v>
      </c>
      <c r="H389">
        <v>2.9</v>
      </c>
      <c r="I389">
        <v>2.72</v>
      </c>
      <c r="J389" t="str" cm="1">
        <f t="array" ref="J389">_xlfn.IFS(Table1[[#This Row],[academic_performance]]&gt;1,"Need Improvement",Table1[[#This Row],[academic_performance]]&gt;2,"Good",Table1[[#This Row],[academic_performance]]&gt;3,"Very good",Table1[[#This Row],[academic_performance]]&gt;4,"Excellent")</f>
        <v>Need Improvement</v>
      </c>
      <c r="K389">
        <v>1</v>
      </c>
      <c r="L389" t="str">
        <f>IF(Table1[[#This Row],[physical_activity]]&gt;1.9,"better overall ","lower rate of depression")</f>
        <v>lower rate of depression</v>
      </c>
      <c r="M389" t="s">
        <v>18</v>
      </c>
      <c r="N389">
        <v>6</v>
      </c>
      <c r="O389">
        <v>6</v>
      </c>
      <c r="P389">
        <v>2</v>
      </c>
      <c r="Q389">
        <v>0</v>
      </c>
    </row>
    <row r="390" spans="1:17" x14ac:dyDescent="0.3">
      <c r="A390">
        <v>14</v>
      </c>
      <c r="B390" t="s">
        <v>13</v>
      </c>
      <c r="C390" t="str">
        <f>IF(Table1[[#This Row],[age]]&gt;18,"Adult","Teenage")</f>
        <v>Teenage</v>
      </c>
      <c r="D390">
        <v>5.3</v>
      </c>
      <c r="E390" t="s">
        <v>20</v>
      </c>
      <c r="F390">
        <v>9</v>
      </c>
      <c r="G390">
        <f>Table1[[#This Row],[sleep_hours]]-Table1[[#This Row],[daily_social_media_hours]]</f>
        <v>3.7</v>
      </c>
      <c r="H390">
        <v>2.8</v>
      </c>
      <c r="I390">
        <v>3.1</v>
      </c>
      <c r="J390" t="str" cm="1">
        <f t="array" ref="J390">_xlfn.IFS(Table1[[#This Row],[academic_performance]]&gt;1,"Need Improvement",Table1[[#This Row],[academic_performance]]&gt;2,"Good",Table1[[#This Row],[academic_performance]]&gt;3,"Very good",Table1[[#This Row],[academic_performance]]&gt;4,"Excellent")</f>
        <v>Need Improvement</v>
      </c>
      <c r="K390">
        <v>1.6</v>
      </c>
      <c r="L390" t="str">
        <f>IF(Table1[[#This Row],[physical_activity]]&gt;1.9,"better overall ","lower rate of depression")</f>
        <v>lower rate of depression</v>
      </c>
      <c r="M390" t="s">
        <v>18</v>
      </c>
      <c r="N390">
        <v>10</v>
      </c>
      <c r="O390">
        <v>7</v>
      </c>
      <c r="P390">
        <v>6</v>
      </c>
      <c r="Q390">
        <v>0</v>
      </c>
    </row>
    <row r="391" spans="1:17" x14ac:dyDescent="0.3">
      <c r="A391">
        <v>13</v>
      </c>
      <c r="B391" t="s">
        <v>16</v>
      </c>
      <c r="C391" t="str">
        <f>IF(Table1[[#This Row],[age]]&gt;18,"Adult","Teenage")</f>
        <v>Teenage</v>
      </c>
      <c r="D391">
        <v>2.7</v>
      </c>
      <c r="E391" t="s">
        <v>17</v>
      </c>
      <c r="F391">
        <v>6.5</v>
      </c>
      <c r="G391">
        <f>Table1[[#This Row],[sleep_hours]]-Table1[[#This Row],[daily_social_media_hours]]</f>
        <v>3.8</v>
      </c>
      <c r="H391">
        <v>1.5</v>
      </c>
      <c r="I391">
        <v>2.58</v>
      </c>
      <c r="J391" t="str" cm="1">
        <f t="array" ref="J391">_xlfn.IFS(Table1[[#This Row],[academic_performance]]&gt;1,"Need Improvement",Table1[[#This Row],[academic_performance]]&gt;2,"Good",Table1[[#This Row],[academic_performance]]&gt;3,"Very good",Table1[[#This Row],[academic_performance]]&gt;4,"Excellent")</f>
        <v>Need Improvement</v>
      </c>
      <c r="K391">
        <v>0.4</v>
      </c>
      <c r="L391" t="str">
        <f>IF(Table1[[#This Row],[physical_activity]]&gt;1.9,"better overall ","lower rate of depression")</f>
        <v>lower rate of depression</v>
      </c>
      <c r="M391" t="s">
        <v>18</v>
      </c>
      <c r="N391">
        <v>1</v>
      </c>
      <c r="O391">
        <v>1</v>
      </c>
      <c r="P391">
        <v>6</v>
      </c>
      <c r="Q391">
        <v>0</v>
      </c>
    </row>
    <row r="392" spans="1:17" x14ac:dyDescent="0.3">
      <c r="A392">
        <v>13</v>
      </c>
      <c r="B392" t="s">
        <v>13</v>
      </c>
      <c r="C392" t="str">
        <f>IF(Table1[[#This Row],[age]]&gt;18,"Adult","Teenage")</f>
        <v>Teenage</v>
      </c>
      <c r="D392">
        <v>5.4</v>
      </c>
      <c r="E392" t="s">
        <v>14</v>
      </c>
      <c r="F392">
        <v>7.8</v>
      </c>
      <c r="G392">
        <f>Table1[[#This Row],[sleep_hours]]-Table1[[#This Row],[daily_social_media_hours]]</f>
        <v>2.3999999999999995</v>
      </c>
      <c r="H392">
        <v>1.8</v>
      </c>
      <c r="I392">
        <v>3.46</v>
      </c>
      <c r="J392" t="str" cm="1">
        <f t="array" ref="J392">_xlfn.IFS(Table1[[#This Row],[academic_performance]]&gt;1,"Need Improvement",Table1[[#This Row],[academic_performance]]&gt;2,"Good",Table1[[#This Row],[academic_performance]]&gt;3,"Very good",Table1[[#This Row],[academic_performance]]&gt;4,"Excellent")</f>
        <v>Need Improvement</v>
      </c>
      <c r="K392">
        <v>1</v>
      </c>
      <c r="L392" t="str">
        <f>IF(Table1[[#This Row],[physical_activity]]&gt;1.9,"better overall ","lower rate of depression")</f>
        <v>lower rate of depression</v>
      </c>
      <c r="M392" t="s">
        <v>18</v>
      </c>
      <c r="N392">
        <v>4</v>
      </c>
      <c r="O392">
        <v>7</v>
      </c>
      <c r="P392">
        <v>7</v>
      </c>
      <c r="Q392">
        <v>0</v>
      </c>
    </row>
    <row r="393" spans="1:17" x14ac:dyDescent="0.3">
      <c r="A393">
        <v>17</v>
      </c>
      <c r="B393" t="s">
        <v>13</v>
      </c>
      <c r="C393" t="str">
        <f>IF(Table1[[#This Row],[age]]&gt;18,"Adult","Teenage")</f>
        <v>Teenage</v>
      </c>
      <c r="D393">
        <v>7.2</v>
      </c>
      <c r="E393" t="s">
        <v>14</v>
      </c>
      <c r="F393">
        <v>8</v>
      </c>
      <c r="G393">
        <f>Table1[[#This Row],[sleep_hours]]-Table1[[#This Row],[daily_social_media_hours]]</f>
        <v>0.79999999999999982</v>
      </c>
      <c r="H393">
        <v>1.9</v>
      </c>
      <c r="I393">
        <v>2.66</v>
      </c>
      <c r="J393" t="str" cm="1">
        <f t="array" ref="J393">_xlfn.IFS(Table1[[#This Row],[academic_performance]]&gt;1,"Need Improvement",Table1[[#This Row],[academic_performance]]&gt;2,"Good",Table1[[#This Row],[academic_performance]]&gt;3,"Very good",Table1[[#This Row],[academic_performance]]&gt;4,"Excellent")</f>
        <v>Need Improvement</v>
      </c>
      <c r="K393">
        <v>1.4</v>
      </c>
      <c r="L393" t="str">
        <f>IF(Table1[[#This Row],[physical_activity]]&gt;1.9,"better overall ","lower rate of depression")</f>
        <v>lower rate of depression</v>
      </c>
      <c r="M393" t="s">
        <v>19</v>
      </c>
      <c r="N393">
        <v>5</v>
      </c>
      <c r="O393">
        <v>8</v>
      </c>
      <c r="P393">
        <v>6</v>
      </c>
      <c r="Q393">
        <v>0</v>
      </c>
    </row>
    <row r="394" spans="1:17" x14ac:dyDescent="0.3">
      <c r="A394">
        <v>19</v>
      </c>
      <c r="B394" t="s">
        <v>13</v>
      </c>
      <c r="C394" t="str">
        <f>IF(Table1[[#This Row],[age]]&gt;18,"Adult","Teenage")</f>
        <v>Adult</v>
      </c>
      <c r="D394">
        <v>1.5</v>
      </c>
      <c r="E394" t="s">
        <v>17</v>
      </c>
      <c r="F394">
        <v>6.8</v>
      </c>
      <c r="G394">
        <f>Table1[[#This Row],[sleep_hours]]-Table1[[#This Row],[daily_social_media_hours]]</f>
        <v>5.3</v>
      </c>
      <c r="H394">
        <v>2.5</v>
      </c>
      <c r="I394">
        <v>2.13</v>
      </c>
      <c r="J394" t="str" cm="1">
        <f t="array" ref="J394">_xlfn.IFS(Table1[[#This Row],[academic_performance]]&gt;1,"Need Improvement",Table1[[#This Row],[academic_performance]]&gt;2,"Good",Table1[[#This Row],[academic_performance]]&gt;3,"Very good",Table1[[#This Row],[academic_performance]]&gt;4,"Excellent")</f>
        <v>Need Improvement</v>
      </c>
      <c r="K394">
        <v>0.2</v>
      </c>
      <c r="L394" t="str">
        <f>IF(Table1[[#This Row],[physical_activity]]&gt;1.9,"better overall ","lower rate of depression")</f>
        <v>lower rate of depression</v>
      </c>
      <c r="M394" t="s">
        <v>19</v>
      </c>
      <c r="N394">
        <v>9</v>
      </c>
      <c r="O394">
        <v>8</v>
      </c>
      <c r="P394">
        <v>10</v>
      </c>
      <c r="Q394">
        <v>0</v>
      </c>
    </row>
    <row r="395" spans="1:17" x14ac:dyDescent="0.3">
      <c r="A395">
        <v>13</v>
      </c>
      <c r="B395" t="s">
        <v>13</v>
      </c>
      <c r="C395" t="str">
        <f>IF(Table1[[#This Row],[age]]&gt;18,"Adult","Teenage")</f>
        <v>Teenage</v>
      </c>
      <c r="D395">
        <v>4</v>
      </c>
      <c r="E395" t="s">
        <v>20</v>
      </c>
      <c r="F395">
        <v>4.2</v>
      </c>
      <c r="G395">
        <f>Table1[[#This Row],[sleep_hours]]-Table1[[#This Row],[daily_social_media_hours]]</f>
        <v>0.20000000000000018</v>
      </c>
      <c r="H395">
        <v>0.5</v>
      </c>
      <c r="I395">
        <v>2.46</v>
      </c>
      <c r="J395" t="str" cm="1">
        <f t="array" ref="J395">_xlfn.IFS(Table1[[#This Row],[academic_performance]]&gt;1,"Need Improvement",Table1[[#This Row],[academic_performance]]&gt;2,"Good",Table1[[#This Row],[academic_performance]]&gt;3,"Very good",Table1[[#This Row],[academic_performance]]&gt;4,"Excellent")</f>
        <v>Need Improvement</v>
      </c>
      <c r="K395">
        <v>0.6</v>
      </c>
      <c r="L395" t="str">
        <f>IF(Table1[[#This Row],[physical_activity]]&gt;1.9,"better overall ","lower rate of depression")</f>
        <v>lower rate of depression</v>
      </c>
      <c r="M395" t="s">
        <v>15</v>
      </c>
      <c r="N395">
        <v>2</v>
      </c>
      <c r="O395">
        <v>9</v>
      </c>
      <c r="P395">
        <v>9</v>
      </c>
      <c r="Q395">
        <v>0</v>
      </c>
    </row>
    <row r="396" spans="1:17" x14ac:dyDescent="0.3">
      <c r="A396">
        <v>15</v>
      </c>
      <c r="B396" t="s">
        <v>16</v>
      </c>
      <c r="C396" t="str">
        <f>IF(Table1[[#This Row],[age]]&gt;18,"Adult","Teenage")</f>
        <v>Teenage</v>
      </c>
      <c r="D396">
        <v>4.2</v>
      </c>
      <c r="E396" t="s">
        <v>20</v>
      </c>
      <c r="F396">
        <v>7.1</v>
      </c>
      <c r="G396">
        <f>Table1[[#This Row],[sleep_hours]]-Table1[[#This Row],[daily_social_media_hours]]</f>
        <v>2.8999999999999995</v>
      </c>
      <c r="H396">
        <v>2.1</v>
      </c>
      <c r="I396">
        <v>2.21</v>
      </c>
      <c r="J396" t="str" cm="1">
        <f t="array" ref="J396">_xlfn.IFS(Table1[[#This Row],[academic_performance]]&gt;1,"Need Improvement",Table1[[#This Row],[academic_performance]]&gt;2,"Good",Table1[[#This Row],[academic_performance]]&gt;3,"Very good",Table1[[#This Row],[academic_performance]]&gt;4,"Excellent")</f>
        <v>Need Improvement</v>
      </c>
      <c r="K396">
        <v>1.8</v>
      </c>
      <c r="L396" t="str">
        <f>IF(Table1[[#This Row],[physical_activity]]&gt;1.9,"better overall ","lower rate of depression")</f>
        <v>lower rate of depression</v>
      </c>
      <c r="M396" t="s">
        <v>19</v>
      </c>
      <c r="N396">
        <v>4</v>
      </c>
      <c r="O396">
        <v>1</v>
      </c>
      <c r="P396">
        <v>3</v>
      </c>
      <c r="Q396">
        <v>0</v>
      </c>
    </row>
    <row r="397" spans="1:17" x14ac:dyDescent="0.3">
      <c r="A397">
        <v>19</v>
      </c>
      <c r="B397" t="s">
        <v>13</v>
      </c>
      <c r="C397" t="str">
        <f>IF(Table1[[#This Row],[age]]&gt;18,"Adult","Teenage")</f>
        <v>Adult</v>
      </c>
      <c r="D397">
        <v>1.8</v>
      </c>
      <c r="E397" t="s">
        <v>17</v>
      </c>
      <c r="F397">
        <v>7.7</v>
      </c>
      <c r="G397">
        <f>Table1[[#This Row],[sleep_hours]]-Table1[[#This Row],[daily_social_media_hours]]</f>
        <v>5.9</v>
      </c>
      <c r="H397">
        <v>2.2000000000000002</v>
      </c>
      <c r="I397">
        <v>3.77</v>
      </c>
      <c r="J397" t="str" cm="1">
        <f t="array" ref="J397">_xlfn.IFS(Table1[[#This Row],[academic_performance]]&gt;1,"Need Improvement",Table1[[#This Row],[academic_performance]]&gt;2,"Good",Table1[[#This Row],[academic_performance]]&gt;3,"Very good",Table1[[#This Row],[academic_performance]]&gt;4,"Excellent")</f>
        <v>Need Improvement</v>
      </c>
      <c r="K397">
        <v>0.3</v>
      </c>
      <c r="L397" t="str">
        <f>IF(Table1[[#This Row],[physical_activity]]&gt;1.9,"better overall ","lower rate of depression")</f>
        <v>lower rate of depression</v>
      </c>
      <c r="M397" t="s">
        <v>19</v>
      </c>
      <c r="N397">
        <v>4</v>
      </c>
      <c r="O397">
        <v>6</v>
      </c>
      <c r="P397">
        <v>7</v>
      </c>
      <c r="Q397">
        <v>0</v>
      </c>
    </row>
    <row r="398" spans="1:17" x14ac:dyDescent="0.3">
      <c r="A398">
        <v>17</v>
      </c>
      <c r="B398" t="s">
        <v>16</v>
      </c>
      <c r="C398" t="str">
        <f>IF(Table1[[#This Row],[age]]&gt;18,"Adult","Teenage")</f>
        <v>Teenage</v>
      </c>
      <c r="D398">
        <v>3.3</v>
      </c>
      <c r="E398" t="s">
        <v>14</v>
      </c>
      <c r="F398">
        <v>8.6</v>
      </c>
      <c r="G398">
        <f>Table1[[#This Row],[sleep_hours]]-Table1[[#This Row],[daily_social_media_hours]]</f>
        <v>5.3</v>
      </c>
      <c r="H398">
        <v>1.1000000000000001</v>
      </c>
      <c r="I398">
        <v>2.62</v>
      </c>
      <c r="J398" t="str" cm="1">
        <f t="array" ref="J398">_xlfn.IFS(Table1[[#This Row],[academic_performance]]&gt;1,"Need Improvement",Table1[[#This Row],[academic_performance]]&gt;2,"Good",Table1[[#This Row],[academic_performance]]&gt;3,"Very good",Table1[[#This Row],[academic_performance]]&gt;4,"Excellent")</f>
        <v>Need Improvement</v>
      </c>
      <c r="K398">
        <v>0.4</v>
      </c>
      <c r="L398" t="str">
        <f>IF(Table1[[#This Row],[physical_activity]]&gt;1.9,"better overall ","lower rate of depression")</f>
        <v>lower rate of depression</v>
      </c>
      <c r="M398" t="s">
        <v>15</v>
      </c>
      <c r="N398">
        <v>4</v>
      </c>
      <c r="O398">
        <v>7</v>
      </c>
      <c r="P398">
        <v>9</v>
      </c>
      <c r="Q398">
        <v>0</v>
      </c>
    </row>
    <row r="399" spans="1:17" x14ac:dyDescent="0.3">
      <c r="A399">
        <v>14</v>
      </c>
      <c r="B399" t="s">
        <v>16</v>
      </c>
      <c r="C399" t="str">
        <f>IF(Table1[[#This Row],[age]]&gt;18,"Adult","Teenage")</f>
        <v>Teenage</v>
      </c>
      <c r="D399">
        <v>1</v>
      </c>
      <c r="E399" t="s">
        <v>20</v>
      </c>
      <c r="F399">
        <v>6.6</v>
      </c>
      <c r="G399">
        <f>Table1[[#This Row],[sleep_hours]]-Table1[[#This Row],[daily_social_media_hours]]</f>
        <v>5.6</v>
      </c>
      <c r="H399">
        <v>1.4</v>
      </c>
      <c r="I399">
        <v>2.02</v>
      </c>
      <c r="J399" t="str" cm="1">
        <f t="array" ref="J399">_xlfn.IFS(Table1[[#This Row],[academic_performance]]&gt;1,"Need Improvement",Table1[[#This Row],[academic_performance]]&gt;2,"Good",Table1[[#This Row],[academic_performance]]&gt;3,"Very good",Table1[[#This Row],[academic_performance]]&gt;4,"Excellent")</f>
        <v>Need Improvement</v>
      </c>
      <c r="K399">
        <v>1.9</v>
      </c>
      <c r="L399" t="str">
        <f>IF(Table1[[#This Row],[physical_activity]]&gt;1.9,"better overall ","lower rate of depression")</f>
        <v>lower rate of depression</v>
      </c>
      <c r="M399" t="s">
        <v>15</v>
      </c>
      <c r="N399">
        <v>6</v>
      </c>
      <c r="O399">
        <v>5</v>
      </c>
      <c r="P399">
        <v>5</v>
      </c>
      <c r="Q399">
        <v>0</v>
      </c>
    </row>
    <row r="400" spans="1:17" x14ac:dyDescent="0.3">
      <c r="A400">
        <v>13</v>
      </c>
      <c r="B400" t="s">
        <v>16</v>
      </c>
      <c r="C400" t="str">
        <f>IF(Table1[[#This Row],[age]]&gt;18,"Adult","Teenage")</f>
        <v>Teenage</v>
      </c>
      <c r="D400">
        <v>1.2</v>
      </c>
      <c r="E400" t="s">
        <v>17</v>
      </c>
      <c r="F400">
        <v>8</v>
      </c>
      <c r="G400">
        <f>Table1[[#This Row],[sleep_hours]]-Table1[[#This Row],[daily_social_media_hours]]</f>
        <v>6.8</v>
      </c>
      <c r="H400">
        <v>2.8</v>
      </c>
      <c r="I400">
        <v>2.1800000000000002</v>
      </c>
      <c r="J400" t="str" cm="1">
        <f t="array" ref="J400">_xlfn.IFS(Table1[[#This Row],[academic_performance]]&gt;1,"Need Improvement",Table1[[#This Row],[academic_performance]]&gt;2,"Good",Table1[[#This Row],[academic_performance]]&gt;3,"Very good",Table1[[#This Row],[academic_performance]]&gt;4,"Excellent")</f>
        <v>Need Improvement</v>
      </c>
      <c r="K400">
        <v>1.1000000000000001</v>
      </c>
      <c r="L400" t="str">
        <f>IF(Table1[[#This Row],[physical_activity]]&gt;1.9,"better overall ","lower rate of depression")</f>
        <v>lower rate of depression</v>
      </c>
      <c r="M400" t="s">
        <v>18</v>
      </c>
      <c r="N400">
        <v>5</v>
      </c>
      <c r="O400">
        <v>8</v>
      </c>
      <c r="P400">
        <v>5</v>
      </c>
      <c r="Q400">
        <v>0</v>
      </c>
    </row>
    <row r="401" spans="1:17" x14ac:dyDescent="0.3">
      <c r="A401">
        <v>19</v>
      </c>
      <c r="B401" t="s">
        <v>13</v>
      </c>
      <c r="C401" t="str">
        <f>IF(Table1[[#This Row],[age]]&gt;18,"Adult","Teenage")</f>
        <v>Adult</v>
      </c>
      <c r="D401">
        <v>2</v>
      </c>
      <c r="E401" t="s">
        <v>14</v>
      </c>
      <c r="F401">
        <v>4.0999999999999996</v>
      </c>
      <c r="G401">
        <f>Table1[[#This Row],[sleep_hours]]-Table1[[#This Row],[daily_social_media_hours]]</f>
        <v>2.0999999999999996</v>
      </c>
      <c r="H401">
        <v>1.3</v>
      </c>
      <c r="I401">
        <v>3.71</v>
      </c>
      <c r="J401" t="str" cm="1">
        <f t="array" ref="J401">_xlfn.IFS(Table1[[#This Row],[academic_performance]]&gt;1,"Need Improvement",Table1[[#This Row],[academic_performance]]&gt;2,"Good",Table1[[#This Row],[academic_performance]]&gt;3,"Very good",Table1[[#This Row],[academic_performance]]&gt;4,"Excellent")</f>
        <v>Need Improvement</v>
      </c>
      <c r="K401">
        <v>1.6</v>
      </c>
      <c r="L401" t="str">
        <f>IF(Table1[[#This Row],[physical_activity]]&gt;1.9,"better overall ","lower rate of depression")</f>
        <v>lower rate of depression</v>
      </c>
      <c r="M401" t="s">
        <v>15</v>
      </c>
      <c r="N401">
        <v>7</v>
      </c>
      <c r="O401">
        <v>7</v>
      </c>
      <c r="P401">
        <v>8</v>
      </c>
      <c r="Q401">
        <v>0</v>
      </c>
    </row>
    <row r="402" spans="1:17" x14ac:dyDescent="0.3">
      <c r="A402">
        <v>13</v>
      </c>
      <c r="B402" t="s">
        <v>16</v>
      </c>
      <c r="C402" t="str">
        <f>IF(Table1[[#This Row],[age]]&gt;18,"Adult","Teenage")</f>
        <v>Teenage</v>
      </c>
      <c r="D402">
        <v>7.1</v>
      </c>
      <c r="E402" t="s">
        <v>20</v>
      </c>
      <c r="F402">
        <v>6.5</v>
      </c>
      <c r="G402">
        <f>Table1[[#This Row],[sleep_hours]]-Table1[[#This Row],[daily_social_media_hours]]</f>
        <v>-0.59999999999999964</v>
      </c>
      <c r="H402">
        <v>1.6</v>
      </c>
      <c r="I402">
        <v>2.0299999999999998</v>
      </c>
      <c r="J402" t="str" cm="1">
        <f t="array" ref="J402">_xlfn.IFS(Table1[[#This Row],[academic_performance]]&gt;1,"Need Improvement",Table1[[#This Row],[academic_performance]]&gt;2,"Good",Table1[[#This Row],[academic_performance]]&gt;3,"Very good",Table1[[#This Row],[academic_performance]]&gt;4,"Excellent")</f>
        <v>Need Improvement</v>
      </c>
      <c r="K402">
        <v>0.3</v>
      </c>
      <c r="L402" t="str">
        <f>IF(Table1[[#This Row],[physical_activity]]&gt;1.9,"better overall ","lower rate of depression")</f>
        <v>lower rate of depression</v>
      </c>
      <c r="M402" t="s">
        <v>19</v>
      </c>
      <c r="N402">
        <v>1</v>
      </c>
      <c r="O402">
        <v>10</v>
      </c>
      <c r="P402">
        <v>6</v>
      </c>
      <c r="Q402">
        <v>0</v>
      </c>
    </row>
    <row r="403" spans="1:17" x14ac:dyDescent="0.3">
      <c r="A403">
        <v>15</v>
      </c>
      <c r="B403" t="s">
        <v>16</v>
      </c>
      <c r="C403" t="str">
        <f>IF(Table1[[#This Row],[age]]&gt;18,"Adult","Teenage")</f>
        <v>Teenage</v>
      </c>
      <c r="D403">
        <v>5.5</v>
      </c>
      <c r="E403" t="s">
        <v>17</v>
      </c>
      <c r="F403">
        <v>7.8</v>
      </c>
      <c r="G403">
        <f>Table1[[#This Row],[sleep_hours]]-Table1[[#This Row],[daily_social_media_hours]]</f>
        <v>2.2999999999999998</v>
      </c>
      <c r="H403">
        <v>1.5</v>
      </c>
      <c r="I403">
        <v>2.79</v>
      </c>
      <c r="J403" t="str" cm="1">
        <f t="array" ref="J403">_xlfn.IFS(Table1[[#This Row],[academic_performance]]&gt;1,"Need Improvement",Table1[[#This Row],[academic_performance]]&gt;2,"Good",Table1[[#This Row],[academic_performance]]&gt;3,"Very good",Table1[[#This Row],[academic_performance]]&gt;4,"Excellent")</f>
        <v>Need Improvement</v>
      </c>
      <c r="K403">
        <v>0.7</v>
      </c>
      <c r="L403" t="str">
        <f>IF(Table1[[#This Row],[physical_activity]]&gt;1.9,"better overall ","lower rate of depression")</f>
        <v>lower rate of depression</v>
      </c>
      <c r="M403" t="s">
        <v>18</v>
      </c>
      <c r="N403">
        <v>9</v>
      </c>
      <c r="O403">
        <v>10</v>
      </c>
      <c r="P403">
        <v>7</v>
      </c>
      <c r="Q403">
        <v>0</v>
      </c>
    </row>
    <row r="404" spans="1:17" x14ac:dyDescent="0.3">
      <c r="A404">
        <v>17</v>
      </c>
      <c r="B404" t="s">
        <v>13</v>
      </c>
      <c r="C404" t="str">
        <f>IF(Table1[[#This Row],[age]]&gt;18,"Adult","Teenage")</f>
        <v>Teenage</v>
      </c>
      <c r="D404">
        <v>7.7</v>
      </c>
      <c r="E404" t="s">
        <v>17</v>
      </c>
      <c r="F404">
        <v>4.7</v>
      </c>
      <c r="G404">
        <f>Table1[[#This Row],[sleep_hours]]-Table1[[#This Row],[daily_social_media_hours]]</f>
        <v>-3</v>
      </c>
      <c r="H404">
        <v>2.8</v>
      </c>
      <c r="I404">
        <v>3.5</v>
      </c>
      <c r="J404" t="str" cm="1">
        <f t="array" ref="J404">_xlfn.IFS(Table1[[#This Row],[academic_performance]]&gt;1,"Need Improvement",Table1[[#This Row],[academic_performance]]&gt;2,"Good",Table1[[#This Row],[academic_performance]]&gt;3,"Very good",Table1[[#This Row],[academic_performance]]&gt;4,"Excellent")</f>
        <v>Need Improvement</v>
      </c>
      <c r="K404">
        <v>1.5</v>
      </c>
      <c r="L404" t="str">
        <f>IF(Table1[[#This Row],[physical_activity]]&gt;1.9,"better overall ","lower rate of depression")</f>
        <v>lower rate of depression</v>
      </c>
      <c r="M404" t="s">
        <v>15</v>
      </c>
      <c r="N404">
        <v>8</v>
      </c>
      <c r="O404">
        <v>4</v>
      </c>
      <c r="P404">
        <v>8</v>
      </c>
      <c r="Q404">
        <v>0</v>
      </c>
    </row>
    <row r="405" spans="1:17" x14ac:dyDescent="0.3">
      <c r="A405">
        <v>17</v>
      </c>
      <c r="B405" t="s">
        <v>16</v>
      </c>
      <c r="C405" t="str">
        <f>IF(Table1[[#This Row],[age]]&gt;18,"Adult","Teenage")</f>
        <v>Teenage</v>
      </c>
      <c r="D405">
        <v>7.6</v>
      </c>
      <c r="E405" t="s">
        <v>14</v>
      </c>
      <c r="F405">
        <v>5.9</v>
      </c>
      <c r="G405">
        <f>Table1[[#This Row],[sleep_hours]]-Table1[[#This Row],[daily_social_media_hours]]</f>
        <v>-1.6999999999999993</v>
      </c>
      <c r="H405">
        <v>2</v>
      </c>
      <c r="I405">
        <v>2.52</v>
      </c>
      <c r="J405" t="str" cm="1">
        <f t="array" ref="J405">_xlfn.IFS(Table1[[#This Row],[academic_performance]]&gt;1,"Need Improvement",Table1[[#This Row],[academic_performance]]&gt;2,"Good",Table1[[#This Row],[academic_performance]]&gt;3,"Very good",Table1[[#This Row],[academic_performance]]&gt;4,"Excellent")</f>
        <v>Need Improvement</v>
      </c>
      <c r="K405">
        <v>1.5</v>
      </c>
      <c r="L405" t="str">
        <f>IF(Table1[[#This Row],[physical_activity]]&gt;1.9,"better overall ","lower rate of depression")</f>
        <v>lower rate of depression</v>
      </c>
      <c r="M405" t="s">
        <v>19</v>
      </c>
      <c r="N405">
        <v>1</v>
      </c>
      <c r="O405">
        <v>5</v>
      </c>
      <c r="P405">
        <v>1</v>
      </c>
      <c r="Q405">
        <v>0</v>
      </c>
    </row>
    <row r="406" spans="1:17" x14ac:dyDescent="0.3">
      <c r="A406">
        <v>13</v>
      </c>
      <c r="B406" t="s">
        <v>13</v>
      </c>
      <c r="C406" t="str">
        <f>IF(Table1[[#This Row],[age]]&gt;18,"Adult","Teenage")</f>
        <v>Teenage</v>
      </c>
      <c r="D406">
        <v>8</v>
      </c>
      <c r="E406" t="s">
        <v>14</v>
      </c>
      <c r="F406">
        <v>6.9</v>
      </c>
      <c r="G406">
        <f>Table1[[#This Row],[sleep_hours]]-Table1[[#This Row],[daily_social_media_hours]]</f>
        <v>-1.0999999999999996</v>
      </c>
      <c r="H406">
        <v>2.5</v>
      </c>
      <c r="I406">
        <v>2.4500000000000002</v>
      </c>
      <c r="J406" t="str" cm="1">
        <f t="array" ref="J406">_xlfn.IFS(Table1[[#This Row],[academic_performance]]&gt;1,"Need Improvement",Table1[[#This Row],[academic_performance]]&gt;2,"Good",Table1[[#This Row],[academic_performance]]&gt;3,"Very good",Table1[[#This Row],[academic_performance]]&gt;4,"Excellent")</f>
        <v>Need Improvement</v>
      </c>
      <c r="K406">
        <v>1.7</v>
      </c>
      <c r="L406" t="str">
        <f>IF(Table1[[#This Row],[physical_activity]]&gt;1.9,"better overall ","lower rate of depression")</f>
        <v>lower rate of depression</v>
      </c>
      <c r="M406" t="s">
        <v>19</v>
      </c>
      <c r="N406">
        <v>10</v>
      </c>
      <c r="O406">
        <v>1</v>
      </c>
      <c r="P406">
        <v>3</v>
      </c>
      <c r="Q406">
        <v>0</v>
      </c>
    </row>
    <row r="407" spans="1:17" x14ac:dyDescent="0.3">
      <c r="A407">
        <v>16</v>
      </c>
      <c r="B407" t="s">
        <v>16</v>
      </c>
      <c r="C407" t="str">
        <f>IF(Table1[[#This Row],[age]]&gt;18,"Adult","Teenage")</f>
        <v>Teenage</v>
      </c>
      <c r="D407">
        <v>4.3</v>
      </c>
      <c r="E407" t="s">
        <v>14</v>
      </c>
      <c r="F407">
        <v>6</v>
      </c>
      <c r="G407">
        <f>Table1[[#This Row],[sleep_hours]]-Table1[[#This Row],[daily_social_media_hours]]</f>
        <v>1.7000000000000002</v>
      </c>
      <c r="H407">
        <v>1.4</v>
      </c>
      <c r="I407">
        <v>2.98</v>
      </c>
      <c r="J407" t="str" cm="1">
        <f t="array" ref="J407">_xlfn.IFS(Table1[[#This Row],[academic_performance]]&gt;1,"Need Improvement",Table1[[#This Row],[academic_performance]]&gt;2,"Good",Table1[[#This Row],[academic_performance]]&gt;3,"Very good",Table1[[#This Row],[academic_performance]]&gt;4,"Excellent")</f>
        <v>Need Improvement</v>
      </c>
      <c r="K407">
        <v>1.7</v>
      </c>
      <c r="L407" t="str">
        <f>IF(Table1[[#This Row],[physical_activity]]&gt;1.9,"better overall ","lower rate of depression")</f>
        <v>lower rate of depression</v>
      </c>
      <c r="M407" t="s">
        <v>15</v>
      </c>
      <c r="N407">
        <v>8</v>
      </c>
      <c r="O407">
        <v>7</v>
      </c>
      <c r="P407">
        <v>4</v>
      </c>
      <c r="Q407">
        <v>0</v>
      </c>
    </row>
    <row r="408" spans="1:17" x14ac:dyDescent="0.3">
      <c r="A408">
        <v>13</v>
      </c>
      <c r="B408" t="s">
        <v>13</v>
      </c>
      <c r="C408" t="str">
        <f>IF(Table1[[#This Row],[age]]&gt;18,"Adult","Teenage")</f>
        <v>Teenage</v>
      </c>
      <c r="D408">
        <v>3.8</v>
      </c>
      <c r="E408" t="s">
        <v>20</v>
      </c>
      <c r="F408">
        <v>5.3</v>
      </c>
      <c r="G408">
        <f>Table1[[#This Row],[sleep_hours]]-Table1[[#This Row],[daily_social_media_hours]]</f>
        <v>1.5</v>
      </c>
      <c r="H408">
        <v>2.5</v>
      </c>
      <c r="I408">
        <v>3.48</v>
      </c>
      <c r="J408" t="str" cm="1">
        <f t="array" ref="J408">_xlfn.IFS(Table1[[#This Row],[academic_performance]]&gt;1,"Need Improvement",Table1[[#This Row],[academic_performance]]&gt;2,"Good",Table1[[#This Row],[academic_performance]]&gt;3,"Very good",Table1[[#This Row],[academic_performance]]&gt;4,"Excellent")</f>
        <v>Need Improvement</v>
      </c>
      <c r="K408">
        <v>1</v>
      </c>
      <c r="L408" t="str">
        <f>IF(Table1[[#This Row],[physical_activity]]&gt;1.9,"better overall ","lower rate of depression")</f>
        <v>lower rate of depression</v>
      </c>
      <c r="M408" t="s">
        <v>15</v>
      </c>
      <c r="N408">
        <v>6</v>
      </c>
      <c r="O408">
        <v>7</v>
      </c>
      <c r="P408">
        <v>7</v>
      </c>
      <c r="Q408">
        <v>0</v>
      </c>
    </row>
    <row r="409" spans="1:17" x14ac:dyDescent="0.3">
      <c r="A409">
        <v>16</v>
      </c>
      <c r="B409" t="s">
        <v>16</v>
      </c>
      <c r="C409" t="str">
        <f>IF(Table1[[#This Row],[age]]&gt;18,"Adult","Teenage")</f>
        <v>Teenage</v>
      </c>
      <c r="D409">
        <v>2.9</v>
      </c>
      <c r="E409" t="s">
        <v>17</v>
      </c>
      <c r="F409">
        <v>6.3</v>
      </c>
      <c r="G409">
        <f>Table1[[#This Row],[sleep_hours]]-Table1[[#This Row],[daily_social_media_hours]]</f>
        <v>3.4</v>
      </c>
      <c r="H409">
        <v>3</v>
      </c>
      <c r="I409">
        <v>2.6</v>
      </c>
      <c r="J409" t="str" cm="1">
        <f t="array" ref="J409">_xlfn.IFS(Table1[[#This Row],[academic_performance]]&gt;1,"Need Improvement",Table1[[#This Row],[academic_performance]]&gt;2,"Good",Table1[[#This Row],[academic_performance]]&gt;3,"Very good",Table1[[#This Row],[academic_performance]]&gt;4,"Excellent")</f>
        <v>Need Improvement</v>
      </c>
      <c r="K409">
        <v>0.4</v>
      </c>
      <c r="L409" t="str">
        <f>IF(Table1[[#This Row],[physical_activity]]&gt;1.9,"better overall ","lower rate of depression")</f>
        <v>lower rate of depression</v>
      </c>
      <c r="M409" t="s">
        <v>19</v>
      </c>
      <c r="N409">
        <v>9</v>
      </c>
      <c r="O409">
        <v>7</v>
      </c>
      <c r="P409">
        <v>3</v>
      </c>
      <c r="Q409">
        <v>0</v>
      </c>
    </row>
    <row r="410" spans="1:17" x14ac:dyDescent="0.3">
      <c r="A410">
        <v>13</v>
      </c>
      <c r="B410" t="s">
        <v>16</v>
      </c>
      <c r="C410" t="str">
        <f>IF(Table1[[#This Row],[age]]&gt;18,"Adult","Teenage")</f>
        <v>Teenage</v>
      </c>
      <c r="D410">
        <v>5.3</v>
      </c>
      <c r="E410" t="s">
        <v>17</v>
      </c>
      <c r="F410">
        <v>6.5</v>
      </c>
      <c r="G410">
        <f>Table1[[#This Row],[sleep_hours]]-Table1[[#This Row],[daily_social_media_hours]]</f>
        <v>1.2000000000000002</v>
      </c>
      <c r="H410">
        <v>1.1000000000000001</v>
      </c>
      <c r="I410">
        <v>3.48</v>
      </c>
      <c r="J410" t="str" cm="1">
        <f t="array" ref="J410">_xlfn.IFS(Table1[[#This Row],[academic_performance]]&gt;1,"Need Improvement",Table1[[#This Row],[academic_performance]]&gt;2,"Good",Table1[[#This Row],[academic_performance]]&gt;3,"Very good",Table1[[#This Row],[academic_performance]]&gt;4,"Excellent")</f>
        <v>Need Improvement</v>
      </c>
      <c r="K410">
        <v>1.8</v>
      </c>
      <c r="L410" t="str">
        <f>IF(Table1[[#This Row],[physical_activity]]&gt;1.9,"better overall ","lower rate of depression")</f>
        <v>lower rate of depression</v>
      </c>
      <c r="M410" t="s">
        <v>15</v>
      </c>
      <c r="N410">
        <v>9</v>
      </c>
      <c r="O410">
        <v>5</v>
      </c>
      <c r="P410">
        <v>4</v>
      </c>
      <c r="Q410">
        <v>0</v>
      </c>
    </row>
    <row r="411" spans="1:17" x14ac:dyDescent="0.3">
      <c r="A411">
        <v>15</v>
      </c>
      <c r="B411" t="s">
        <v>16</v>
      </c>
      <c r="C411" t="str">
        <f>IF(Table1[[#This Row],[age]]&gt;18,"Adult","Teenage")</f>
        <v>Teenage</v>
      </c>
      <c r="D411">
        <v>5.7</v>
      </c>
      <c r="E411" t="s">
        <v>14</v>
      </c>
      <c r="F411">
        <v>7.5</v>
      </c>
      <c r="G411">
        <f>Table1[[#This Row],[sleep_hours]]-Table1[[#This Row],[daily_social_media_hours]]</f>
        <v>1.7999999999999998</v>
      </c>
      <c r="H411">
        <v>2.4</v>
      </c>
      <c r="I411">
        <v>2.84</v>
      </c>
      <c r="J411" t="str" cm="1">
        <f t="array" ref="J411">_xlfn.IFS(Table1[[#This Row],[academic_performance]]&gt;1,"Need Improvement",Table1[[#This Row],[academic_performance]]&gt;2,"Good",Table1[[#This Row],[academic_performance]]&gt;3,"Very good",Table1[[#This Row],[academic_performance]]&gt;4,"Excellent")</f>
        <v>Need Improvement</v>
      </c>
      <c r="K411">
        <v>1.3</v>
      </c>
      <c r="L411" t="str">
        <f>IF(Table1[[#This Row],[physical_activity]]&gt;1.9,"better overall ","lower rate of depression")</f>
        <v>lower rate of depression</v>
      </c>
      <c r="M411" t="s">
        <v>19</v>
      </c>
      <c r="N411">
        <v>10</v>
      </c>
      <c r="O411">
        <v>10</v>
      </c>
      <c r="P411">
        <v>2</v>
      </c>
      <c r="Q411">
        <v>0</v>
      </c>
    </row>
    <row r="412" spans="1:17" x14ac:dyDescent="0.3">
      <c r="A412">
        <v>18</v>
      </c>
      <c r="B412" t="s">
        <v>16</v>
      </c>
      <c r="C412" t="str">
        <f>IF(Table1[[#This Row],[age]]&gt;18,"Adult","Teenage")</f>
        <v>Teenage</v>
      </c>
      <c r="D412">
        <v>2.8</v>
      </c>
      <c r="E412" t="s">
        <v>14</v>
      </c>
      <c r="F412">
        <v>7.4</v>
      </c>
      <c r="G412">
        <f>Table1[[#This Row],[sleep_hours]]-Table1[[#This Row],[daily_social_media_hours]]</f>
        <v>4.6000000000000005</v>
      </c>
      <c r="H412">
        <v>1</v>
      </c>
      <c r="I412">
        <v>3.73</v>
      </c>
      <c r="J412" t="str" cm="1">
        <f t="array" ref="J412">_xlfn.IFS(Table1[[#This Row],[academic_performance]]&gt;1,"Need Improvement",Table1[[#This Row],[academic_performance]]&gt;2,"Good",Table1[[#This Row],[academic_performance]]&gt;3,"Very good",Table1[[#This Row],[academic_performance]]&gt;4,"Excellent")</f>
        <v>Need Improvement</v>
      </c>
      <c r="K412">
        <v>1.9</v>
      </c>
      <c r="L412" t="str">
        <f>IF(Table1[[#This Row],[physical_activity]]&gt;1.9,"better overall ","lower rate of depression")</f>
        <v>lower rate of depression</v>
      </c>
      <c r="M412" t="s">
        <v>15</v>
      </c>
      <c r="N412">
        <v>7</v>
      </c>
      <c r="O412">
        <v>3</v>
      </c>
      <c r="P412">
        <v>6</v>
      </c>
      <c r="Q412">
        <v>0</v>
      </c>
    </row>
    <row r="413" spans="1:17" x14ac:dyDescent="0.3">
      <c r="A413">
        <v>15</v>
      </c>
      <c r="B413" t="s">
        <v>13</v>
      </c>
      <c r="C413" t="str">
        <f>IF(Table1[[#This Row],[age]]&gt;18,"Adult","Teenage")</f>
        <v>Teenage</v>
      </c>
      <c r="D413">
        <v>2.8</v>
      </c>
      <c r="E413" t="s">
        <v>17</v>
      </c>
      <c r="F413">
        <v>6.1</v>
      </c>
      <c r="G413">
        <f>Table1[[#This Row],[sleep_hours]]-Table1[[#This Row],[daily_social_media_hours]]</f>
        <v>3.3</v>
      </c>
      <c r="H413">
        <v>2.9</v>
      </c>
      <c r="I413">
        <v>2.98</v>
      </c>
      <c r="J413" t="str" cm="1">
        <f t="array" ref="J413">_xlfn.IFS(Table1[[#This Row],[academic_performance]]&gt;1,"Need Improvement",Table1[[#This Row],[academic_performance]]&gt;2,"Good",Table1[[#This Row],[academic_performance]]&gt;3,"Very good",Table1[[#This Row],[academic_performance]]&gt;4,"Excellent")</f>
        <v>Need Improvement</v>
      </c>
      <c r="K413">
        <v>1.8</v>
      </c>
      <c r="L413" t="str">
        <f>IF(Table1[[#This Row],[physical_activity]]&gt;1.9,"better overall ","lower rate of depression")</f>
        <v>lower rate of depression</v>
      </c>
      <c r="M413" t="s">
        <v>19</v>
      </c>
      <c r="N413">
        <v>6</v>
      </c>
      <c r="O413">
        <v>3</v>
      </c>
      <c r="P413">
        <v>7</v>
      </c>
      <c r="Q413">
        <v>0</v>
      </c>
    </row>
    <row r="414" spans="1:17" x14ac:dyDescent="0.3">
      <c r="A414">
        <v>13</v>
      </c>
      <c r="B414" t="s">
        <v>16</v>
      </c>
      <c r="C414" t="str">
        <f>IF(Table1[[#This Row],[age]]&gt;18,"Adult","Teenage")</f>
        <v>Teenage</v>
      </c>
      <c r="D414">
        <v>1.1000000000000001</v>
      </c>
      <c r="E414" t="s">
        <v>14</v>
      </c>
      <c r="F414">
        <v>7</v>
      </c>
      <c r="G414">
        <f>Table1[[#This Row],[sleep_hours]]-Table1[[#This Row],[daily_social_media_hours]]</f>
        <v>5.9</v>
      </c>
      <c r="H414">
        <v>1.9</v>
      </c>
      <c r="I414">
        <v>4</v>
      </c>
      <c r="J414" t="str" cm="1">
        <f t="array" ref="J414">_xlfn.IFS(Table1[[#This Row],[academic_performance]]&gt;1,"Need Improvement",Table1[[#This Row],[academic_performance]]&gt;2,"Good",Table1[[#This Row],[academic_performance]]&gt;3,"Very good",Table1[[#This Row],[academic_performance]]&gt;4,"Excellent")</f>
        <v>Need Improvement</v>
      </c>
      <c r="K414">
        <v>0.9</v>
      </c>
      <c r="L414" t="str">
        <f>IF(Table1[[#This Row],[physical_activity]]&gt;1.9,"better overall ","lower rate of depression")</f>
        <v>lower rate of depression</v>
      </c>
      <c r="M414" t="s">
        <v>19</v>
      </c>
      <c r="N414">
        <v>2</v>
      </c>
      <c r="O414">
        <v>9</v>
      </c>
      <c r="P414">
        <v>6</v>
      </c>
      <c r="Q414">
        <v>0</v>
      </c>
    </row>
    <row r="415" spans="1:17" x14ac:dyDescent="0.3">
      <c r="A415">
        <v>14</v>
      </c>
      <c r="B415" t="s">
        <v>16</v>
      </c>
      <c r="C415" t="str">
        <f>IF(Table1[[#This Row],[age]]&gt;18,"Adult","Teenage")</f>
        <v>Teenage</v>
      </c>
      <c r="D415">
        <v>2</v>
      </c>
      <c r="E415" t="s">
        <v>20</v>
      </c>
      <c r="F415">
        <v>5</v>
      </c>
      <c r="G415">
        <f>Table1[[#This Row],[sleep_hours]]-Table1[[#This Row],[daily_social_media_hours]]</f>
        <v>3</v>
      </c>
      <c r="H415">
        <v>2.6</v>
      </c>
      <c r="I415">
        <v>2.71</v>
      </c>
      <c r="J415" t="str" cm="1">
        <f t="array" ref="J415">_xlfn.IFS(Table1[[#This Row],[academic_performance]]&gt;1,"Need Improvement",Table1[[#This Row],[academic_performance]]&gt;2,"Good",Table1[[#This Row],[academic_performance]]&gt;3,"Very good",Table1[[#This Row],[academic_performance]]&gt;4,"Excellent")</f>
        <v>Need Improvement</v>
      </c>
      <c r="K415">
        <v>2</v>
      </c>
      <c r="L415" t="str">
        <f>IF(Table1[[#This Row],[physical_activity]]&gt;1.9,"better overall ","lower rate of depression")</f>
        <v xml:space="preserve">better overall </v>
      </c>
      <c r="M415" t="s">
        <v>15</v>
      </c>
      <c r="N415">
        <v>5</v>
      </c>
      <c r="O415">
        <v>4</v>
      </c>
      <c r="P415">
        <v>3</v>
      </c>
      <c r="Q415">
        <v>0</v>
      </c>
    </row>
    <row r="416" spans="1:17" x14ac:dyDescent="0.3">
      <c r="A416">
        <v>16</v>
      </c>
      <c r="B416" t="s">
        <v>16</v>
      </c>
      <c r="C416" t="str">
        <f>IF(Table1[[#This Row],[age]]&gt;18,"Adult","Teenage")</f>
        <v>Teenage</v>
      </c>
      <c r="D416">
        <v>6.5</v>
      </c>
      <c r="E416" t="s">
        <v>17</v>
      </c>
      <c r="F416">
        <v>5.3</v>
      </c>
      <c r="G416">
        <f>Table1[[#This Row],[sleep_hours]]-Table1[[#This Row],[daily_social_media_hours]]</f>
        <v>-1.2000000000000002</v>
      </c>
      <c r="H416">
        <v>1.8</v>
      </c>
      <c r="I416">
        <v>2.29</v>
      </c>
      <c r="J416" t="str" cm="1">
        <f t="array" ref="J416">_xlfn.IFS(Table1[[#This Row],[academic_performance]]&gt;1,"Need Improvement",Table1[[#This Row],[academic_performance]]&gt;2,"Good",Table1[[#This Row],[academic_performance]]&gt;3,"Very good",Table1[[#This Row],[academic_performance]]&gt;4,"Excellent")</f>
        <v>Need Improvement</v>
      </c>
      <c r="K416">
        <v>0.2</v>
      </c>
      <c r="L416" t="str">
        <f>IF(Table1[[#This Row],[physical_activity]]&gt;1.9,"better overall ","lower rate of depression")</f>
        <v>lower rate of depression</v>
      </c>
      <c r="M416" t="s">
        <v>18</v>
      </c>
      <c r="N416">
        <v>4</v>
      </c>
      <c r="O416">
        <v>10</v>
      </c>
      <c r="P416">
        <v>2</v>
      </c>
      <c r="Q416">
        <v>0</v>
      </c>
    </row>
    <row r="417" spans="1:17" x14ac:dyDescent="0.3">
      <c r="A417">
        <v>16</v>
      </c>
      <c r="B417" t="s">
        <v>16</v>
      </c>
      <c r="C417" t="str">
        <f>IF(Table1[[#This Row],[age]]&gt;18,"Adult","Teenage")</f>
        <v>Teenage</v>
      </c>
      <c r="D417">
        <v>7.5</v>
      </c>
      <c r="E417" t="s">
        <v>17</v>
      </c>
      <c r="F417">
        <v>7.8</v>
      </c>
      <c r="G417">
        <f>Table1[[#This Row],[sleep_hours]]-Table1[[#This Row],[daily_social_media_hours]]</f>
        <v>0.29999999999999982</v>
      </c>
      <c r="H417">
        <v>1.3</v>
      </c>
      <c r="I417">
        <v>2.73</v>
      </c>
      <c r="J417" t="str" cm="1">
        <f t="array" ref="J417">_xlfn.IFS(Table1[[#This Row],[academic_performance]]&gt;1,"Need Improvement",Table1[[#This Row],[academic_performance]]&gt;2,"Good",Table1[[#This Row],[academic_performance]]&gt;3,"Very good",Table1[[#This Row],[academic_performance]]&gt;4,"Excellent")</f>
        <v>Need Improvement</v>
      </c>
      <c r="K417">
        <v>1.5</v>
      </c>
      <c r="L417" t="str">
        <f>IF(Table1[[#This Row],[physical_activity]]&gt;1.9,"better overall ","lower rate of depression")</f>
        <v>lower rate of depression</v>
      </c>
      <c r="M417" t="s">
        <v>19</v>
      </c>
      <c r="N417">
        <v>4</v>
      </c>
      <c r="O417">
        <v>5</v>
      </c>
      <c r="P417">
        <v>8</v>
      </c>
      <c r="Q417">
        <v>0</v>
      </c>
    </row>
    <row r="418" spans="1:17" x14ac:dyDescent="0.3">
      <c r="A418">
        <v>16</v>
      </c>
      <c r="B418" t="s">
        <v>16</v>
      </c>
      <c r="C418" t="str">
        <f>IF(Table1[[#This Row],[age]]&gt;18,"Adult","Teenage")</f>
        <v>Teenage</v>
      </c>
      <c r="D418">
        <v>3.1</v>
      </c>
      <c r="E418" t="s">
        <v>14</v>
      </c>
      <c r="F418">
        <v>7.9</v>
      </c>
      <c r="G418">
        <f>Table1[[#This Row],[sleep_hours]]-Table1[[#This Row],[daily_social_media_hours]]</f>
        <v>4.8000000000000007</v>
      </c>
      <c r="H418">
        <v>1.2</v>
      </c>
      <c r="I418">
        <v>2.85</v>
      </c>
      <c r="J418" t="str" cm="1">
        <f t="array" ref="J418">_xlfn.IFS(Table1[[#This Row],[academic_performance]]&gt;1,"Need Improvement",Table1[[#This Row],[academic_performance]]&gt;2,"Good",Table1[[#This Row],[academic_performance]]&gt;3,"Very good",Table1[[#This Row],[academic_performance]]&gt;4,"Excellent")</f>
        <v>Need Improvement</v>
      </c>
      <c r="K418">
        <v>0.7</v>
      </c>
      <c r="L418" t="str">
        <f>IF(Table1[[#This Row],[physical_activity]]&gt;1.9,"better overall ","lower rate of depression")</f>
        <v>lower rate of depression</v>
      </c>
      <c r="M418" t="s">
        <v>18</v>
      </c>
      <c r="N418">
        <v>2</v>
      </c>
      <c r="O418">
        <v>2</v>
      </c>
      <c r="P418">
        <v>5</v>
      </c>
      <c r="Q418">
        <v>0</v>
      </c>
    </row>
    <row r="419" spans="1:17" x14ac:dyDescent="0.3">
      <c r="A419">
        <v>19</v>
      </c>
      <c r="B419" t="s">
        <v>13</v>
      </c>
      <c r="C419" t="str">
        <f>IF(Table1[[#This Row],[age]]&gt;18,"Adult","Teenage")</f>
        <v>Adult</v>
      </c>
      <c r="D419">
        <v>5.9</v>
      </c>
      <c r="E419" t="s">
        <v>20</v>
      </c>
      <c r="F419">
        <v>7</v>
      </c>
      <c r="G419">
        <f>Table1[[#This Row],[sleep_hours]]-Table1[[#This Row],[daily_social_media_hours]]</f>
        <v>1.0999999999999996</v>
      </c>
      <c r="H419">
        <v>2.2999999999999998</v>
      </c>
      <c r="I419">
        <v>3</v>
      </c>
      <c r="J419" t="str" cm="1">
        <f t="array" ref="J419">_xlfn.IFS(Table1[[#This Row],[academic_performance]]&gt;1,"Need Improvement",Table1[[#This Row],[academic_performance]]&gt;2,"Good",Table1[[#This Row],[academic_performance]]&gt;3,"Very good",Table1[[#This Row],[academic_performance]]&gt;4,"Excellent")</f>
        <v>Need Improvement</v>
      </c>
      <c r="K419">
        <v>1.6</v>
      </c>
      <c r="L419" t="str">
        <f>IF(Table1[[#This Row],[physical_activity]]&gt;1.9,"better overall ","lower rate of depression")</f>
        <v>lower rate of depression</v>
      </c>
      <c r="M419" t="s">
        <v>15</v>
      </c>
      <c r="N419">
        <v>3</v>
      </c>
      <c r="O419">
        <v>5</v>
      </c>
      <c r="P419">
        <v>10</v>
      </c>
      <c r="Q419">
        <v>0</v>
      </c>
    </row>
    <row r="420" spans="1:17" x14ac:dyDescent="0.3">
      <c r="A420">
        <v>15</v>
      </c>
      <c r="B420" t="s">
        <v>13</v>
      </c>
      <c r="C420" t="str">
        <f>IF(Table1[[#This Row],[age]]&gt;18,"Adult","Teenage")</f>
        <v>Teenage</v>
      </c>
      <c r="D420">
        <v>7.9</v>
      </c>
      <c r="E420" t="s">
        <v>17</v>
      </c>
      <c r="F420">
        <v>4.0999999999999996</v>
      </c>
      <c r="G420">
        <f>Table1[[#This Row],[sleep_hours]]-Table1[[#This Row],[daily_social_media_hours]]</f>
        <v>-3.8000000000000007</v>
      </c>
      <c r="H420">
        <v>0.7</v>
      </c>
      <c r="I420">
        <v>2.33</v>
      </c>
      <c r="J420" t="str" cm="1">
        <f t="array" ref="J420">_xlfn.IFS(Table1[[#This Row],[academic_performance]]&gt;1,"Need Improvement",Table1[[#This Row],[academic_performance]]&gt;2,"Good",Table1[[#This Row],[academic_performance]]&gt;3,"Very good",Table1[[#This Row],[academic_performance]]&gt;4,"Excellent")</f>
        <v>Need Improvement</v>
      </c>
      <c r="K420">
        <v>1.2</v>
      </c>
      <c r="L420" t="str">
        <f>IF(Table1[[#This Row],[physical_activity]]&gt;1.9,"better overall ","lower rate of depression")</f>
        <v>lower rate of depression</v>
      </c>
      <c r="M420" t="s">
        <v>19</v>
      </c>
      <c r="N420">
        <v>3</v>
      </c>
      <c r="O420">
        <v>8</v>
      </c>
      <c r="P420">
        <v>1</v>
      </c>
      <c r="Q420">
        <v>0</v>
      </c>
    </row>
    <row r="421" spans="1:17" x14ac:dyDescent="0.3">
      <c r="A421">
        <v>15</v>
      </c>
      <c r="B421" t="s">
        <v>13</v>
      </c>
      <c r="C421" t="str">
        <f>IF(Table1[[#This Row],[age]]&gt;18,"Adult","Teenage")</f>
        <v>Teenage</v>
      </c>
      <c r="D421">
        <v>5.0999999999999996</v>
      </c>
      <c r="E421" t="s">
        <v>14</v>
      </c>
      <c r="F421">
        <v>7.4</v>
      </c>
      <c r="G421">
        <f>Table1[[#This Row],[sleep_hours]]-Table1[[#This Row],[daily_social_media_hours]]</f>
        <v>2.3000000000000007</v>
      </c>
      <c r="H421">
        <v>0.7</v>
      </c>
      <c r="I421">
        <v>2.64</v>
      </c>
      <c r="J421" t="str" cm="1">
        <f t="array" ref="J421">_xlfn.IFS(Table1[[#This Row],[academic_performance]]&gt;1,"Need Improvement",Table1[[#This Row],[academic_performance]]&gt;2,"Good",Table1[[#This Row],[academic_performance]]&gt;3,"Very good",Table1[[#This Row],[academic_performance]]&gt;4,"Excellent")</f>
        <v>Need Improvement</v>
      </c>
      <c r="K421">
        <v>0.2</v>
      </c>
      <c r="L421" t="str">
        <f>IF(Table1[[#This Row],[physical_activity]]&gt;1.9,"better overall ","lower rate of depression")</f>
        <v>lower rate of depression</v>
      </c>
      <c r="M421" t="s">
        <v>19</v>
      </c>
      <c r="N421">
        <v>5</v>
      </c>
      <c r="O421">
        <v>8</v>
      </c>
      <c r="P421">
        <v>1</v>
      </c>
      <c r="Q421">
        <v>0</v>
      </c>
    </row>
    <row r="422" spans="1:17" x14ac:dyDescent="0.3">
      <c r="A422">
        <v>16</v>
      </c>
      <c r="B422" t="s">
        <v>13</v>
      </c>
      <c r="C422" t="str">
        <f>IF(Table1[[#This Row],[age]]&gt;18,"Adult","Teenage")</f>
        <v>Teenage</v>
      </c>
      <c r="D422">
        <v>1.9</v>
      </c>
      <c r="E422" t="s">
        <v>20</v>
      </c>
      <c r="F422">
        <v>5.8</v>
      </c>
      <c r="G422">
        <f>Table1[[#This Row],[sleep_hours]]-Table1[[#This Row],[daily_social_media_hours]]</f>
        <v>3.9</v>
      </c>
      <c r="H422">
        <v>2.1</v>
      </c>
      <c r="I422">
        <v>2.27</v>
      </c>
      <c r="J422" t="str" cm="1">
        <f t="array" ref="J422">_xlfn.IFS(Table1[[#This Row],[academic_performance]]&gt;1,"Need Improvement",Table1[[#This Row],[academic_performance]]&gt;2,"Good",Table1[[#This Row],[academic_performance]]&gt;3,"Very good",Table1[[#This Row],[academic_performance]]&gt;4,"Excellent")</f>
        <v>Need Improvement</v>
      </c>
      <c r="K422">
        <v>0.6</v>
      </c>
      <c r="L422" t="str">
        <f>IF(Table1[[#This Row],[physical_activity]]&gt;1.9,"better overall ","lower rate of depression")</f>
        <v>lower rate of depression</v>
      </c>
      <c r="M422" t="s">
        <v>19</v>
      </c>
      <c r="N422">
        <v>3</v>
      </c>
      <c r="O422">
        <v>3</v>
      </c>
      <c r="P422">
        <v>2</v>
      </c>
      <c r="Q422">
        <v>0</v>
      </c>
    </row>
    <row r="423" spans="1:17" x14ac:dyDescent="0.3">
      <c r="A423">
        <v>17</v>
      </c>
      <c r="B423" t="s">
        <v>13</v>
      </c>
      <c r="C423" t="str">
        <f>IF(Table1[[#This Row],[age]]&gt;18,"Adult","Teenage")</f>
        <v>Teenage</v>
      </c>
      <c r="D423">
        <v>8</v>
      </c>
      <c r="E423" t="s">
        <v>14</v>
      </c>
      <c r="F423">
        <v>8.6999999999999993</v>
      </c>
      <c r="G423">
        <f>Table1[[#This Row],[sleep_hours]]-Table1[[#This Row],[daily_social_media_hours]]</f>
        <v>0.69999999999999929</v>
      </c>
      <c r="H423">
        <v>1.5</v>
      </c>
      <c r="I423">
        <v>3.7</v>
      </c>
      <c r="J423" t="str" cm="1">
        <f t="array" ref="J423">_xlfn.IFS(Table1[[#This Row],[academic_performance]]&gt;1,"Need Improvement",Table1[[#This Row],[academic_performance]]&gt;2,"Good",Table1[[#This Row],[academic_performance]]&gt;3,"Very good",Table1[[#This Row],[academic_performance]]&gt;4,"Excellent")</f>
        <v>Need Improvement</v>
      </c>
      <c r="K423">
        <v>2</v>
      </c>
      <c r="L423" t="str">
        <f>IF(Table1[[#This Row],[physical_activity]]&gt;1.9,"better overall ","lower rate of depression")</f>
        <v xml:space="preserve">better overall </v>
      </c>
      <c r="M423" t="s">
        <v>18</v>
      </c>
      <c r="N423">
        <v>10</v>
      </c>
      <c r="O423">
        <v>9</v>
      </c>
      <c r="P423">
        <v>5</v>
      </c>
      <c r="Q423">
        <v>0</v>
      </c>
    </row>
    <row r="424" spans="1:17" x14ac:dyDescent="0.3">
      <c r="A424">
        <v>19</v>
      </c>
      <c r="B424" t="s">
        <v>13</v>
      </c>
      <c r="C424" t="str">
        <f>IF(Table1[[#This Row],[age]]&gt;18,"Adult","Teenage")</f>
        <v>Adult</v>
      </c>
      <c r="D424">
        <v>2.9</v>
      </c>
      <c r="E424" t="s">
        <v>20</v>
      </c>
      <c r="F424">
        <v>4</v>
      </c>
      <c r="G424">
        <f>Table1[[#This Row],[sleep_hours]]-Table1[[#This Row],[daily_social_media_hours]]</f>
        <v>1.1000000000000001</v>
      </c>
      <c r="H424">
        <v>0.5</v>
      </c>
      <c r="I424">
        <v>3.16</v>
      </c>
      <c r="J424" t="str" cm="1">
        <f t="array" ref="J424">_xlfn.IFS(Table1[[#This Row],[academic_performance]]&gt;1,"Need Improvement",Table1[[#This Row],[academic_performance]]&gt;2,"Good",Table1[[#This Row],[academic_performance]]&gt;3,"Very good",Table1[[#This Row],[academic_performance]]&gt;4,"Excellent")</f>
        <v>Need Improvement</v>
      </c>
      <c r="K424">
        <v>0.2</v>
      </c>
      <c r="L424" t="str">
        <f>IF(Table1[[#This Row],[physical_activity]]&gt;1.9,"better overall ","lower rate of depression")</f>
        <v>lower rate of depression</v>
      </c>
      <c r="M424" t="s">
        <v>18</v>
      </c>
      <c r="N424">
        <v>7</v>
      </c>
      <c r="O424">
        <v>6</v>
      </c>
      <c r="P424">
        <v>3</v>
      </c>
      <c r="Q424">
        <v>0</v>
      </c>
    </row>
    <row r="425" spans="1:17" x14ac:dyDescent="0.3">
      <c r="A425">
        <v>14</v>
      </c>
      <c r="B425" t="s">
        <v>13</v>
      </c>
      <c r="C425" t="str">
        <f>IF(Table1[[#This Row],[age]]&gt;18,"Adult","Teenage")</f>
        <v>Teenage</v>
      </c>
      <c r="D425">
        <v>4.3</v>
      </c>
      <c r="E425" t="s">
        <v>14</v>
      </c>
      <c r="F425">
        <v>8.4</v>
      </c>
      <c r="G425">
        <f>Table1[[#This Row],[sleep_hours]]-Table1[[#This Row],[daily_social_media_hours]]</f>
        <v>4.1000000000000005</v>
      </c>
      <c r="H425">
        <v>0.9</v>
      </c>
      <c r="I425">
        <v>3.2</v>
      </c>
      <c r="J425" t="str" cm="1">
        <f t="array" ref="J425">_xlfn.IFS(Table1[[#This Row],[academic_performance]]&gt;1,"Need Improvement",Table1[[#This Row],[academic_performance]]&gt;2,"Good",Table1[[#This Row],[academic_performance]]&gt;3,"Very good",Table1[[#This Row],[academic_performance]]&gt;4,"Excellent")</f>
        <v>Need Improvement</v>
      </c>
      <c r="K425">
        <v>1.6</v>
      </c>
      <c r="L425" t="str">
        <f>IF(Table1[[#This Row],[physical_activity]]&gt;1.9,"better overall ","lower rate of depression")</f>
        <v>lower rate of depression</v>
      </c>
      <c r="M425" t="s">
        <v>18</v>
      </c>
      <c r="N425">
        <v>10</v>
      </c>
      <c r="O425">
        <v>10</v>
      </c>
      <c r="P425">
        <v>1</v>
      </c>
      <c r="Q425">
        <v>0</v>
      </c>
    </row>
    <row r="426" spans="1:17" x14ac:dyDescent="0.3">
      <c r="A426">
        <v>16</v>
      </c>
      <c r="B426" t="s">
        <v>13</v>
      </c>
      <c r="C426" t="str">
        <f>IF(Table1[[#This Row],[age]]&gt;18,"Adult","Teenage")</f>
        <v>Teenage</v>
      </c>
      <c r="D426">
        <v>1.1000000000000001</v>
      </c>
      <c r="E426" t="s">
        <v>14</v>
      </c>
      <c r="F426">
        <v>6.4</v>
      </c>
      <c r="G426">
        <f>Table1[[#This Row],[sleep_hours]]-Table1[[#This Row],[daily_social_media_hours]]</f>
        <v>5.3000000000000007</v>
      </c>
      <c r="H426">
        <v>3</v>
      </c>
      <c r="I426">
        <v>2.5099999999999998</v>
      </c>
      <c r="J426" t="str" cm="1">
        <f t="array" ref="J426">_xlfn.IFS(Table1[[#This Row],[academic_performance]]&gt;1,"Need Improvement",Table1[[#This Row],[academic_performance]]&gt;2,"Good",Table1[[#This Row],[academic_performance]]&gt;3,"Very good",Table1[[#This Row],[academic_performance]]&gt;4,"Excellent")</f>
        <v>Need Improvement</v>
      </c>
      <c r="K426">
        <v>0.1</v>
      </c>
      <c r="L426" t="str">
        <f>IF(Table1[[#This Row],[physical_activity]]&gt;1.9,"better overall ","lower rate of depression")</f>
        <v>lower rate of depression</v>
      </c>
      <c r="M426" t="s">
        <v>19</v>
      </c>
      <c r="N426">
        <v>8</v>
      </c>
      <c r="O426">
        <v>6</v>
      </c>
      <c r="P426">
        <v>9</v>
      </c>
      <c r="Q426">
        <v>0</v>
      </c>
    </row>
    <row r="427" spans="1:17" x14ac:dyDescent="0.3">
      <c r="A427">
        <v>16</v>
      </c>
      <c r="B427" t="s">
        <v>13</v>
      </c>
      <c r="C427" t="str">
        <f>IF(Table1[[#This Row],[age]]&gt;18,"Adult","Teenage")</f>
        <v>Teenage</v>
      </c>
      <c r="D427">
        <v>4.9000000000000004</v>
      </c>
      <c r="E427" t="s">
        <v>14</v>
      </c>
      <c r="F427">
        <v>5.7</v>
      </c>
      <c r="G427">
        <f>Table1[[#This Row],[sleep_hours]]-Table1[[#This Row],[daily_social_media_hours]]</f>
        <v>0.79999999999999982</v>
      </c>
      <c r="H427">
        <v>1.2</v>
      </c>
      <c r="I427">
        <v>2.0699999999999998</v>
      </c>
      <c r="J427" t="str" cm="1">
        <f t="array" ref="J427">_xlfn.IFS(Table1[[#This Row],[academic_performance]]&gt;1,"Need Improvement",Table1[[#This Row],[academic_performance]]&gt;2,"Good",Table1[[#This Row],[academic_performance]]&gt;3,"Very good",Table1[[#This Row],[academic_performance]]&gt;4,"Excellent")</f>
        <v>Need Improvement</v>
      </c>
      <c r="K427">
        <v>0.1</v>
      </c>
      <c r="L427" t="str">
        <f>IF(Table1[[#This Row],[physical_activity]]&gt;1.9,"better overall ","lower rate of depression")</f>
        <v>lower rate of depression</v>
      </c>
      <c r="M427" t="s">
        <v>19</v>
      </c>
      <c r="N427">
        <v>8</v>
      </c>
      <c r="O427">
        <v>2</v>
      </c>
      <c r="P427">
        <v>1</v>
      </c>
      <c r="Q427">
        <v>0</v>
      </c>
    </row>
    <row r="428" spans="1:17" x14ac:dyDescent="0.3">
      <c r="A428">
        <v>14</v>
      </c>
      <c r="B428" t="s">
        <v>13</v>
      </c>
      <c r="C428" t="str">
        <f>IF(Table1[[#This Row],[age]]&gt;18,"Adult","Teenage")</f>
        <v>Teenage</v>
      </c>
      <c r="D428">
        <v>6.1</v>
      </c>
      <c r="E428" t="s">
        <v>20</v>
      </c>
      <c r="F428">
        <v>7.6</v>
      </c>
      <c r="G428">
        <f>Table1[[#This Row],[sleep_hours]]-Table1[[#This Row],[daily_social_media_hours]]</f>
        <v>1.5</v>
      </c>
      <c r="H428">
        <v>1.4</v>
      </c>
      <c r="I428">
        <v>2.72</v>
      </c>
      <c r="J428" t="str" cm="1">
        <f t="array" ref="J428">_xlfn.IFS(Table1[[#This Row],[academic_performance]]&gt;1,"Need Improvement",Table1[[#This Row],[academic_performance]]&gt;2,"Good",Table1[[#This Row],[academic_performance]]&gt;3,"Very good",Table1[[#This Row],[academic_performance]]&gt;4,"Excellent")</f>
        <v>Need Improvement</v>
      </c>
      <c r="K428">
        <v>0.9</v>
      </c>
      <c r="L428" t="str">
        <f>IF(Table1[[#This Row],[physical_activity]]&gt;1.9,"better overall ","lower rate of depression")</f>
        <v>lower rate of depression</v>
      </c>
      <c r="M428" t="s">
        <v>15</v>
      </c>
      <c r="N428">
        <v>9</v>
      </c>
      <c r="O428">
        <v>3</v>
      </c>
      <c r="P428">
        <v>3</v>
      </c>
      <c r="Q428">
        <v>0</v>
      </c>
    </row>
    <row r="429" spans="1:17" x14ac:dyDescent="0.3">
      <c r="A429">
        <v>15</v>
      </c>
      <c r="B429" t="s">
        <v>16</v>
      </c>
      <c r="C429" t="str">
        <f>IF(Table1[[#This Row],[age]]&gt;18,"Adult","Teenage")</f>
        <v>Teenage</v>
      </c>
      <c r="D429">
        <v>2.7</v>
      </c>
      <c r="E429" t="s">
        <v>20</v>
      </c>
      <c r="F429">
        <v>6.5</v>
      </c>
      <c r="G429">
        <f>Table1[[#This Row],[sleep_hours]]-Table1[[#This Row],[daily_social_media_hours]]</f>
        <v>3.8</v>
      </c>
      <c r="H429">
        <v>1.6</v>
      </c>
      <c r="I429">
        <v>2.14</v>
      </c>
      <c r="J429" t="str" cm="1">
        <f t="array" ref="J429">_xlfn.IFS(Table1[[#This Row],[academic_performance]]&gt;1,"Need Improvement",Table1[[#This Row],[academic_performance]]&gt;2,"Good",Table1[[#This Row],[academic_performance]]&gt;3,"Very good",Table1[[#This Row],[academic_performance]]&gt;4,"Excellent")</f>
        <v>Need Improvement</v>
      </c>
      <c r="K429">
        <v>0.4</v>
      </c>
      <c r="L429" t="str">
        <f>IF(Table1[[#This Row],[physical_activity]]&gt;1.9,"better overall ","lower rate of depression")</f>
        <v>lower rate of depression</v>
      </c>
      <c r="M429" t="s">
        <v>18</v>
      </c>
      <c r="N429">
        <v>6</v>
      </c>
      <c r="O429">
        <v>6</v>
      </c>
      <c r="P429">
        <v>6</v>
      </c>
      <c r="Q429">
        <v>0</v>
      </c>
    </row>
    <row r="430" spans="1:17" x14ac:dyDescent="0.3">
      <c r="A430">
        <v>16</v>
      </c>
      <c r="B430" t="s">
        <v>16</v>
      </c>
      <c r="C430" t="str">
        <f>IF(Table1[[#This Row],[age]]&gt;18,"Adult","Teenage")</f>
        <v>Teenage</v>
      </c>
      <c r="D430">
        <v>7.8</v>
      </c>
      <c r="E430" t="s">
        <v>20</v>
      </c>
      <c r="F430">
        <v>7.4</v>
      </c>
      <c r="G430">
        <f>Table1[[#This Row],[sleep_hours]]-Table1[[#This Row],[daily_social_media_hours]]</f>
        <v>-0.39999999999999947</v>
      </c>
      <c r="H430">
        <v>0.7</v>
      </c>
      <c r="I430">
        <v>2.54</v>
      </c>
      <c r="J430" t="str" cm="1">
        <f t="array" ref="J430">_xlfn.IFS(Table1[[#This Row],[academic_performance]]&gt;1,"Need Improvement",Table1[[#This Row],[academic_performance]]&gt;2,"Good",Table1[[#This Row],[academic_performance]]&gt;3,"Very good",Table1[[#This Row],[academic_performance]]&gt;4,"Excellent")</f>
        <v>Need Improvement</v>
      </c>
      <c r="K430">
        <v>1.2</v>
      </c>
      <c r="L430" t="str">
        <f>IF(Table1[[#This Row],[physical_activity]]&gt;1.9,"better overall ","lower rate of depression")</f>
        <v>lower rate of depression</v>
      </c>
      <c r="M430" t="s">
        <v>19</v>
      </c>
      <c r="N430">
        <v>10</v>
      </c>
      <c r="O430">
        <v>4</v>
      </c>
      <c r="P430">
        <v>9</v>
      </c>
      <c r="Q430">
        <v>0</v>
      </c>
    </row>
    <row r="431" spans="1:17" x14ac:dyDescent="0.3">
      <c r="A431">
        <v>18</v>
      </c>
      <c r="B431" t="s">
        <v>13</v>
      </c>
      <c r="C431" t="str">
        <f>IF(Table1[[#This Row],[age]]&gt;18,"Adult","Teenage")</f>
        <v>Teenage</v>
      </c>
      <c r="D431">
        <v>4.2</v>
      </c>
      <c r="E431" t="s">
        <v>17</v>
      </c>
      <c r="F431">
        <v>6.5</v>
      </c>
      <c r="G431">
        <f>Table1[[#This Row],[sleep_hours]]-Table1[[#This Row],[daily_social_media_hours]]</f>
        <v>2.2999999999999998</v>
      </c>
      <c r="H431">
        <v>1.4</v>
      </c>
      <c r="I431">
        <v>2.91</v>
      </c>
      <c r="J431" t="str" cm="1">
        <f t="array" ref="J431">_xlfn.IFS(Table1[[#This Row],[academic_performance]]&gt;1,"Need Improvement",Table1[[#This Row],[academic_performance]]&gt;2,"Good",Table1[[#This Row],[academic_performance]]&gt;3,"Very good",Table1[[#This Row],[academic_performance]]&gt;4,"Excellent")</f>
        <v>Need Improvement</v>
      </c>
      <c r="K431">
        <v>1.5</v>
      </c>
      <c r="L431" t="str">
        <f>IF(Table1[[#This Row],[physical_activity]]&gt;1.9,"better overall ","lower rate of depression")</f>
        <v>lower rate of depression</v>
      </c>
      <c r="M431" t="s">
        <v>15</v>
      </c>
      <c r="N431">
        <v>5</v>
      </c>
      <c r="O431">
        <v>6</v>
      </c>
      <c r="P431">
        <v>4</v>
      </c>
      <c r="Q431">
        <v>0</v>
      </c>
    </row>
    <row r="432" spans="1:17" x14ac:dyDescent="0.3">
      <c r="A432">
        <v>13</v>
      </c>
      <c r="B432" t="s">
        <v>16</v>
      </c>
      <c r="C432" t="str">
        <f>IF(Table1[[#This Row],[age]]&gt;18,"Adult","Teenage")</f>
        <v>Teenage</v>
      </c>
      <c r="D432">
        <v>4.4000000000000004</v>
      </c>
      <c r="E432" t="s">
        <v>14</v>
      </c>
      <c r="F432">
        <v>5.5</v>
      </c>
      <c r="G432">
        <f>Table1[[#This Row],[sleep_hours]]-Table1[[#This Row],[daily_social_media_hours]]</f>
        <v>1.0999999999999996</v>
      </c>
      <c r="H432">
        <v>2.7</v>
      </c>
      <c r="I432">
        <v>3.17</v>
      </c>
      <c r="J432" t="str" cm="1">
        <f t="array" ref="J432">_xlfn.IFS(Table1[[#This Row],[academic_performance]]&gt;1,"Need Improvement",Table1[[#This Row],[academic_performance]]&gt;2,"Good",Table1[[#This Row],[academic_performance]]&gt;3,"Very good",Table1[[#This Row],[academic_performance]]&gt;4,"Excellent")</f>
        <v>Need Improvement</v>
      </c>
      <c r="K432">
        <v>0.3</v>
      </c>
      <c r="L432" t="str">
        <f>IF(Table1[[#This Row],[physical_activity]]&gt;1.9,"better overall ","lower rate of depression")</f>
        <v>lower rate of depression</v>
      </c>
      <c r="M432" t="s">
        <v>15</v>
      </c>
      <c r="N432">
        <v>5</v>
      </c>
      <c r="O432">
        <v>1</v>
      </c>
      <c r="P432">
        <v>5</v>
      </c>
      <c r="Q432">
        <v>0</v>
      </c>
    </row>
    <row r="433" spans="1:17" x14ac:dyDescent="0.3">
      <c r="A433">
        <v>13</v>
      </c>
      <c r="B433" t="s">
        <v>16</v>
      </c>
      <c r="C433" t="str">
        <f>IF(Table1[[#This Row],[age]]&gt;18,"Adult","Teenage")</f>
        <v>Teenage</v>
      </c>
      <c r="D433">
        <v>1.4</v>
      </c>
      <c r="E433" t="s">
        <v>20</v>
      </c>
      <c r="F433">
        <v>7.8</v>
      </c>
      <c r="G433">
        <f>Table1[[#This Row],[sleep_hours]]-Table1[[#This Row],[daily_social_media_hours]]</f>
        <v>6.4</v>
      </c>
      <c r="H433">
        <v>0.6</v>
      </c>
      <c r="I433">
        <v>3.42</v>
      </c>
      <c r="J433" t="str" cm="1">
        <f t="array" ref="J433">_xlfn.IFS(Table1[[#This Row],[academic_performance]]&gt;1,"Need Improvement",Table1[[#This Row],[academic_performance]]&gt;2,"Good",Table1[[#This Row],[academic_performance]]&gt;3,"Very good",Table1[[#This Row],[academic_performance]]&gt;4,"Excellent")</f>
        <v>Need Improvement</v>
      </c>
      <c r="K433">
        <v>1.6</v>
      </c>
      <c r="L433" t="str">
        <f>IF(Table1[[#This Row],[physical_activity]]&gt;1.9,"better overall ","lower rate of depression")</f>
        <v>lower rate of depression</v>
      </c>
      <c r="M433" t="s">
        <v>19</v>
      </c>
      <c r="N433">
        <v>10</v>
      </c>
      <c r="O433">
        <v>4</v>
      </c>
      <c r="P433">
        <v>6</v>
      </c>
      <c r="Q433">
        <v>0</v>
      </c>
    </row>
    <row r="434" spans="1:17" x14ac:dyDescent="0.3">
      <c r="A434">
        <v>17</v>
      </c>
      <c r="B434" t="s">
        <v>13</v>
      </c>
      <c r="C434" t="str">
        <f>IF(Table1[[#This Row],[age]]&gt;18,"Adult","Teenage")</f>
        <v>Teenage</v>
      </c>
      <c r="D434">
        <v>3.7</v>
      </c>
      <c r="E434" t="s">
        <v>17</v>
      </c>
      <c r="F434">
        <v>7.2</v>
      </c>
      <c r="G434">
        <f>Table1[[#This Row],[sleep_hours]]-Table1[[#This Row],[daily_social_media_hours]]</f>
        <v>3.5</v>
      </c>
      <c r="H434">
        <v>0.6</v>
      </c>
      <c r="I434">
        <v>3.34</v>
      </c>
      <c r="J434" t="str" cm="1">
        <f t="array" ref="J434">_xlfn.IFS(Table1[[#This Row],[academic_performance]]&gt;1,"Need Improvement",Table1[[#This Row],[academic_performance]]&gt;2,"Good",Table1[[#This Row],[academic_performance]]&gt;3,"Very good",Table1[[#This Row],[academic_performance]]&gt;4,"Excellent")</f>
        <v>Need Improvement</v>
      </c>
      <c r="K434">
        <v>1.8</v>
      </c>
      <c r="L434" t="str">
        <f>IF(Table1[[#This Row],[physical_activity]]&gt;1.9,"better overall ","lower rate of depression")</f>
        <v>lower rate of depression</v>
      </c>
      <c r="M434" t="s">
        <v>18</v>
      </c>
      <c r="N434">
        <v>2</v>
      </c>
      <c r="O434">
        <v>6</v>
      </c>
      <c r="P434">
        <v>2</v>
      </c>
      <c r="Q434">
        <v>0</v>
      </c>
    </row>
    <row r="435" spans="1:17" x14ac:dyDescent="0.3">
      <c r="A435">
        <v>14</v>
      </c>
      <c r="B435" t="s">
        <v>13</v>
      </c>
      <c r="C435" t="str">
        <f>IF(Table1[[#This Row],[age]]&gt;18,"Adult","Teenage")</f>
        <v>Teenage</v>
      </c>
      <c r="D435">
        <v>3.8</v>
      </c>
      <c r="E435" t="s">
        <v>14</v>
      </c>
      <c r="F435">
        <v>8.9</v>
      </c>
      <c r="G435">
        <f>Table1[[#This Row],[sleep_hours]]-Table1[[#This Row],[daily_social_media_hours]]</f>
        <v>5.1000000000000005</v>
      </c>
      <c r="H435">
        <v>1.9</v>
      </c>
      <c r="I435">
        <v>2.77</v>
      </c>
      <c r="J435" t="str" cm="1">
        <f t="array" ref="J435">_xlfn.IFS(Table1[[#This Row],[academic_performance]]&gt;1,"Need Improvement",Table1[[#This Row],[academic_performance]]&gt;2,"Good",Table1[[#This Row],[academic_performance]]&gt;3,"Very good",Table1[[#This Row],[academic_performance]]&gt;4,"Excellent")</f>
        <v>Need Improvement</v>
      </c>
      <c r="K435">
        <v>0.2</v>
      </c>
      <c r="L435" t="str">
        <f>IF(Table1[[#This Row],[physical_activity]]&gt;1.9,"better overall ","lower rate of depression")</f>
        <v>lower rate of depression</v>
      </c>
      <c r="M435" t="s">
        <v>19</v>
      </c>
      <c r="N435">
        <v>6</v>
      </c>
      <c r="O435">
        <v>2</v>
      </c>
      <c r="P435">
        <v>2</v>
      </c>
      <c r="Q435">
        <v>0</v>
      </c>
    </row>
    <row r="436" spans="1:17" x14ac:dyDescent="0.3">
      <c r="A436">
        <v>15</v>
      </c>
      <c r="B436" t="s">
        <v>16</v>
      </c>
      <c r="C436" t="str">
        <f>IF(Table1[[#This Row],[age]]&gt;18,"Adult","Teenage")</f>
        <v>Teenage</v>
      </c>
      <c r="D436">
        <v>5.4</v>
      </c>
      <c r="E436" t="s">
        <v>17</v>
      </c>
      <c r="F436">
        <v>7</v>
      </c>
      <c r="G436">
        <f>Table1[[#This Row],[sleep_hours]]-Table1[[#This Row],[daily_social_media_hours]]</f>
        <v>1.5999999999999996</v>
      </c>
      <c r="H436">
        <v>1.8</v>
      </c>
      <c r="I436">
        <v>2.54</v>
      </c>
      <c r="J436" t="str" cm="1">
        <f t="array" ref="J436">_xlfn.IFS(Table1[[#This Row],[academic_performance]]&gt;1,"Need Improvement",Table1[[#This Row],[academic_performance]]&gt;2,"Good",Table1[[#This Row],[academic_performance]]&gt;3,"Very good",Table1[[#This Row],[academic_performance]]&gt;4,"Excellent")</f>
        <v>Need Improvement</v>
      </c>
      <c r="K436">
        <v>0.1</v>
      </c>
      <c r="L436" t="str">
        <f>IF(Table1[[#This Row],[physical_activity]]&gt;1.9,"better overall ","lower rate of depression")</f>
        <v>lower rate of depression</v>
      </c>
      <c r="M436" t="s">
        <v>15</v>
      </c>
      <c r="N436">
        <v>1</v>
      </c>
      <c r="O436">
        <v>4</v>
      </c>
      <c r="P436">
        <v>4</v>
      </c>
      <c r="Q436">
        <v>0</v>
      </c>
    </row>
    <row r="437" spans="1:17" x14ac:dyDescent="0.3">
      <c r="A437">
        <v>17</v>
      </c>
      <c r="B437" t="s">
        <v>13</v>
      </c>
      <c r="C437" t="str">
        <f>IF(Table1[[#This Row],[age]]&gt;18,"Adult","Teenage")</f>
        <v>Teenage</v>
      </c>
      <c r="D437">
        <v>4</v>
      </c>
      <c r="E437" t="s">
        <v>20</v>
      </c>
      <c r="F437">
        <v>4.3</v>
      </c>
      <c r="G437">
        <f>Table1[[#This Row],[sleep_hours]]-Table1[[#This Row],[daily_social_media_hours]]</f>
        <v>0.29999999999999982</v>
      </c>
      <c r="H437">
        <v>1.8</v>
      </c>
      <c r="I437">
        <v>2.17</v>
      </c>
      <c r="J437" t="str" cm="1">
        <f t="array" ref="J437">_xlfn.IFS(Table1[[#This Row],[academic_performance]]&gt;1,"Need Improvement",Table1[[#This Row],[academic_performance]]&gt;2,"Good",Table1[[#This Row],[academic_performance]]&gt;3,"Very good",Table1[[#This Row],[academic_performance]]&gt;4,"Excellent")</f>
        <v>Need Improvement</v>
      </c>
      <c r="K437">
        <v>0.9</v>
      </c>
      <c r="L437" t="str">
        <f>IF(Table1[[#This Row],[physical_activity]]&gt;1.9,"better overall ","lower rate of depression")</f>
        <v>lower rate of depression</v>
      </c>
      <c r="M437" t="s">
        <v>18</v>
      </c>
      <c r="N437">
        <v>8</v>
      </c>
      <c r="O437">
        <v>8</v>
      </c>
      <c r="P437">
        <v>3</v>
      </c>
      <c r="Q437">
        <v>0</v>
      </c>
    </row>
    <row r="438" spans="1:17" x14ac:dyDescent="0.3">
      <c r="A438">
        <v>19</v>
      </c>
      <c r="B438" t="s">
        <v>13</v>
      </c>
      <c r="C438" t="str">
        <f>IF(Table1[[#This Row],[age]]&gt;18,"Adult","Teenage")</f>
        <v>Adult</v>
      </c>
      <c r="D438">
        <v>3.5</v>
      </c>
      <c r="E438" t="s">
        <v>17</v>
      </c>
      <c r="F438">
        <v>5.8</v>
      </c>
      <c r="G438">
        <f>Table1[[#This Row],[sleep_hours]]-Table1[[#This Row],[daily_social_media_hours]]</f>
        <v>2.2999999999999998</v>
      </c>
      <c r="H438">
        <v>1.8</v>
      </c>
      <c r="I438">
        <v>3.3</v>
      </c>
      <c r="J438" t="str" cm="1">
        <f t="array" ref="J438">_xlfn.IFS(Table1[[#This Row],[academic_performance]]&gt;1,"Need Improvement",Table1[[#This Row],[academic_performance]]&gt;2,"Good",Table1[[#This Row],[academic_performance]]&gt;3,"Very good",Table1[[#This Row],[academic_performance]]&gt;4,"Excellent")</f>
        <v>Need Improvement</v>
      </c>
      <c r="K438">
        <v>0.9</v>
      </c>
      <c r="L438" t="str">
        <f>IF(Table1[[#This Row],[physical_activity]]&gt;1.9,"better overall ","lower rate of depression")</f>
        <v>lower rate of depression</v>
      </c>
      <c r="M438" t="s">
        <v>15</v>
      </c>
      <c r="N438">
        <v>7</v>
      </c>
      <c r="O438">
        <v>6</v>
      </c>
      <c r="P438">
        <v>9</v>
      </c>
      <c r="Q438">
        <v>0</v>
      </c>
    </row>
    <row r="439" spans="1:17" x14ac:dyDescent="0.3">
      <c r="A439">
        <v>17</v>
      </c>
      <c r="B439" t="s">
        <v>13</v>
      </c>
      <c r="C439" t="str">
        <f>IF(Table1[[#This Row],[age]]&gt;18,"Adult","Teenage")</f>
        <v>Teenage</v>
      </c>
      <c r="D439">
        <v>1.3</v>
      </c>
      <c r="E439" t="s">
        <v>20</v>
      </c>
      <c r="F439">
        <v>8.3000000000000007</v>
      </c>
      <c r="G439">
        <f>Table1[[#This Row],[sleep_hours]]-Table1[[#This Row],[daily_social_media_hours]]</f>
        <v>7.0000000000000009</v>
      </c>
      <c r="H439">
        <v>1</v>
      </c>
      <c r="I439">
        <v>3.95</v>
      </c>
      <c r="J439" t="str" cm="1">
        <f t="array" ref="J439">_xlfn.IFS(Table1[[#This Row],[academic_performance]]&gt;1,"Need Improvement",Table1[[#This Row],[academic_performance]]&gt;2,"Good",Table1[[#This Row],[academic_performance]]&gt;3,"Very good",Table1[[#This Row],[academic_performance]]&gt;4,"Excellent")</f>
        <v>Need Improvement</v>
      </c>
      <c r="K439">
        <v>1.2</v>
      </c>
      <c r="L439" t="str">
        <f>IF(Table1[[#This Row],[physical_activity]]&gt;1.9,"better overall ","lower rate of depression")</f>
        <v>lower rate of depression</v>
      </c>
      <c r="M439" t="s">
        <v>19</v>
      </c>
      <c r="N439">
        <v>4</v>
      </c>
      <c r="O439">
        <v>1</v>
      </c>
      <c r="P439">
        <v>1</v>
      </c>
      <c r="Q439">
        <v>0</v>
      </c>
    </row>
    <row r="440" spans="1:17" x14ac:dyDescent="0.3">
      <c r="A440">
        <v>14</v>
      </c>
      <c r="B440" t="s">
        <v>13</v>
      </c>
      <c r="C440" t="str">
        <f>IF(Table1[[#This Row],[age]]&gt;18,"Adult","Teenage")</f>
        <v>Teenage</v>
      </c>
      <c r="D440">
        <v>5.6</v>
      </c>
      <c r="E440" t="s">
        <v>14</v>
      </c>
      <c r="F440">
        <v>8.8000000000000007</v>
      </c>
      <c r="G440">
        <f>Table1[[#This Row],[sleep_hours]]-Table1[[#This Row],[daily_social_media_hours]]</f>
        <v>3.2000000000000011</v>
      </c>
      <c r="H440">
        <v>0.9</v>
      </c>
      <c r="I440">
        <v>3.03</v>
      </c>
      <c r="J440" t="str" cm="1">
        <f t="array" ref="J440">_xlfn.IFS(Table1[[#This Row],[academic_performance]]&gt;1,"Need Improvement",Table1[[#This Row],[academic_performance]]&gt;2,"Good",Table1[[#This Row],[academic_performance]]&gt;3,"Very good",Table1[[#This Row],[academic_performance]]&gt;4,"Excellent")</f>
        <v>Need Improvement</v>
      </c>
      <c r="K440">
        <v>2</v>
      </c>
      <c r="L440" t="str">
        <f>IF(Table1[[#This Row],[physical_activity]]&gt;1.9,"better overall ","lower rate of depression")</f>
        <v xml:space="preserve">better overall </v>
      </c>
      <c r="M440" t="s">
        <v>15</v>
      </c>
      <c r="N440">
        <v>8</v>
      </c>
      <c r="O440">
        <v>10</v>
      </c>
      <c r="P440">
        <v>3</v>
      </c>
      <c r="Q440">
        <v>0</v>
      </c>
    </row>
    <row r="441" spans="1:17" x14ac:dyDescent="0.3">
      <c r="A441">
        <v>13</v>
      </c>
      <c r="B441" t="s">
        <v>16</v>
      </c>
      <c r="C441" t="str">
        <f>IF(Table1[[#This Row],[age]]&gt;18,"Adult","Teenage")</f>
        <v>Teenage</v>
      </c>
      <c r="D441">
        <v>2.4</v>
      </c>
      <c r="E441" t="s">
        <v>14</v>
      </c>
      <c r="F441">
        <v>5.5</v>
      </c>
      <c r="G441">
        <f>Table1[[#This Row],[sleep_hours]]-Table1[[#This Row],[daily_social_media_hours]]</f>
        <v>3.1</v>
      </c>
      <c r="H441">
        <v>0.6</v>
      </c>
      <c r="I441">
        <v>3.56</v>
      </c>
      <c r="J441" t="str" cm="1">
        <f t="array" ref="J441">_xlfn.IFS(Table1[[#This Row],[academic_performance]]&gt;1,"Need Improvement",Table1[[#This Row],[academic_performance]]&gt;2,"Good",Table1[[#This Row],[academic_performance]]&gt;3,"Very good",Table1[[#This Row],[academic_performance]]&gt;4,"Excellent")</f>
        <v>Need Improvement</v>
      </c>
      <c r="K441">
        <v>1.6</v>
      </c>
      <c r="L441" t="str">
        <f>IF(Table1[[#This Row],[physical_activity]]&gt;1.9,"better overall ","lower rate of depression")</f>
        <v>lower rate of depression</v>
      </c>
      <c r="M441" t="s">
        <v>19</v>
      </c>
      <c r="N441">
        <v>4</v>
      </c>
      <c r="O441">
        <v>8</v>
      </c>
      <c r="P441">
        <v>7</v>
      </c>
      <c r="Q441">
        <v>0</v>
      </c>
    </row>
    <row r="442" spans="1:17" x14ac:dyDescent="0.3">
      <c r="A442">
        <v>16</v>
      </c>
      <c r="B442" t="s">
        <v>13</v>
      </c>
      <c r="C442" t="str">
        <f>IF(Table1[[#This Row],[age]]&gt;18,"Adult","Teenage")</f>
        <v>Teenage</v>
      </c>
      <c r="D442">
        <v>2</v>
      </c>
      <c r="E442" t="s">
        <v>20</v>
      </c>
      <c r="F442">
        <v>7.8</v>
      </c>
      <c r="G442">
        <f>Table1[[#This Row],[sleep_hours]]-Table1[[#This Row],[daily_social_media_hours]]</f>
        <v>5.8</v>
      </c>
      <c r="H442">
        <v>2.8</v>
      </c>
      <c r="I442">
        <v>2.1</v>
      </c>
      <c r="J442" t="str" cm="1">
        <f t="array" ref="J442">_xlfn.IFS(Table1[[#This Row],[academic_performance]]&gt;1,"Need Improvement",Table1[[#This Row],[academic_performance]]&gt;2,"Good",Table1[[#This Row],[academic_performance]]&gt;3,"Very good",Table1[[#This Row],[academic_performance]]&gt;4,"Excellent")</f>
        <v>Need Improvement</v>
      </c>
      <c r="K442">
        <v>0.6</v>
      </c>
      <c r="L442" t="str">
        <f>IF(Table1[[#This Row],[physical_activity]]&gt;1.9,"better overall ","lower rate of depression")</f>
        <v>lower rate of depression</v>
      </c>
      <c r="M442" t="s">
        <v>19</v>
      </c>
      <c r="N442">
        <v>2</v>
      </c>
      <c r="O442">
        <v>6</v>
      </c>
      <c r="P442">
        <v>8</v>
      </c>
      <c r="Q442">
        <v>0</v>
      </c>
    </row>
    <row r="443" spans="1:17" x14ac:dyDescent="0.3">
      <c r="A443">
        <v>15</v>
      </c>
      <c r="B443" t="s">
        <v>13</v>
      </c>
      <c r="C443" t="str">
        <f>IF(Table1[[#This Row],[age]]&gt;18,"Adult","Teenage")</f>
        <v>Teenage</v>
      </c>
      <c r="D443">
        <v>6.6</v>
      </c>
      <c r="E443" t="s">
        <v>14</v>
      </c>
      <c r="F443">
        <v>8.6</v>
      </c>
      <c r="G443">
        <f>Table1[[#This Row],[sleep_hours]]-Table1[[#This Row],[daily_social_media_hours]]</f>
        <v>2</v>
      </c>
      <c r="H443">
        <v>1.5</v>
      </c>
      <c r="I443">
        <v>2.63</v>
      </c>
      <c r="J443" t="str" cm="1">
        <f t="array" ref="J443">_xlfn.IFS(Table1[[#This Row],[academic_performance]]&gt;1,"Need Improvement",Table1[[#This Row],[academic_performance]]&gt;2,"Good",Table1[[#This Row],[academic_performance]]&gt;3,"Very good",Table1[[#This Row],[academic_performance]]&gt;4,"Excellent")</f>
        <v>Need Improvement</v>
      </c>
      <c r="K443">
        <v>1.1000000000000001</v>
      </c>
      <c r="L443" t="str">
        <f>IF(Table1[[#This Row],[physical_activity]]&gt;1.9,"better overall ","lower rate of depression")</f>
        <v>lower rate of depression</v>
      </c>
      <c r="M443" t="s">
        <v>15</v>
      </c>
      <c r="N443">
        <v>1</v>
      </c>
      <c r="O443">
        <v>9</v>
      </c>
      <c r="P443">
        <v>9</v>
      </c>
      <c r="Q443">
        <v>0</v>
      </c>
    </row>
    <row r="444" spans="1:17" x14ac:dyDescent="0.3">
      <c r="A444">
        <v>17</v>
      </c>
      <c r="B444" t="s">
        <v>16</v>
      </c>
      <c r="C444" t="str">
        <f>IF(Table1[[#This Row],[age]]&gt;18,"Adult","Teenage")</f>
        <v>Teenage</v>
      </c>
      <c r="D444">
        <v>2.2999999999999998</v>
      </c>
      <c r="E444" t="s">
        <v>17</v>
      </c>
      <c r="F444">
        <v>6.4</v>
      </c>
      <c r="G444">
        <f>Table1[[#This Row],[sleep_hours]]-Table1[[#This Row],[daily_social_media_hours]]</f>
        <v>4.1000000000000005</v>
      </c>
      <c r="H444">
        <v>2.4</v>
      </c>
      <c r="I444">
        <v>3.61</v>
      </c>
      <c r="J444" t="str" cm="1">
        <f t="array" ref="J444">_xlfn.IFS(Table1[[#This Row],[academic_performance]]&gt;1,"Need Improvement",Table1[[#This Row],[academic_performance]]&gt;2,"Good",Table1[[#This Row],[academic_performance]]&gt;3,"Very good",Table1[[#This Row],[academic_performance]]&gt;4,"Excellent")</f>
        <v>Need Improvement</v>
      </c>
      <c r="K444">
        <v>0.6</v>
      </c>
      <c r="L444" t="str">
        <f>IF(Table1[[#This Row],[physical_activity]]&gt;1.9,"better overall ","lower rate of depression")</f>
        <v>lower rate of depression</v>
      </c>
      <c r="M444" t="s">
        <v>19</v>
      </c>
      <c r="N444">
        <v>2</v>
      </c>
      <c r="O444">
        <v>1</v>
      </c>
      <c r="P444">
        <v>1</v>
      </c>
      <c r="Q444">
        <v>0</v>
      </c>
    </row>
    <row r="445" spans="1:17" x14ac:dyDescent="0.3">
      <c r="A445">
        <v>16</v>
      </c>
      <c r="B445" t="s">
        <v>13</v>
      </c>
      <c r="C445" t="str">
        <f>IF(Table1[[#This Row],[age]]&gt;18,"Adult","Teenage")</f>
        <v>Teenage</v>
      </c>
      <c r="D445">
        <v>6.4</v>
      </c>
      <c r="E445" t="s">
        <v>17</v>
      </c>
      <c r="F445">
        <v>5.4</v>
      </c>
      <c r="G445">
        <f>Table1[[#This Row],[sleep_hours]]-Table1[[#This Row],[daily_social_media_hours]]</f>
        <v>-1</v>
      </c>
      <c r="H445">
        <v>1.4</v>
      </c>
      <c r="I445">
        <v>2.42</v>
      </c>
      <c r="J445" t="str" cm="1">
        <f t="array" ref="J445">_xlfn.IFS(Table1[[#This Row],[academic_performance]]&gt;1,"Need Improvement",Table1[[#This Row],[academic_performance]]&gt;2,"Good",Table1[[#This Row],[academic_performance]]&gt;3,"Very good",Table1[[#This Row],[academic_performance]]&gt;4,"Excellent")</f>
        <v>Need Improvement</v>
      </c>
      <c r="K445">
        <v>1.9</v>
      </c>
      <c r="L445" t="str">
        <f>IF(Table1[[#This Row],[physical_activity]]&gt;1.9,"better overall ","lower rate of depression")</f>
        <v>lower rate of depression</v>
      </c>
      <c r="M445" t="s">
        <v>19</v>
      </c>
      <c r="N445">
        <v>4</v>
      </c>
      <c r="O445">
        <v>9</v>
      </c>
      <c r="P445">
        <v>5</v>
      </c>
      <c r="Q445">
        <v>0</v>
      </c>
    </row>
    <row r="446" spans="1:17" x14ac:dyDescent="0.3">
      <c r="A446">
        <v>18</v>
      </c>
      <c r="B446" t="s">
        <v>16</v>
      </c>
      <c r="C446" t="str">
        <f>IF(Table1[[#This Row],[age]]&gt;18,"Adult","Teenage")</f>
        <v>Teenage</v>
      </c>
      <c r="D446">
        <v>3.5</v>
      </c>
      <c r="E446" t="s">
        <v>20</v>
      </c>
      <c r="F446">
        <v>5.9</v>
      </c>
      <c r="G446">
        <f>Table1[[#This Row],[sleep_hours]]-Table1[[#This Row],[daily_social_media_hours]]</f>
        <v>2.4000000000000004</v>
      </c>
      <c r="H446">
        <v>1.3</v>
      </c>
      <c r="I446">
        <v>3.68</v>
      </c>
      <c r="J446" t="str" cm="1">
        <f t="array" ref="J446">_xlfn.IFS(Table1[[#This Row],[academic_performance]]&gt;1,"Need Improvement",Table1[[#This Row],[academic_performance]]&gt;2,"Good",Table1[[#This Row],[academic_performance]]&gt;3,"Very good",Table1[[#This Row],[academic_performance]]&gt;4,"Excellent")</f>
        <v>Need Improvement</v>
      </c>
      <c r="K446">
        <v>2</v>
      </c>
      <c r="L446" t="str">
        <f>IF(Table1[[#This Row],[physical_activity]]&gt;1.9,"better overall ","lower rate of depression")</f>
        <v xml:space="preserve">better overall </v>
      </c>
      <c r="M446" t="s">
        <v>19</v>
      </c>
      <c r="N446">
        <v>7</v>
      </c>
      <c r="O446">
        <v>4</v>
      </c>
      <c r="P446">
        <v>10</v>
      </c>
      <c r="Q446">
        <v>0</v>
      </c>
    </row>
    <row r="447" spans="1:17" x14ac:dyDescent="0.3">
      <c r="A447">
        <v>18</v>
      </c>
      <c r="B447" t="s">
        <v>16</v>
      </c>
      <c r="C447" t="str">
        <f>IF(Table1[[#This Row],[age]]&gt;18,"Adult","Teenage")</f>
        <v>Teenage</v>
      </c>
      <c r="D447">
        <v>1.7</v>
      </c>
      <c r="E447" t="s">
        <v>14</v>
      </c>
      <c r="F447">
        <v>8.5</v>
      </c>
      <c r="G447">
        <f>Table1[[#This Row],[sleep_hours]]-Table1[[#This Row],[daily_social_media_hours]]</f>
        <v>6.8</v>
      </c>
      <c r="H447">
        <v>1</v>
      </c>
      <c r="I447">
        <v>3.32</v>
      </c>
      <c r="J447" t="str" cm="1">
        <f t="array" ref="J447">_xlfn.IFS(Table1[[#This Row],[academic_performance]]&gt;1,"Need Improvement",Table1[[#This Row],[academic_performance]]&gt;2,"Good",Table1[[#This Row],[academic_performance]]&gt;3,"Very good",Table1[[#This Row],[academic_performance]]&gt;4,"Excellent")</f>
        <v>Need Improvement</v>
      </c>
      <c r="K447">
        <v>1.3</v>
      </c>
      <c r="L447" t="str">
        <f>IF(Table1[[#This Row],[physical_activity]]&gt;1.9,"better overall ","lower rate of depression")</f>
        <v>lower rate of depression</v>
      </c>
      <c r="M447" t="s">
        <v>19</v>
      </c>
      <c r="N447">
        <v>1</v>
      </c>
      <c r="O447">
        <v>1</v>
      </c>
      <c r="P447">
        <v>7</v>
      </c>
      <c r="Q447">
        <v>0</v>
      </c>
    </row>
    <row r="448" spans="1:17" x14ac:dyDescent="0.3">
      <c r="A448">
        <v>14</v>
      </c>
      <c r="B448" t="s">
        <v>13</v>
      </c>
      <c r="C448" t="str">
        <f>IF(Table1[[#This Row],[age]]&gt;18,"Adult","Teenage")</f>
        <v>Teenage</v>
      </c>
      <c r="D448">
        <v>4.0999999999999996</v>
      </c>
      <c r="E448" t="s">
        <v>14</v>
      </c>
      <c r="F448">
        <v>8.1999999999999993</v>
      </c>
      <c r="G448">
        <f>Table1[[#This Row],[sleep_hours]]-Table1[[#This Row],[daily_social_media_hours]]</f>
        <v>4.0999999999999996</v>
      </c>
      <c r="H448">
        <v>1.7</v>
      </c>
      <c r="I448">
        <v>2.3199999999999998</v>
      </c>
      <c r="J448" t="str" cm="1">
        <f t="array" ref="J448">_xlfn.IFS(Table1[[#This Row],[academic_performance]]&gt;1,"Need Improvement",Table1[[#This Row],[academic_performance]]&gt;2,"Good",Table1[[#This Row],[academic_performance]]&gt;3,"Very good",Table1[[#This Row],[academic_performance]]&gt;4,"Excellent")</f>
        <v>Need Improvement</v>
      </c>
      <c r="K448">
        <v>1.4</v>
      </c>
      <c r="L448" t="str">
        <f>IF(Table1[[#This Row],[physical_activity]]&gt;1.9,"better overall ","lower rate of depression")</f>
        <v>lower rate of depression</v>
      </c>
      <c r="M448" t="s">
        <v>18</v>
      </c>
      <c r="N448">
        <v>9</v>
      </c>
      <c r="O448">
        <v>2</v>
      </c>
      <c r="P448">
        <v>4</v>
      </c>
      <c r="Q448">
        <v>0</v>
      </c>
    </row>
    <row r="449" spans="1:17" x14ac:dyDescent="0.3">
      <c r="A449">
        <v>14</v>
      </c>
      <c r="B449" t="s">
        <v>13</v>
      </c>
      <c r="C449" t="str">
        <f>IF(Table1[[#This Row],[age]]&gt;18,"Adult","Teenage")</f>
        <v>Teenage</v>
      </c>
      <c r="D449">
        <v>3.3</v>
      </c>
      <c r="E449" t="s">
        <v>14</v>
      </c>
      <c r="F449">
        <v>6.5</v>
      </c>
      <c r="G449">
        <f>Table1[[#This Row],[sleep_hours]]-Table1[[#This Row],[daily_social_media_hours]]</f>
        <v>3.2</v>
      </c>
      <c r="H449">
        <v>0.8</v>
      </c>
      <c r="I449">
        <v>2.54</v>
      </c>
      <c r="J449" t="str" cm="1">
        <f t="array" ref="J449">_xlfn.IFS(Table1[[#This Row],[academic_performance]]&gt;1,"Need Improvement",Table1[[#This Row],[academic_performance]]&gt;2,"Good",Table1[[#This Row],[academic_performance]]&gt;3,"Very good",Table1[[#This Row],[academic_performance]]&gt;4,"Excellent")</f>
        <v>Need Improvement</v>
      </c>
      <c r="K449">
        <v>0.8</v>
      </c>
      <c r="L449" t="str">
        <f>IF(Table1[[#This Row],[physical_activity]]&gt;1.9,"better overall ","lower rate of depression")</f>
        <v>lower rate of depression</v>
      </c>
      <c r="M449" t="s">
        <v>15</v>
      </c>
      <c r="N449">
        <v>1</v>
      </c>
      <c r="O449">
        <v>2</v>
      </c>
      <c r="P449">
        <v>3</v>
      </c>
      <c r="Q449">
        <v>0</v>
      </c>
    </row>
    <row r="450" spans="1:17" x14ac:dyDescent="0.3">
      <c r="A450">
        <v>14</v>
      </c>
      <c r="B450" t="s">
        <v>16</v>
      </c>
      <c r="C450" t="str">
        <f>IF(Table1[[#This Row],[age]]&gt;18,"Adult","Teenage")</f>
        <v>Teenage</v>
      </c>
      <c r="D450">
        <v>5</v>
      </c>
      <c r="E450" t="s">
        <v>17</v>
      </c>
      <c r="F450">
        <v>4.9000000000000004</v>
      </c>
      <c r="G450">
        <f>Table1[[#This Row],[sleep_hours]]-Table1[[#This Row],[daily_social_media_hours]]</f>
        <v>-9.9999999999999645E-2</v>
      </c>
      <c r="H450">
        <v>2.6</v>
      </c>
      <c r="I450">
        <v>3.82</v>
      </c>
      <c r="J450" t="str" cm="1">
        <f t="array" ref="J450">_xlfn.IFS(Table1[[#This Row],[academic_performance]]&gt;1,"Need Improvement",Table1[[#This Row],[academic_performance]]&gt;2,"Good",Table1[[#This Row],[academic_performance]]&gt;3,"Very good",Table1[[#This Row],[academic_performance]]&gt;4,"Excellent")</f>
        <v>Need Improvement</v>
      </c>
      <c r="K450">
        <v>1.9</v>
      </c>
      <c r="L450" t="str">
        <f>IF(Table1[[#This Row],[physical_activity]]&gt;1.9,"better overall ","lower rate of depression")</f>
        <v>lower rate of depression</v>
      </c>
      <c r="M450" t="s">
        <v>19</v>
      </c>
      <c r="N450">
        <v>3</v>
      </c>
      <c r="O450">
        <v>10</v>
      </c>
      <c r="P450">
        <v>10</v>
      </c>
      <c r="Q450">
        <v>0</v>
      </c>
    </row>
    <row r="451" spans="1:17" x14ac:dyDescent="0.3">
      <c r="A451">
        <v>19</v>
      </c>
      <c r="B451" t="s">
        <v>16</v>
      </c>
      <c r="C451" t="str">
        <f>IF(Table1[[#This Row],[age]]&gt;18,"Adult","Teenage")</f>
        <v>Adult</v>
      </c>
      <c r="D451">
        <v>1.5</v>
      </c>
      <c r="E451" t="s">
        <v>14</v>
      </c>
      <c r="F451">
        <v>8.4</v>
      </c>
      <c r="G451">
        <f>Table1[[#This Row],[sleep_hours]]-Table1[[#This Row],[daily_social_media_hours]]</f>
        <v>6.9</v>
      </c>
      <c r="H451">
        <v>3</v>
      </c>
      <c r="I451">
        <v>2.46</v>
      </c>
      <c r="J451" t="str" cm="1">
        <f t="array" ref="J451">_xlfn.IFS(Table1[[#This Row],[academic_performance]]&gt;1,"Need Improvement",Table1[[#This Row],[academic_performance]]&gt;2,"Good",Table1[[#This Row],[academic_performance]]&gt;3,"Very good",Table1[[#This Row],[academic_performance]]&gt;4,"Excellent")</f>
        <v>Need Improvement</v>
      </c>
      <c r="K451">
        <v>1.5</v>
      </c>
      <c r="L451" t="str">
        <f>IF(Table1[[#This Row],[physical_activity]]&gt;1.9,"better overall ","lower rate of depression")</f>
        <v>lower rate of depression</v>
      </c>
      <c r="M451" t="s">
        <v>18</v>
      </c>
      <c r="N451">
        <v>1</v>
      </c>
      <c r="O451">
        <v>7</v>
      </c>
      <c r="P451">
        <v>6</v>
      </c>
      <c r="Q451">
        <v>0</v>
      </c>
    </row>
    <row r="452" spans="1:17" x14ac:dyDescent="0.3">
      <c r="A452">
        <v>17</v>
      </c>
      <c r="B452" t="s">
        <v>16</v>
      </c>
      <c r="C452" t="str">
        <f>IF(Table1[[#This Row],[age]]&gt;18,"Adult","Teenage")</f>
        <v>Teenage</v>
      </c>
      <c r="D452">
        <v>3.3</v>
      </c>
      <c r="E452" t="s">
        <v>17</v>
      </c>
      <c r="F452">
        <v>8.4</v>
      </c>
      <c r="G452">
        <f>Table1[[#This Row],[sleep_hours]]-Table1[[#This Row],[daily_social_media_hours]]</f>
        <v>5.1000000000000005</v>
      </c>
      <c r="H452">
        <v>2.1</v>
      </c>
      <c r="I452">
        <v>3.4</v>
      </c>
      <c r="J452" t="str" cm="1">
        <f t="array" ref="J452">_xlfn.IFS(Table1[[#This Row],[academic_performance]]&gt;1,"Need Improvement",Table1[[#This Row],[academic_performance]]&gt;2,"Good",Table1[[#This Row],[academic_performance]]&gt;3,"Very good",Table1[[#This Row],[academic_performance]]&gt;4,"Excellent")</f>
        <v>Need Improvement</v>
      </c>
      <c r="K452">
        <v>0.2</v>
      </c>
      <c r="L452" t="str">
        <f>IF(Table1[[#This Row],[physical_activity]]&gt;1.9,"better overall ","lower rate of depression")</f>
        <v>lower rate of depression</v>
      </c>
      <c r="M452" t="s">
        <v>18</v>
      </c>
      <c r="N452">
        <v>1</v>
      </c>
      <c r="O452">
        <v>3</v>
      </c>
      <c r="P452">
        <v>10</v>
      </c>
      <c r="Q452">
        <v>0</v>
      </c>
    </row>
    <row r="453" spans="1:17" x14ac:dyDescent="0.3">
      <c r="A453">
        <v>13</v>
      </c>
      <c r="B453" t="s">
        <v>13</v>
      </c>
      <c r="C453" t="str">
        <f>IF(Table1[[#This Row],[age]]&gt;18,"Adult","Teenage")</f>
        <v>Teenage</v>
      </c>
      <c r="D453">
        <v>6.4</v>
      </c>
      <c r="E453" t="s">
        <v>20</v>
      </c>
      <c r="F453">
        <v>4.0999999999999996</v>
      </c>
      <c r="G453">
        <f>Table1[[#This Row],[sleep_hours]]-Table1[[#This Row],[daily_social_media_hours]]</f>
        <v>-2.3000000000000007</v>
      </c>
      <c r="H453">
        <v>1.3</v>
      </c>
      <c r="I453">
        <v>2.77</v>
      </c>
      <c r="J453" t="str" cm="1">
        <f t="array" ref="J453">_xlfn.IFS(Table1[[#This Row],[academic_performance]]&gt;1,"Need Improvement",Table1[[#This Row],[academic_performance]]&gt;2,"Good",Table1[[#This Row],[academic_performance]]&gt;3,"Very good",Table1[[#This Row],[academic_performance]]&gt;4,"Excellent")</f>
        <v>Need Improvement</v>
      </c>
      <c r="K453">
        <v>1.3</v>
      </c>
      <c r="L453" t="str">
        <f>IF(Table1[[#This Row],[physical_activity]]&gt;1.9,"better overall ","lower rate of depression")</f>
        <v>lower rate of depression</v>
      </c>
      <c r="M453" t="s">
        <v>15</v>
      </c>
      <c r="N453">
        <v>10</v>
      </c>
      <c r="O453">
        <v>6</v>
      </c>
      <c r="P453">
        <v>1</v>
      </c>
      <c r="Q453">
        <v>0</v>
      </c>
    </row>
    <row r="454" spans="1:17" x14ac:dyDescent="0.3">
      <c r="A454">
        <v>17</v>
      </c>
      <c r="B454" t="s">
        <v>16</v>
      </c>
      <c r="C454" t="str">
        <f>IF(Table1[[#This Row],[age]]&gt;18,"Adult","Teenage")</f>
        <v>Teenage</v>
      </c>
      <c r="D454">
        <v>8</v>
      </c>
      <c r="E454" t="s">
        <v>14</v>
      </c>
      <c r="F454">
        <v>8.1</v>
      </c>
      <c r="G454">
        <f>Table1[[#This Row],[sleep_hours]]-Table1[[#This Row],[daily_social_media_hours]]</f>
        <v>9.9999999999999645E-2</v>
      </c>
      <c r="H454">
        <v>1.2</v>
      </c>
      <c r="I454">
        <v>2.13</v>
      </c>
      <c r="J454" t="str" cm="1">
        <f t="array" ref="J454">_xlfn.IFS(Table1[[#This Row],[academic_performance]]&gt;1,"Need Improvement",Table1[[#This Row],[academic_performance]]&gt;2,"Good",Table1[[#This Row],[academic_performance]]&gt;3,"Very good",Table1[[#This Row],[academic_performance]]&gt;4,"Excellent")</f>
        <v>Need Improvement</v>
      </c>
      <c r="K454">
        <v>1</v>
      </c>
      <c r="L454" t="str">
        <f>IF(Table1[[#This Row],[physical_activity]]&gt;1.9,"better overall ","lower rate of depression")</f>
        <v>lower rate of depression</v>
      </c>
      <c r="M454" t="s">
        <v>15</v>
      </c>
      <c r="N454">
        <v>1</v>
      </c>
      <c r="O454">
        <v>8</v>
      </c>
      <c r="P454">
        <v>7</v>
      </c>
      <c r="Q454">
        <v>0</v>
      </c>
    </row>
    <row r="455" spans="1:17" x14ac:dyDescent="0.3">
      <c r="A455">
        <v>16</v>
      </c>
      <c r="B455" t="s">
        <v>16</v>
      </c>
      <c r="C455" t="str">
        <f>IF(Table1[[#This Row],[age]]&gt;18,"Adult","Teenage")</f>
        <v>Teenage</v>
      </c>
      <c r="D455">
        <v>1</v>
      </c>
      <c r="E455" t="s">
        <v>20</v>
      </c>
      <c r="F455">
        <v>4.0999999999999996</v>
      </c>
      <c r="G455">
        <f>Table1[[#This Row],[sleep_hours]]-Table1[[#This Row],[daily_social_media_hours]]</f>
        <v>3.0999999999999996</v>
      </c>
      <c r="H455">
        <v>1.3</v>
      </c>
      <c r="I455">
        <v>2.2200000000000002</v>
      </c>
      <c r="J455" t="str" cm="1">
        <f t="array" ref="J455">_xlfn.IFS(Table1[[#This Row],[academic_performance]]&gt;1,"Need Improvement",Table1[[#This Row],[academic_performance]]&gt;2,"Good",Table1[[#This Row],[academic_performance]]&gt;3,"Very good",Table1[[#This Row],[academic_performance]]&gt;4,"Excellent")</f>
        <v>Need Improvement</v>
      </c>
      <c r="K455">
        <v>0.4</v>
      </c>
      <c r="L455" t="str">
        <f>IF(Table1[[#This Row],[physical_activity]]&gt;1.9,"better overall ","lower rate of depression")</f>
        <v>lower rate of depression</v>
      </c>
      <c r="M455" t="s">
        <v>15</v>
      </c>
      <c r="N455">
        <v>2</v>
      </c>
      <c r="O455">
        <v>1</v>
      </c>
      <c r="P455">
        <v>8</v>
      </c>
      <c r="Q455">
        <v>0</v>
      </c>
    </row>
    <row r="456" spans="1:17" x14ac:dyDescent="0.3">
      <c r="A456">
        <v>18</v>
      </c>
      <c r="B456" t="s">
        <v>16</v>
      </c>
      <c r="C456" t="str">
        <f>IF(Table1[[#This Row],[age]]&gt;18,"Adult","Teenage")</f>
        <v>Teenage</v>
      </c>
      <c r="D456">
        <v>4.2</v>
      </c>
      <c r="E456" t="s">
        <v>14</v>
      </c>
      <c r="F456">
        <v>5.4</v>
      </c>
      <c r="G456">
        <f>Table1[[#This Row],[sleep_hours]]-Table1[[#This Row],[daily_social_media_hours]]</f>
        <v>1.2000000000000002</v>
      </c>
      <c r="H456">
        <v>1.1000000000000001</v>
      </c>
      <c r="I456">
        <v>2.31</v>
      </c>
      <c r="J456" t="str" cm="1">
        <f t="array" ref="J456">_xlfn.IFS(Table1[[#This Row],[academic_performance]]&gt;1,"Need Improvement",Table1[[#This Row],[academic_performance]]&gt;2,"Good",Table1[[#This Row],[academic_performance]]&gt;3,"Very good",Table1[[#This Row],[academic_performance]]&gt;4,"Excellent")</f>
        <v>Need Improvement</v>
      </c>
      <c r="K456">
        <v>0.3</v>
      </c>
      <c r="L456" t="str">
        <f>IF(Table1[[#This Row],[physical_activity]]&gt;1.9,"better overall ","lower rate of depression")</f>
        <v>lower rate of depression</v>
      </c>
      <c r="M456" t="s">
        <v>15</v>
      </c>
      <c r="N456">
        <v>4</v>
      </c>
      <c r="O456">
        <v>9</v>
      </c>
      <c r="P456">
        <v>1</v>
      </c>
      <c r="Q456">
        <v>0</v>
      </c>
    </row>
    <row r="457" spans="1:17" x14ac:dyDescent="0.3">
      <c r="A457">
        <v>18</v>
      </c>
      <c r="B457" t="s">
        <v>16</v>
      </c>
      <c r="C457" t="str">
        <f>IF(Table1[[#This Row],[age]]&gt;18,"Adult","Teenage")</f>
        <v>Teenage</v>
      </c>
      <c r="D457">
        <v>4.5999999999999996</v>
      </c>
      <c r="E457" t="s">
        <v>17</v>
      </c>
      <c r="F457">
        <v>7.3</v>
      </c>
      <c r="G457">
        <f>Table1[[#This Row],[sleep_hours]]-Table1[[#This Row],[daily_social_media_hours]]</f>
        <v>2.7</v>
      </c>
      <c r="H457">
        <v>2.8</v>
      </c>
      <c r="I457">
        <v>3.22</v>
      </c>
      <c r="J457" t="str" cm="1">
        <f t="array" ref="J457">_xlfn.IFS(Table1[[#This Row],[academic_performance]]&gt;1,"Need Improvement",Table1[[#This Row],[academic_performance]]&gt;2,"Good",Table1[[#This Row],[academic_performance]]&gt;3,"Very good",Table1[[#This Row],[academic_performance]]&gt;4,"Excellent")</f>
        <v>Need Improvement</v>
      </c>
      <c r="K457">
        <v>0.6</v>
      </c>
      <c r="L457" t="str">
        <f>IF(Table1[[#This Row],[physical_activity]]&gt;1.9,"better overall ","lower rate of depression")</f>
        <v>lower rate of depression</v>
      </c>
      <c r="M457" t="s">
        <v>18</v>
      </c>
      <c r="N457">
        <v>1</v>
      </c>
      <c r="O457">
        <v>3</v>
      </c>
      <c r="P457">
        <v>6</v>
      </c>
      <c r="Q457">
        <v>0</v>
      </c>
    </row>
    <row r="458" spans="1:17" x14ac:dyDescent="0.3">
      <c r="A458">
        <v>17</v>
      </c>
      <c r="B458" t="s">
        <v>16</v>
      </c>
      <c r="C458" t="str">
        <f>IF(Table1[[#This Row],[age]]&gt;18,"Adult","Teenage")</f>
        <v>Teenage</v>
      </c>
      <c r="D458">
        <v>2.8</v>
      </c>
      <c r="E458" t="s">
        <v>20</v>
      </c>
      <c r="F458">
        <v>6.2</v>
      </c>
      <c r="G458">
        <f>Table1[[#This Row],[sleep_hours]]-Table1[[#This Row],[daily_social_media_hours]]</f>
        <v>3.4000000000000004</v>
      </c>
      <c r="H458">
        <v>2.4</v>
      </c>
      <c r="I458">
        <v>2.58</v>
      </c>
      <c r="J458" t="str" cm="1">
        <f t="array" ref="J458">_xlfn.IFS(Table1[[#This Row],[academic_performance]]&gt;1,"Need Improvement",Table1[[#This Row],[academic_performance]]&gt;2,"Good",Table1[[#This Row],[academic_performance]]&gt;3,"Very good",Table1[[#This Row],[academic_performance]]&gt;4,"Excellent")</f>
        <v>Need Improvement</v>
      </c>
      <c r="K458">
        <v>0.4</v>
      </c>
      <c r="L458" t="str">
        <f>IF(Table1[[#This Row],[physical_activity]]&gt;1.9,"better overall ","lower rate of depression")</f>
        <v>lower rate of depression</v>
      </c>
      <c r="M458" t="s">
        <v>18</v>
      </c>
      <c r="N458">
        <v>4</v>
      </c>
      <c r="O458">
        <v>10</v>
      </c>
      <c r="P458">
        <v>9</v>
      </c>
      <c r="Q458">
        <v>0</v>
      </c>
    </row>
    <row r="459" spans="1:17" x14ac:dyDescent="0.3">
      <c r="A459">
        <v>16</v>
      </c>
      <c r="B459" t="s">
        <v>16</v>
      </c>
      <c r="C459" t="str">
        <f>IF(Table1[[#This Row],[age]]&gt;18,"Adult","Teenage")</f>
        <v>Teenage</v>
      </c>
      <c r="D459">
        <v>6.3</v>
      </c>
      <c r="E459" t="s">
        <v>14</v>
      </c>
      <c r="F459">
        <v>6.9</v>
      </c>
      <c r="G459">
        <f>Table1[[#This Row],[sleep_hours]]-Table1[[#This Row],[daily_social_media_hours]]</f>
        <v>0.60000000000000053</v>
      </c>
      <c r="H459">
        <v>1.3</v>
      </c>
      <c r="I459">
        <v>2.15</v>
      </c>
      <c r="J459" t="str" cm="1">
        <f t="array" ref="J459">_xlfn.IFS(Table1[[#This Row],[academic_performance]]&gt;1,"Need Improvement",Table1[[#This Row],[academic_performance]]&gt;2,"Good",Table1[[#This Row],[academic_performance]]&gt;3,"Very good",Table1[[#This Row],[academic_performance]]&gt;4,"Excellent")</f>
        <v>Need Improvement</v>
      </c>
      <c r="K459">
        <v>1.4</v>
      </c>
      <c r="L459" t="str">
        <f>IF(Table1[[#This Row],[physical_activity]]&gt;1.9,"better overall ","lower rate of depression")</f>
        <v>lower rate of depression</v>
      </c>
      <c r="M459" t="s">
        <v>15</v>
      </c>
      <c r="N459">
        <v>9</v>
      </c>
      <c r="O459">
        <v>2</v>
      </c>
      <c r="P459">
        <v>10</v>
      </c>
      <c r="Q459">
        <v>0</v>
      </c>
    </row>
    <row r="460" spans="1:17" x14ac:dyDescent="0.3">
      <c r="A460">
        <v>17</v>
      </c>
      <c r="B460" t="s">
        <v>16</v>
      </c>
      <c r="C460" t="str">
        <f>IF(Table1[[#This Row],[age]]&gt;18,"Adult","Teenage")</f>
        <v>Teenage</v>
      </c>
      <c r="D460">
        <v>7.2</v>
      </c>
      <c r="E460" t="s">
        <v>17</v>
      </c>
      <c r="F460">
        <v>7</v>
      </c>
      <c r="G460">
        <f>Table1[[#This Row],[sleep_hours]]-Table1[[#This Row],[daily_social_media_hours]]</f>
        <v>-0.20000000000000018</v>
      </c>
      <c r="H460">
        <v>1.3</v>
      </c>
      <c r="I460">
        <v>3.86</v>
      </c>
      <c r="J460" t="str" cm="1">
        <f t="array" ref="J460">_xlfn.IFS(Table1[[#This Row],[academic_performance]]&gt;1,"Need Improvement",Table1[[#This Row],[academic_performance]]&gt;2,"Good",Table1[[#This Row],[academic_performance]]&gt;3,"Very good",Table1[[#This Row],[academic_performance]]&gt;4,"Excellent")</f>
        <v>Need Improvement</v>
      </c>
      <c r="K460">
        <v>0.9</v>
      </c>
      <c r="L460" t="str">
        <f>IF(Table1[[#This Row],[physical_activity]]&gt;1.9,"better overall ","lower rate of depression")</f>
        <v>lower rate of depression</v>
      </c>
      <c r="M460" t="s">
        <v>15</v>
      </c>
      <c r="N460">
        <v>7</v>
      </c>
      <c r="O460">
        <v>8</v>
      </c>
      <c r="P460">
        <v>4</v>
      </c>
      <c r="Q460">
        <v>0</v>
      </c>
    </row>
    <row r="461" spans="1:17" x14ac:dyDescent="0.3">
      <c r="A461">
        <v>13</v>
      </c>
      <c r="B461" t="s">
        <v>13</v>
      </c>
      <c r="C461" t="str">
        <f>IF(Table1[[#This Row],[age]]&gt;18,"Adult","Teenage")</f>
        <v>Teenage</v>
      </c>
      <c r="D461">
        <v>4.5</v>
      </c>
      <c r="E461" t="s">
        <v>20</v>
      </c>
      <c r="F461">
        <v>6.7</v>
      </c>
      <c r="G461">
        <f>Table1[[#This Row],[sleep_hours]]-Table1[[#This Row],[daily_social_media_hours]]</f>
        <v>2.2000000000000002</v>
      </c>
      <c r="H461">
        <v>2.2000000000000002</v>
      </c>
      <c r="I461">
        <v>3.73</v>
      </c>
      <c r="J461" t="str" cm="1">
        <f t="array" ref="J461">_xlfn.IFS(Table1[[#This Row],[academic_performance]]&gt;1,"Need Improvement",Table1[[#This Row],[academic_performance]]&gt;2,"Good",Table1[[#This Row],[academic_performance]]&gt;3,"Very good",Table1[[#This Row],[academic_performance]]&gt;4,"Excellent")</f>
        <v>Need Improvement</v>
      </c>
      <c r="K461">
        <v>0.3</v>
      </c>
      <c r="L461" t="str">
        <f>IF(Table1[[#This Row],[physical_activity]]&gt;1.9,"better overall ","lower rate of depression")</f>
        <v>lower rate of depression</v>
      </c>
      <c r="M461" t="s">
        <v>15</v>
      </c>
      <c r="N461">
        <v>3</v>
      </c>
      <c r="O461">
        <v>5</v>
      </c>
      <c r="P461">
        <v>10</v>
      </c>
      <c r="Q461">
        <v>0</v>
      </c>
    </row>
    <row r="462" spans="1:17" x14ac:dyDescent="0.3">
      <c r="A462">
        <v>18</v>
      </c>
      <c r="B462" t="s">
        <v>13</v>
      </c>
      <c r="C462" t="str">
        <f>IF(Table1[[#This Row],[age]]&gt;18,"Adult","Teenage")</f>
        <v>Teenage</v>
      </c>
      <c r="D462">
        <v>5.3</v>
      </c>
      <c r="E462" t="s">
        <v>20</v>
      </c>
      <c r="F462">
        <v>5.0999999999999996</v>
      </c>
      <c r="G462">
        <f>Table1[[#This Row],[sleep_hours]]-Table1[[#This Row],[daily_social_media_hours]]</f>
        <v>-0.20000000000000018</v>
      </c>
      <c r="H462">
        <v>1.2</v>
      </c>
      <c r="I462">
        <v>3.32</v>
      </c>
      <c r="J462" t="str" cm="1">
        <f t="array" ref="J462">_xlfn.IFS(Table1[[#This Row],[academic_performance]]&gt;1,"Need Improvement",Table1[[#This Row],[academic_performance]]&gt;2,"Good",Table1[[#This Row],[academic_performance]]&gt;3,"Very good",Table1[[#This Row],[academic_performance]]&gt;4,"Excellent")</f>
        <v>Need Improvement</v>
      </c>
      <c r="K462">
        <v>1.8</v>
      </c>
      <c r="L462" t="str">
        <f>IF(Table1[[#This Row],[physical_activity]]&gt;1.9,"better overall ","lower rate of depression")</f>
        <v>lower rate of depression</v>
      </c>
      <c r="M462" t="s">
        <v>15</v>
      </c>
      <c r="N462">
        <v>7</v>
      </c>
      <c r="O462">
        <v>3</v>
      </c>
      <c r="P462">
        <v>8</v>
      </c>
      <c r="Q462">
        <v>0</v>
      </c>
    </row>
    <row r="463" spans="1:17" x14ac:dyDescent="0.3">
      <c r="A463">
        <v>13</v>
      </c>
      <c r="B463" t="s">
        <v>13</v>
      </c>
      <c r="C463" t="str">
        <f>IF(Table1[[#This Row],[age]]&gt;18,"Adult","Teenage")</f>
        <v>Teenage</v>
      </c>
      <c r="D463">
        <v>5.2</v>
      </c>
      <c r="E463" t="s">
        <v>17</v>
      </c>
      <c r="F463">
        <v>6.7</v>
      </c>
      <c r="G463">
        <f>Table1[[#This Row],[sleep_hours]]-Table1[[#This Row],[daily_social_media_hours]]</f>
        <v>1.5</v>
      </c>
      <c r="H463">
        <v>2.5</v>
      </c>
      <c r="I463">
        <v>3.82</v>
      </c>
      <c r="J463" t="str" cm="1">
        <f t="array" ref="J463">_xlfn.IFS(Table1[[#This Row],[academic_performance]]&gt;1,"Need Improvement",Table1[[#This Row],[academic_performance]]&gt;2,"Good",Table1[[#This Row],[academic_performance]]&gt;3,"Very good",Table1[[#This Row],[academic_performance]]&gt;4,"Excellent")</f>
        <v>Need Improvement</v>
      </c>
      <c r="K463">
        <v>0.9</v>
      </c>
      <c r="L463" t="str">
        <f>IF(Table1[[#This Row],[physical_activity]]&gt;1.9,"better overall ","lower rate of depression")</f>
        <v>lower rate of depression</v>
      </c>
      <c r="M463" t="s">
        <v>19</v>
      </c>
      <c r="N463">
        <v>8</v>
      </c>
      <c r="O463">
        <v>8</v>
      </c>
      <c r="P463">
        <v>6</v>
      </c>
      <c r="Q463">
        <v>0</v>
      </c>
    </row>
    <row r="464" spans="1:17" x14ac:dyDescent="0.3">
      <c r="A464">
        <v>13</v>
      </c>
      <c r="B464" t="s">
        <v>13</v>
      </c>
      <c r="C464" t="str">
        <f>IF(Table1[[#This Row],[age]]&gt;18,"Adult","Teenage")</f>
        <v>Teenage</v>
      </c>
      <c r="D464">
        <v>7.9</v>
      </c>
      <c r="E464" t="s">
        <v>17</v>
      </c>
      <c r="F464">
        <v>6</v>
      </c>
      <c r="G464">
        <f>Table1[[#This Row],[sleep_hours]]-Table1[[#This Row],[daily_social_media_hours]]</f>
        <v>-1.9000000000000004</v>
      </c>
      <c r="H464">
        <v>2.7</v>
      </c>
      <c r="I464">
        <v>2.85</v>
      </c>
      <c r="J464" t="str" cm="1">
        <f t="array" ref="J464">_xlfn.IFS(Table1[[#This Row],[academic_performance]]&gt;1,"Need Improvement",Table1[[#This Row],[academic_performance]]&gt;2,"Good",Table1[[#This Row],[academic_performance]]&gt;3,"Very good",Table1[[#This Row],[academic_performance]]&gt;4,"Excellent")</f>
        <v>Need Improvement</v>
      </c>
      <c r="K464">
        <v>0.3</v>
      </c>
      <c r="L464" t="str">
        <f>IF(Table1[[#This Row],[physical_activity]]&gt;1.9,"better overall ","lower rate of depression")</f>
        <v>lower rate of depression</v>
      </c>
      <c r="M464" t="s">
        <v>15</v>
      </c>
      <c r="N464">
        <v>9</v>
      </c>
      <c r="O464">
        <v>10</v>
      </c>
      <c r="P464">
        <v>3</v>
      </c>
      <c r="Q464">
        <v>0</v>
      </c>
    </row>
    <row r="465" spans="1:17" x14ac:dyDescent="0.3">
      <c r="A465">
        <v>19</v>
      </c>
      <c r="B465" t="s">
        <v>13</v>
      </c>
      <c r="C465" t="str">
        <f>IF(Table1[[#This Row],[age]]&gt;18,"Adult","Teenage")</f>
        <v>Adult</v>
      </c>
      <c r="D465">
        <v>6.9</v>
      </c>
      <c r="E465" t="s">
        <v>17</v>
      </c>
      <c r="F465">
        <v>8.5</v>
      </c>
      <c r="G465">
        <f>Table1[[#This Row],[sleep_hours]]-Table1[[#This Row],[daily_social_media_hours]]</f>
        <v>1.5999999999999996</v>
      </c>
      <c r="H465">
        <v>1.5</v>
      </c>
      <c r="I465">
        <v>3.55</v>
      </c>
      <c r="J465" t="str" cm="1">
        <f t="array" ref="J465">_xlfn.IFS(Table1[[#This Row],[academic_performance]]&gt;1,"Need Improvement",Table1[[#This Row],[academic_performance]]&gt;2,"Good",Table1[[#This Row],[academic_performance]]&gt;3,"Very good",Table1[[#This Row],[academic_performance]]&gt;4,"Excellent")</f>
        <v>Need Improvement</v>
      </c>
      <c r="K465">
        <v>1.3</v>
      </c>
      <c r="L465" t="str">
        <f>IF(Table1[[#This Row],[physical_activity]]&gt;1.9,"better overall ","lower rate of depression")</f>
        <v>lower rate of depression</v>
      </c>
      <c r="M465" t="s">
        <v>15</v>
      </c>
      <c r="N465">
        <v>5</v>
      </c>
      <c r="O465">
        <v>6</v>
      </c>
      <c r="P465">
        <v>1</v>
      </c>
      <c r="Q465">
        <v>0</v>
      </c>
    </row>
    <row r="466" spans="1:17" x14ac:dyDescent="0.3">
      <c r="A466">
        <v>17</v>
      </c>
      <c r="B466" t="s">
        <v>16</v>
      </c>
      <c r="C466" t="str">
        <f>IF(Table1[[#This Row],[age]]&gt;18,"Adult","Teenage")</f>
        <v>Teenage</v>
      </c>
      <c r="D466">
        <v>5.8</v>
      </c>
      <c r="E466" t="s">
        <v>14</v>
      </c>
      <c r="F466">
        <v>4.0999999999999996</v>
      </c>
      <c r="G466">
        <f>Table1[[#This Row],[sleep_hours]]-Table1[[#This Row],[daily_social_media_hours]]</f>
        <v>-1.7000000000000002</v>
      </c>
      <c r="H466">
        <v>2.9</v>
      </c>
      <c r="I466">
        <v>2.33</v>
      </c>
      <c r="J466" t="str" cm="1">
        <f t="array" ref="J466">_xlfn.IFS(Table1[[#This Row],[academic_performance]]&gt;1,"Need Improvement",Table1[[#This Row],[academic_performance]]&gt;2,"Good",Table1[[#This Row],[academic_performance]]&gt;3,"Very good",Table1[[#This Row],[academic_performance]]&gt;4,"Excellent")</f>
        <v>Need Improvement</v>
      </c>
      <c r="K466">
        <v>0.4</v>
      </c>
      <c r="L466" t="str">
        <f>IF(Table1[[#This Row],[physical_activity]]&gt;1.9,"better overall ","lower rate of depression")</f>
        <v>lower rate of depression</v>
      </c>
      <c r="M466" t="s">
        <v>18</v>
      </c>
      <c r="N466">
        <v>9</v>
      </c>
      <c r="O466">
        <v>6</v>
      </c>
      <c r="P466">
        <v>8</v>
      </c>
      <c r="Q466">
        <v>0</v>
      </c>
    </row>
    <row r="467" spans="1:17" x14ac:dyDescent="0.3">
      <c r="A467">
        <v>19</v>
      </c>
      <c r="B467" t="s">
        <v>13</v>
      </c>
      <c r="C467" t="str">
        <f>IF(Table1[[#This Row],[age]]&gt;18,"Adult","Teenage")</f>
        <v>Adult</v>
      </c>
      <c r="D467">
        <v>7</v>
      </c>
      <c r="E467" t="s">
        <v>14</v>
      </c>
      <c r="F467">
        <v>8.3000000000000007</v>
      </c>
      <c r="G467">
        <f>Table1[[#This Row],[sleep_hours]]-Table1[[#This Row],[daily_social_media_hours]]</f>
        <v>1.3000000000000007</v>
      </c>
      <c r="H467">
        <v>2.1</v>
      </c>
      <c r="I467">
        <v>3.09</v>
      </c>
      <c r="J467" t="str" cm="1">
        <f t="array" ref="J467">_xlfn.IFS(Table1[[#This Row],[academic_performance]]&gt;1,"Need Improvement",Table1[[#This Row],[academic_performance]]&gt;2,"Good",Table1[[#This Row],[academic_performance]]&gt;3,"Very good",Table1[[#This Row],[academic_performance]]&gt;4,"Excellent")</f>
        <v>Need Improvement</v>
      </c>
      <c r="K467">
        <v>1.5</v>
      </c>
      <c r="L467" t="str">
        <f>IF(Table1[[#This Row],[physical_activity]]&gt;1.9,"better overall ","lower rate of depression")</f>
        <v>lower rate of depression</v>
      </c>
      <c r="M467" t="s">
        <v>15</v>
      </c>
      <c r="N467">
        <v>9</v>
      </c>
      <c r="O467">
        <v>7</v>
      </c>
      <c r="P467">
        <v>3</v>
      </c>
      <c r="Q467">
        <v>0</v>
      </c>
    </row>
    <row r="468" spans="1:17" x14ac:dyDescent="0.3">
      <c r="A468">
        <v>14</v>
      </c>
      <c r="B468" t="s">
        <v>16</v>
      </c>
      <c r="C468" t="str">
        <f>IF(Table1[[#This Row],[age]]&gt;18,"Adult","Teenage")</f>
        <v>Teenage</v>
      </c>
      <c r="D468">
        <v>3</v>
      </c>
      <c r="E468" t="s">
        <v>17</v>
      </c>
      <c r="F468">
        <v>8.3000000000000007</v>
      </c>
      <c r="G468">
        <f>Table1[[#This Row],[sleep_hours]]-Table1[[#This Row],[daily_social_media_hours]]</f>
        <v>5.3000000000000007</v>
      </c>
      <c r="H468">
        <v>2.7</v>
      </c>
      <c r="I468">
        <v>3.9</v>
      </c>
      <c r="J468" t="str" cm="1">
        <f t="array" ref="J468">_xlfn.IFS(Table1[[#This Row],[academic_performance]]&gt;1,"Need Improvement",Table1[[#This Row],[academic_performance]]&gt;2,"Good",Table1[[#This Row],[academic_performance]]&gt;3,"Very good",Table1[[#This Row],[academic_performance]]&gt;4,"Excellent")</f>
        <v>Need Improvement</v>
      </c>
      <c r="K468">
        <v>0.7</v>
      </c>
      <c r="L468" t="str">
        <f>IF(Table1[[#This Row],[physical_activity]]&gt;1.9,"better overall ","lower rate of depression")</f>
        <v>lower rate of depression</v>
      </c>
      <c r="M468" t="s">
        <v>18</v>
      </c>
      <c r="N468">
        <v>3</v>
      </c>
      <c r="O468">
        <v>1</v>
      </c>
      <c r="P468">
        <v>5</v>
      </c>
      <c r="Q468">
        <v>0</v>
      </c>
    </row>
    <row r="469" spans="1:17" x14ac:dyDescent="0.3">
      <c r="A469">
        <v>18</v>
      </c>
      <c r="B469" t="s">
        <v>13</v>
      </c>
      <c r="C469" t="str">
        <f>IF(Table1[[#This Row],[age]]&gt;18,"Adult","Teenage")</f>
        <v>Teenage</v>
      </c>
      <c r="D469">
        <v>6.3</v>
      </c>
      <c r="E469" t="s">
        <v>20</v>
      </c>
      <c r="F469">
        <v>7.9</v>
      </c>
      <c r="G469">
        <f>Table1[[#This Row],[sleep_hours]]-Table1[[#This Row],[daily_social_media_hours]]</f>
        <v>1.6000000000000005</v>
      </c>
      <c r="H469">
        <v>1.7</v>
      </c>
      <c r="I469">
        <v>2.85</v>
      </c>
      <c r="J469" t="str" cm="1">
        <f t="array" ref="J469">_xlfn.IFS(Table1[[#This Row],[academic_performance]]&gt;1,"Need Improvement",Table1[[#This Row],[academic_performance]]&gt;2,"Good",Table1[[#This Row],[academic_performance]]&gt;3,"Very good",Table1[[#This Row],[academic_performance]]&gt;4,"Excellent")</f>
        <v>Need Improvement</v>
      </c>
      <c r="K469">
        <v>0.3</v>
      </c>
      <c r="L469" t="str">
        <f>IF(Table1[[#This Row],[physical_activity]]&gt;1.9,"better overall ","lower rate of depression")</f>
        <v>lower rate of depression</v>
      </c>
      <c r="M469" t="s">
        <v>19</v>
      </c>
      <c r="N469">
        <v>1</v>
      </c>
      <c r="O469">
        <v>1</v>
      </c>
      <c r="P469">
        <v>2</v>
      </c>
      <c r="Q469">
        <v>0</v>
      </c>
    </row>
    <row r="470" spans="1:17" x14ac:dyDescent="0.3">
      <c r="A470">
        <v>17</v>
      </c>
      <c r="B470" t="s">
        <v>16</v>
      </c>
      <c r="C470" t="str">
        <f>IF(Table1[[#This Row],[age]]&gt;18,"Adult","Teenage")</f>
        <v>Teenage</v>
      </c>
      <c r="D470">
        <v>5.5</v>
      </c>
      <c r="E470" t="s">
        <v>14</v>
      </c>
      <c r="F470">
        <v>4.9000000000000004</v>
      </c>
      <c r="G470">
        <f>Table1[[#This Row],[sleep_hours]]-Table1[[#This Row],[daily_social_media_hours]]</f>
        <v>-0.59999999999999964</v>
      </c>
      <c r="H470">
        <v>2.6</v>
      </c>
      <c r="I470">
        <v>3.64</v>
      </c>
      <c r="J470" t="str" cm="1">
        <f t="array" ref="J470">_xlfn.IFS(Table1[[#This Row],[academic_performance]]&gt;1,"Need Improvement",Table1[[#This Row],[academic_performance]]&gt;2,"Good",Table1[[#This Row],[academic_performance]]&gt;3,"Very good",Table1[[#This Row],[academic_performance]]&gt;4,"Excellent")</f>
        <v>Need Improvement</v>
      </c>
      <c r="K470">
        <v>0.8</v>
      </c>
      <c r="L470" t="str">
        <f>IF(Table1[[#This Row],[physical_activity]]&gt;1.9,"better overall ","lower rate of depression")</f>
        <v>lower rate of depression</v>
      </c>
      <c r="M470" t="s">
        <v>19</v>
      </c>
      <c r="N470">
        <v>6</v>
      </c>
      <c r="O470">
        <v>8</v>
      </c>
      <c r="P470">
        <v>3</v>
      </c>
      <c r="Q470">
        <v>0</v>
      </c>
    </row>
    <row r="471" spans="1:17" x14ac:dyDescent="0.3">
      <c r="A471">
        <v>17</v>
      </c>
      <c r="B471" t="s">
        <v>16</v>
      </c>
      <c r="C471" t="str">
        <f>IF(Table1[[#This Row],[age]]&gt;18,"Adult","Teenage")</f>
        <v>Teenage</v>
      </c>
      <c r="D471">
        <v>2.2000000000000002</v>
      </c>
      <c r="E471" t="s">
        <v>20</v>
      </c>
      <c r="F471">
        <v>7.5</v>
      </c>
      <c r="G471">
        <f>Table1[[#This Row],[sleep_hours]]-Table1[[#This Row],[daily_social_media_hours]]</f>
        <v>5.3</v>
      </c>
      <c r="H471">
        <v>2.2000000000000002</v>
      </c>
      <c r="I471">
        <v>2.95</v>
      </c>
      <c r="J471" t="str" cm="1">
        <f t="array" ref="J471">_xlfn.IFS(Table1[[#This Row],[academic_performance]]&gt;1,"Need Improvement",Table1[[#This Row],[academic_performance]]&gt;2,"Good",Table1[[#This Row],[academic_performance]]&gt;3,"Very good",Table1[[#This Row],[academic_performance]]&gt;4,"Excellent")</f>
        <v>Need Improvement</v>
      </c>
      <c r="K471">
        <v>1.6</v>
      </c>
      <c r="L471" t="str">
        <f>IF(Table1[[#This Row],[physical_activity]]&gt;1.9,"better overall ","lower rate of depression")</f>
        <v>lower rate of depression</v>
      </c>
      <c r="M471" t="s">
        <v>15</v>
      </c>
      <c r="N471">
        <v>9</v>
      </c>
      <c r="O471">
        <v>7</v>
      </c>
      <c r="P471">
        <v>4</v>
      </c>
      <c r="Q471">
        <v>0</v>
      </c>
    </row>
    <row r="472" spans="1:17" x14ac:dyDescent="0.3">
      <c r="A472">
        <v>14</v>
      </c>
      <c r="B472" t="s">
        <v>13</v>
      </c>
      <c r="C472" t="str">
        <f>IF(Table1[[#This Row],[age]]&gt;18,"Adult","Teenage")</f>
        <v>Teenage</v>
      </c>
      <c r="D472">
        <v>1.4</v>
      </c>
      <c r="E472" t="s">
        <v>20</v>
      </c>
      <c r="F472">
        <v>4.5</v>
      </c>
      <c r="G472">
        <f>Table1[[#This Row],[sleep_hours]]-Table1[[#This Row],[daily_social_media_hours]]</f>
        <v>3.1</v>
      </c>
      <c r="H472">
        <v>1.4</v>
      </c>
      <c r="I472">
        <v>3.17</v>
      </c>
      <c r="J472" t="str" cm="1">
        <f t="array" ref="J472">_xlfn.IFS(Table1[[#This Row],[academic_performance]]&gt;1,"Need Improvement",Table1[[#This Row],[academic_performance]]&gt;2,"Good",Table1[[#This Row],[academic_performance]]&gt;3,"Very good",Table1[[#This Row],[academic_performance]]&gt;4,"Excellent")</f>
        <v>Need Improvement</v>
      </c>
      <c r="K472">
        <v>1.7</v>
      </c>
      <c r="L472" t="str">
        <f>IF(Table1[[#This Row],[physical_activity]]&gt;1.9,"better overall ","lower rate of depression")</f>
        <v>lower rate of depression</v>
      </c>
      <c r="M472" t="s">
        <v>18</v>
      </c>
      <c r="N472">
        <v>9</v>
      </c>
      <c r="O472">
        <v>10</v>
      </c>
      <c r="P472">
        <v>9</v>
      </c>
      <c r="Q472">
        <v>0</v>
      </c>
    </row>
    <row r="473" spans="1:17" x14ac:dyDescent="0.3">
      <c r="A473">
        <v>18</v>
      </c>
      <c r="B473" t="s">
        <v>13</v>
      </c>
      <c r="C473" t="str">
        <f>IF(Table1[[#This Row],[age]]&gt;18,"Adult","Teenage")</f>
        <v>Teenage</v>
      </c>
      <c r="D473">
        <v>4.5</v>
      </c>
      <c r="E473" t="s">
        <v>14</v>
      </c>
      <c r="F473">
        <v>4.4000000000000004</v>
      </c>
      <c r="G473">
        <f>Table1[[#This Row],[sleep_hours]]-Table1[[#This Row],[daily_social_media_hours]]</f>
        <v>-9.9999999999999645E-2</v>
      </c>
      <c r="H473">
        <v>1.9</v>
      </c>
      <c r="I473">
        <v>2.2599999999999998</v>
      </c>
      <c r="J473" t="str" cm="1">
        <f t="array" ref="J473">_xlfn.IFS(Table1[[#This Row],[academic_performance]]&gt;1,"Need Improvement",Table1[[#This Row],[academic_performance]]&gt;2,"Good",Table1[[#This Row],[academic_performance]]&gt;3,"Very good",Table1[[#This Row],[academic_performance]]&gt;4,"Excellent")</f>
        <v>Need Improvement</v>
      </c>
      <c r="K473">
        <v>0</v>
      </c>
      <c r="L473" t="str">
        <f>IF(Table1[[#This Row],[physical_activity]]&gt;1.9,"better overall ","lower rate of depression")</f>
        <v>lower rate of depression</v>
      </c>
      <c r="M473" t="s">
        <v>15</v>
      </c>
      <c r="N473">
        <v>7</v>
      </c>
      <c r="O473">
        <v>8</v>
      </c>
      <c r="P473">
        <v>10</v>
      </c>
      <c r="Q473">
        <v>0</v>
      </c>
    </row>
    <row r="474" spans="1:17" x14ac:dyDescent="0.3">
      <c r="A474">
        <v>14</v>
      </c>
      <c r="B474" t="s">
        <v>16</v>
      </c>
      <c r="C474" t="str">
        <f>IF(Table1[[#This Row],[age]]&gt;18,"Adult","Teenage")</f>
        <v>Teenage</v>
      </c>
      <c r="D474">
        <v>6.1</v>
      </c>
      <c r="E474" t="s">
        <v>14</v>
      </c>
      <c r="F474">
        <v>5.7</v>
      </c>
      <c r="G474">
        <f>Table1[[#This Row],[sleep_hours]]-Table1[[#This Row],[daily_social_media_hours]]</f>
        <v>-0.39999999999999947</v>
      </c>
      <c r="H474">
        <v>2</v>
      </c>
      <c r="I474">
        <v>3.9</v>
      </c>
      <c r="J474" t="str" cm="1">
        <f t="array" ref="J474">_xlfn.IFS(Table1[[#This Row],[academic_performance]]&gt;1,"Need Improvement",Table1[[#This Row],[academic_performance]]&gt;2,"Good",Table1[[#This Row],[academic_performance]]&gt;3,"Very good",Table1[[#This Row],[academic_performance]]&gt;4,"Excellent")</f>
        <v>Need Improvement</v>
      </c>
      <c r="K474">
        <v>1</v>
      </c>
      <c r="L474" t="str">
        <f>IF(Table1[[#This Row],[physical_activity]]&gt;1.9,"better overall ","lower rate of depression")</f>
        <v>lower rate of depression</v>
      </c>
      <c r="M474" t="s">
        <v>15</v>
      </c>
      <c r="N474">
        <v>8</v>
      </c>
      <c r="O474">
        <v>4</v>
      </c>
      <c r="P474">
        <v>6</v>
      </c>
      <c r="Q474">
        <v>0</v>
      </c>
    </row>
    <row r="475" spans="1:17" x14ac:dyDescent="0.3">
      <c r="A475">
        <v>17</v>
      </c>
      <c r="B475" t="s">
        <v>13</v>
      </c>
      <c r="C475" t="str">
        <f>IF(Table1[[#This Row],[age]]&gt;18,"Adult","Teenage")</f>
        <v>Teenage</v>
      </c>
      <c r="D475">
        <v>3.3</v>
      </c>
      <c r="E475" t="s">
        <v>17</v>
      </c>
      <c r="F475">
        <v>5.7</v>
      </c>
      <c r="G475">
        <f>Table1[[#This Row],[sleep_hours]]-Table1[[#This Row],[daily_social_media_hours]]</f>
        <v>2.4000000000000004</v>
      </c>
      <c r="H475">
        <v>2</v>
      </c>
      <c r="I475">
        <v>3.71</v>
      </c>
      <c r="J475" t="str" cm="1">
        <f t="array" ref="J475">_xlfn.IFS(Table1[[#This Row],[academic_performance]]&gt;1,"Need Improvement",Table1[[#This Row],[academic_performance]]&gt;2,"Good",Table1[[#This Row],[academic_performance]]&gt;3,"Very good",Table1[[#This Row],[academic_performance]]&gt;4,"Excellent")</f>
        <v>Need Improvement</v>
      </c>
      <c r="K475">
        <v>0.1</v>
      </c>
      <c r="L475" t="str">
        <f>IF(Table1[[#This Row],[physical_activity]]&gt;1.9,"better overall ","lower rate of depression")</f>
        <v>lower rate of depression</v>
      </c>
      <c r="M475" t="s">
        <v>15</v>
      </c>
      <c r="N475">
        <v>6</v>
      </c>
      <c r="O475">
        <v>6</v>
      </c>
      <c r="P475">
        <v>8</v>
      </c>
      <c r="Q475">
        <v>0</v>
      </c>
    </row>
    <row r="476" spans="1:17" x14ac:dyDescent="0.3">
      <c r="A476">
        <v>15</v>
      </c>
      <c r="B476" t="s">
        <v>13</v>
      </c>
      <c r="C476" t="str">
        <f>IF(Table1[[#This Row],[age]]&gt;18,"Adult","Teenage")</f>
        <v>Teenage</v>
      </c>
      <c r="D476">
        <v>5.2</v>
      </c>
      <c r="E476" t="s">
        <v>20</v>
      </c>
      <c r="F476">
        <v>5.6</v>
      </c>
      <c r="G476">
        <f>Table1[[#This Row],[sleep_hours]]-Table1[[#This Row],[daily_social_media_hours]]</f>
        <v>0.39999999999999947</v>
      </c>
      <c r="H476">
        <v>1.1000000000000001</v>
      </c>
      <c r="I476">
        <v>2.88</v>
      </c>
      <c r="J476" t="str" cm="1">
        <f t="array" ref="J476">_xlfn.IFS(Table1[[#This Row],[academic_performance]]&gt;1,"Need Improvement",Table1[[#This Row],[academic_performance]]&gt;2,"Good",Table1[[#This Row],[academic_performance]]&gt;3,"Very good",Table1[[#This Row],[academic_performance]]&gt;4,"Excellent")</f>
        <v>Need Improvement</v>
      </c>
      <c r="K476">
        <v>0.1</v>
      </c>
      <c r="L476" t="str">
        <f>IF(Table1[[#This Row],[physical_activity]]&gt;1.9,"better overall ","lower rate of depression")</f>
        <v>lower rate of depression</v>
      </c>
      <c r="M476" t="s">
        <v>19</v>
      </c>
      <c r="N476">
        <v>4</v>
      </c>
      <c r="O476">
        <v>8</v>
      </c>
      <c r="P476">
        <v>7</v>
      </c>
      <c r="Q476">
        <v>0</v>
      </c>
    </row>
    <row r="477" spans="1:17" x14ac:dyDescent="0.3">
      <c r="A477">
        <v>18</v>
      </c>
      <c r="B477" t="s">
        <v>13</v>
      </c>
      <c r="C477" t="str">
        <f>IF(Table1[[#This Row],[age]]&gt;18,"Adult","Teenage")</f>
        <v>Teenage</v>
      </c>
      <c r="D477">
        <v>5</v>
      </c>
      <c r="E477" t="s">
        <v>20</v>
      </c>
      <c r="F477">
        <v>5.8</v>
      </c>
      <c r="G477">
        <f>Table1[[#This Row],[sleep_hours]]-Table1[[#This Row],[daily_social_media_hours]]</f>
        <v>0.79999999999999982</v>
      </c>
      <c r="H477">
        <v>1.3</v>
      </c>
      <c r="I477">
        <v>2.12</v>
      </c>
      <c r="J477" t="str" cm="1">
        <f t="array" ref="J477">_xlfn.IFS(Table1[[#This Row],[academic_performance]]&gt;1,"Need Improvement",Table1[[#This Row],[academic_performance]]&gt;2,"Good",Table1[[#This Row],[academic_performance]]&gt;3,"Very good",Table1[[#This Row],[academic_performance]]&gt;4,"Excellent")</f>
        <v>Need Improvement</v>
      </c>
      <c r="K477">
        <v>0.1</v>
      </c>
      <c r="L477" t="str">
        <f>IF(Table1[[#This Row],[physical_activity]]&gt;1.9,"better overall ","lower rate of depression")</f>
        <v>lower rate of depression</v>
      </c>
      <c r="M477" t="s">
        <v>15</v>
      </c>
      <c r="N477">
        <v>1</v>
      </c>
      <c r="O477">
        <v>9</v>
      </c>
      <c r="P477">
        <v>2</v>
      </c>
      <c r="Q477">
        <v>0</v>
      </c>
    </row>
    <row r="478" spans="1:17" x14ac:dyDescent="0.3">
      <c r="A478">
        <v>17</v>
      </c>
      <c r="B478" t="s">
        <v>16</v>
      </c>
      <c r="C478" t="str">
        <f>IF(Table1[[#This Row],[age]]&gt;18,"Adult","Teenage")</f>
        <v>Teenage</v>
      </c>
      <c r="D478">
        <v>1.8</v>
      </c>
      <c r="E478" t="s">
        <v>17</v>
      </c>
      <c r="F478">
        <v>5.9</v>
      </c>
      <c r="G478">
        <f>Table1[[#This Row],[sleep_hours]]-Table1[[#This Row],[daily_social_media_hours]]</f>
        <v>4.1000000000000005</v>
      </c>
      <c r="H478">
        <v>1.9</v>
      </c>
      <c r="I478">
        <v>2.89</v>
      </c>
      <c r="J478" t="str" cm="1">
        <f t="array" ref="J478">_xlfn.IFS(Table1[[#This Row],[academic_performance]]&gt;1,"Need Improvement",Table1[[#This Row],[academic_performance]]&gt;2,"Good",Table1[[#This Row],[academic_performance]]&gt;3,"Very good",Table1[[#This Row],[academic_performance]]&gt;4,"Excellent")</f>
        <v>Need Improvement</v>
      </c>
      <c r="K478">
        <v>0.6</v>
      </c>
      <c r="L478" t="str">
        <f>IF(Table1[[#This Row],[physical_activity]]&gt;1.9,"better overall ","lower rate of depression")</f>
        <v>lower rate of depression</v>
      </c>
      <c r="M478" t="s">
        <v>15</v>
      </c>
      <c r="N478">
        <v>8</v>
      </c>
      <c r="O478">
        <v>8</v>
      </c>
      <c r="P478">
        <v>5</v>
      </c>
      <c r="Q478">
        <v>0</v>
      </c>
    </row>
    <row r="479" spans="1:17" x14ac:dyDescent="0.3">
      <c r="A479">
        <v>13</v>
      </c>
      <c r="B479" t="s">
        <v>13</v>
      </c>
      <c r="C479" t="str">
        <f>IF(Table1[[#This Row],[age]]&gt;18,"Adult","Teenage")</f>
        <v>Teenage</v>
      </c>
      <c r="D479">
        <v>2.2999999999999998</v>
      </c>
      <c r="E479" t="s">
        <v>17</v>
      </c>
      <c r="F479">
        <v>4.5</v>
      </c>
      <c r="G479">
        <f>Table1[[#This Row],[sleep_hours]]-Table1[[#This Row],[daily_social_media_hours]]</f>
        <v>2.2000000000000002</v>
      </c>
      <c r="H479">
        <v>0.7</v>
      </c>
      <c r="I479">
        <v>2.71</v>
      </c>
      <c r="J479" t="str" cm="1">
        <f t="array" ref="J479">_xlfn.IFS(Table1[[#This Row],[academic_performance]]&gt;1,"Need Improvement",Table1[[#This Row],[academic_performance]]&gt;2,"Good",Table1[[#This Row],[academic_performance]]&gt;3,"Very good",Table1[[#This Row],[academic_performance]]&gt;4,"Excellent")</f>
        <v>Need Improvement</v>
      </c>
      <c r="K479">
        <v>0.2</v>
      </c>
      <c r="L479" t="str">
        <f>IF(Table1[[#This Row],[physical_activity]]&gt;1.9,"better overall ","lower rate of depression")</f>
        <v>lower rate of depression</v>
      </c>
      <c r="M479" t="s">
        <v>15</v>
      </c>
      <c r="N479">
        <v>6</v>
      </c>
      <c r="O479">
        <v>3</v>
      </c>
      <c r="P479">
        <v>7</v>
      </c>
      <c r="Q479">
        <v>0</v>
      </c>
    </row>
    <row r="480" spans="1:17" x14ac:dyDescent="0.3">
      <c r="A480">
        <v>14</v>
      </c>
      <c r="B480" t="s">
        <v>13</v>
      </c>
      <c r="C480" t="str">
        <f>IF(Table1[[#This Row],[age]]&gt;18,"Adult","Teenage")</f>
        <v>Teenage</v>
      </c>
      <c r="D480">
        <v>2.7</v>
      </c>
      <c r="E480" t="s">
        <v>20</v>
      </c>
      <c r="F480">
        <v>6.3</v>
      </c>
      <c r="G480">
        <f>Table1[[#This Row],[sleep_hours]]-Table1[[#This Row],[daily_social_media_hours]]</f>
        <v>3.5999999999999996</v>
      </c>
      <c r="H480">
        <v>0.6</v>
      </c>
      <c r="I480">
        <v>3.88</v>
      </c>
      <c r="J480" t="str" cm="1">
        <f t="array" ref="J480">_xlfn.IFS(Table1[[#This Row],[academic_performance]]&gt;1,"Need Improvement",Table1[[#This Row],[academic_performance]]&gt;2,"Good",Table1[[#This Row],[academic_performance]]&gt;3,"Very good",Table1[[#This Row],[academic_performance]]&gt;4,"Excellent")</f>
        <v>Need Improvement</v>
      </c>
      <c r="K480">
        <v>0.3</v>
      </c>
      <c r="L480" t="str">
        <f>IF(Table1[[#This Row],[physical_activity]]&gt;1.9,"better overall ","lower rate of depression")</f>
        <v>lower rate of depression</v>
      </c>
      <c r="M480" t="s">
        <v>19</v>
      </c>
      <c r="N480">
        <v>6</v>
      </c>
      <c r="O480">
        <v>6</v>
      </c>
      <c r="P480">
        <v>6</v>
      </c>
      <c r="Q480">
        <v>0</v>
      </c>
    </row>
    <row r="481" spans="1:17" x14ac:dyDescent="0.3">
      <c r="A481">
        <v>16</v>
      </c>
      <c r="B481" t="s">
        <v>13</v>
      </c>
      <c r="C481" t="str">
        <f>IF(Table1[[#This Row],[age]]&gt;18,"Adult","Teenage")</f>
        <v>Teenage</v>
      </c>
      <c r="D481">
        <v>7.4</v>
      </c>
      <c r="E481" t="s">
        <v>17</v>
      </c>
      <c r="F481">
        <v>7.5</v>
      </c>
      <c r="G481">
        <f>Table1[[#This Row],[sleep_hours]]-Table1[[#This Row],[daily_social_media_hours]]</f>
        <v>9.9999999999999645E-2</v>
      </c>
      <c r="H481">
        <v>1.7</v>
      </c>
      <c r="I481">
        <v>3.16</v>
      </c>
      <c r="J481" t="str" cm="1">
        <f t="array" ref="J481">_xlfn.IFS(Table1[[#This Row],[academic_performance]]&gt;1,"Need Improvement",Table1[[#This Row],[academic_performance]]&gt;2,"Good",Table1[[#This Row],[academic_performance]]&gt;3,"Very good",Table1[[#This Row],[academic_performance]]&gt;4,"Excellent")</f>
        <v>Need Improvement</v>
      </c>
      <c r="K481">
        <v>1.8</v>
      </c>
      <c r="L481" t="str">
        <f>IF(Table1[[#This Row],[physical_activity]]&gt;1.9,"better overall ","lower rate of depression")</f>
        <v>lower rate of depression</v>
      </c>
      <c r="M481" t="s">
        <v>19</v>
      </c>
      <c r="N481">
        <v>2</v>
      </c>
      <c r="O481">
        <v>3</v>
      </c>
      <c r="P481">
        <v>2</v>
      </c>
      <c r="Q481">
        <v>0</v>
      </c>
    </row>
    <row r="482" spans="1:17" x14ac:dyDescent="0.3">
      <c r="A482">
        <v>15</v>
      </c>
      <c r="B482" t="s">
        <v>13</v>
      </c>
      <c r="C482" t="str">
        <f>IF(Table1[[#This Row],[age]]&gt;18,"Adult","Teenage")</f>
        <v>Teenage</v>
      </c>
      <c r="D482">
        <v>6.2</v>
      </c>
      <c r="E482" t="s">
        <v>17</v>
      </c>
      <c r="F482">
        <v>4.5999999999999996</v>
      </c>
      <c r="G482">
        <f>Table1[[#This Row],[sleep_hours]]-Table1[[#This Row],[daily_social_media_hours]]</f>
        <v>-1.6000000000000005</v>
      </c>
      <c r="H482">
        <v>1.1000000000000001</v>
      </c>
      <c r="I482">
        <v>2.94</v>
      </c>
      <c r="J482" t="str" cm="1">
        <f t="array" ref="J482">_xlfn.IFS(Table1[[#This Row],[academic_performance]]&gt;1,"Need Improvement",Table1[[#This Row],[academic_performance]]&gt;2,"Good",Table1[[#This Row],[academic_performance]]&gt;3,"Very good",Table1[[#This Row],[academic_performance]]&gt;4,"Excellent")</f>
        <v>Need Improvement</v>
      </c>
      <c r="K482">
        <v>1.8</v>
      </c>
      <c r="L482" t="str">
        <f>IF(Table1[[#This Row],[physical_activity]]&gt;1.9,"better overall ","lower rate of depression")</f>
        <v>lower rate of depression</v>
      </c>
      <c r="M482" t="s">
        <v>18</v>
      </c>
      <c r="N482">
        <v>4</v>
      </c>
      <c r="O482">
        <v>2</v>
      </c>
      <c r="P482">
        <v>3</v>
      </c>
      <c r="Q482">
        <v>0</v>
      </c>
    </row>
    <row r="483" spans="1:17" x14ac:dyDescent="0.3">
      <c r="A483">
        <v>16</v>
      </c>
      <c r="B483" t="s">
        <v>13</v>
      </c>
      <c r="C483" t="str">
        <f>IF(Table1[[#This Row],[age]]&gt;18,"Adult","Teenage")</f>
        <v>Teenage</v>
      </c>
      <c r="D483">
        <v>2.2999999999999998</v>
      </c>
      <c r="E483" t="s">
        <v>17</v>
      </c>
      <c r="F483">
        <v>8.8000000000000007</v>
      </c>
      <c r="G483">
        <f>Table1[[#This Row],[sleep_hours]]-Table1[[#This Row],[daily_social_media_hours]]</f>
        <v>6.5000000000000009</v>
      </c>
      <c r="H483">
        <v>1</v>
      </c>
      <c r="I483">
        <v>2.5099999999999998</v>
      </c>
      <c r="J483" t="str" cm="1">
        <f t="array" ref="J483">_xlfn.IFS(Table1[[#This Row],[academic_performance]]&gt;1,"Need Improvement",Table1[[#This Row],[academic_performance]]&gt;2,"Good",Table1[[#This Row],[academic_performance]]&gt;3,"Very good",Table1[[#This Row],[academic_performance]]&gt;4,"Excellent")</f>
        <v>Need Improvement</v>
      </c>
      <c r="K483">
        <v>2</v>
      </c>
      <c r="L483" t="str">
        <f>IF(Table1[[#This Row],[physical_activity]]&gt;1.9,"better overall ","lower rate of depression")</f>
        <v xml:space="preserve">better overall </v>
      </c>
      <c r="M483" t="s">
        <v>19</v>
      </c>
      <c r="N483">
        <v>6</v>
      </c>
      <c r="O483">
        <v>10</v>
      </c>
      <c r="P483">
        <v>10</v>
      </c>
      <c r="Q483">
        <v>0</v>
      </c>
    </row>
    <row r="484" spans="1:17" x14ac:dyDescent="0.3">
      <c r="A484">
        <v>18</v>
      </c>
      <c r="B484" t="s">
        <v>13</v>
      </c>
      <c r="C484" t="str">
        <f>IF(Table1[[#This Row],[age]]&gt;18,"Adult","Teenage")</f>
        <v>Teenage</v>
      </c>
      <c r="D484">
        <v>1.8</v>
      </c>
      <c r="E484" t="s">
        <v>17</v>
      </c>
      <c r="F484">
        <v>5.2</v>
      </c>
      <c r="G484">
        <f>Table1[[#This Row],[sleep_hours]]-Table1[[#This Row],[daily_social_media_hours]]</f>
        <v>3.4000000000000004</v>
      </c>
      <c r="H484">
        <v>1.4</v>
      </c>
      <c r="I484">
        <v>2.68</v>
      </c>
      <c r="J484" t="str" cm="1">
        <f t="array" ref="J484">_xlfn.IFS(Table1[[#This Row],[academic_performance]]&gt;1,"Need Improvement",Table1[[#This Row],[academic_performance]]&gt;2,"Good",Table1[[#This Row],[academic_performance]]&gt;3,"Very good",Table1[[#This Row],[academic_performance]]&gt;4,"Excellent")</f>
        <v>Need Improvement</v>
      </c>
      <c r="K484">
        <v>0.1</v>
      </c>
      <c r="L484" t="str">
        <f>IF(Table1[[#This Row],[physical_activity]]&gt;1.9,"better overall ","lower rate of depression")</f>
        <v>lower rate of depression</v>
      </c>
      <c r="M484" t="s">
        <v>18</v>
      </c>
      <c r="N484">
        <v>6</v>
      </c>
      <c r="O484">
        <v>2</v>
      </c>
      <c r="P484">
        <v>10</v>
      </c>
      <c r="Q484">
        <v>0</v>
      </c>
    </row>
    <row r="485" spans="1:17" x14ac:dyDescent="0.3">
      <c r="A485">
        <v>16</v>
      </c>
      <c r="B485" t="s">
        <v>16</v>
      </c>
      <c r="C485" t="str">
        <f>IF(Table1[[#This Row],[age]]&gt;18,"Adult","Teenage")</f>
        <v>Teenage</v>
      </c>
      <c r="D485">
        <v>1.3</v>
      </c>
      <c r="E485" t="s">
        <v>14</v>
      </c>
      <c r="F485">
        <v>4.9000000000000004</v>
      </c>
      <c r="G485">
        <f>Table1[[#This Row],[sleep_hours]]-Table1[[#This Row],[daily_social_media_hours]]</f>
        <v>3.6000000000000005</v>
      </c>
      <c r="H485">
        <v>2.6</v>
      </c>
      <c r="I485">
        <v>2.89</v>
      </c>
      <c r="J485" t="str" cm="1">
        <f t="array" ref="J485">_xlfn.IFS(Table1[[#This Row],[academic_performance]]&gt;1,"Need Improvement",Table1[[#This Row],[academic_performance]]&gt;2,"Good",Table1[[#This Row],[academic_performance]]&gt;3,"Very good",Table1[[#This Row],[academic_performance]]&gt;4,"Excellent")</f>
        <v>Need Improvement</v>
      </c>
      <c r="K485">
        <v>0.2</v>
      </c>
      <c r="L485" t="str">
        <f>IF(Table1[[#This Row],[physical_activity]]&gt;1.9,"better overall ","lower rate of depression")</f>
        <v>lower rate of depression</v>
      </c>
      <c r="M485" t="s">
        <v>15</v>
      </c>
      <c r="N485">
        <v>2</v>
      </c>
      <c r="O485">
        <v>5</v>
      </c>
      <c r="P485">
        <v>2</v>
      </c>
      <c r="Q485">
        <v>0</v>
      </c>
    </row>
    <row r="486" spans="1:17" x14ac:dyDescent="0.3">
      <c r="A486">
        <v>15</v>
      </c>
      <c r="B486" t="s">
        <v>13</v>
      </c>
      <c r="C486" t="str">
        <f>IF(Table1[[#This Row],[age]]&gt;18,"Adult","Teenage")</f>
        <v>Teenage</v>
      </c>
      <c r="D486">
        <v>2.1</v>
      </c>
      <c r="E486" t="s">
        <v>14</v>
      </c>
      <c r="F486">
        <v>4.4000000000000004</v>
      </c>
      <c r="G486">
        <f>Table1[[#This Row],[sleep_hours]]-Table1[[#This Row],[daily_social_media_hours]]</f>
        <v>2.3000000000000003</v>
      </c>
      <c r="H486">
        <v>2.1</v>
      </c>
      <c r="I486">
        <v>3.43</v>
      </c>
      <c r="J486" t="str" cm="1">
        <f t="array" ref="J486">_xlfn.IFS(Table1[[#This Row],[academic_performance]]&gt;1,"Need Improvement",Table1[[#This Row],[academic_performance]]&gt;2,"Good",Table1[[#This Row],[academic_performance]]&gt;3,"Very good",Table1[[#This Row],[academic_performance]]&gt;4,"Excellent")</f>
        <v>Need Improvement</v>
      </c>
      <c r="K486">
        <v>1.9</v>
      </c>
      <c r="L486" t="str">
        <f>IF(Table1[[#This Row],[physical_activity]]&gt;1.9,"better overall ","lower rate of depression")</f>
        <v>lower rate of depression</v>
      </c>
      <c r="M486" t="s">
        <v>15</v>
      </c>
      <c r="N486">
        <v>6</v>
      </c>
      <c r="O486">
        <v>6</v>
      </c>
      <c r="P486">
        <v>7</v>
      </c>
      <c r="Q486">
        <v>0</v>
      </c>
    </row>
    <row r="487" spans="1:17" x14ac:dyDescent="0.3">
      <c r="A487">
        <v>14</v>
      </c>
      <c r="B487" t="s">
        <v>13</v>
      </c>
      <c r="C487" t="str">
        <f>IF(Table1[[#This Row],[age]]&gt;18,"Adult","Teenage")</f>
        <v>Teenage</v>
      </c>
      <c r="D487">
        <v>3.9</v>
      </c>
      <c r="E487" t="s">
        <v>14</v>
      </c>
      <c r="F487">
        <v>7.7</v>
      </c>
      <c r="G487">
        <f>Table1[[#This Row],[sleep_hours]]-Table1[[#This Row],[daily_social_media_hours]]</f>
        <v>3.8000000000000003</v>
      </c>
      <c r="H487">
        <v>1.4</v>
      </c>
      <c r="I487">
        <v>2.86</v>
      </c>
      <c r="J487" t="str" cm="1">
        <f t="array" ref="J487">_xlfn.IFS(Table1[[#This Row],[academic_performance]]&gt;1,"Need Improvement",Table1[[#This Row],[academic_performance]]&gt;2,"Good",Table1[[#This Row],[academic_performance]]&gt;3,"Very good",Table1[[#This Row],[academic_performance]]&gt;4,"Excellent")</f>
        <v>Need Improvement</v>
      </c>
      <c r="K487">
        <v>1.7</v>
      </c>
      <c r="L487" t="str">
        <f>IF(Table1[[#This Row],[physical_activity]]&gt;1.9,"better overall ","lower rate of depression")</f>
        <v>lower rate of depression</v>
      </c>
      <c r="M487" t="s">
        <v>18</v>
      </c>
      <c r="N487">
        <v>3</v>
      </c>
      <c r="O487">
        <v>5</v>
      </c>
      <c r="P487">
        <v>1</v>
      </c>
      <c r="Q487">
        <v>0</v>
      </c>
    </row>
    <row r="488" spans="1:17" x14ac:dyDescent="0.3">
      <c r="A488">
        <v>18</v>
      </c>
      <c r="B488" t="s">
        <v>16</v>
      </c>
      <c r="C488" t="str">
        <f>IF(Table1[[#This Row],[age]]&gt;18,"Adult","Teenage")</f>
        <v>Teenage</v>
      </c>
      <c r="D488">
        <v>3.8</v>
      </c>
      <c r="E488" t="s">
        <v>20</v>
      </c>
      <c r="F488">
        <v>4.5</v>
      </c>
      <c r="G488">
        <f>Table1[[#This Row],[sleep_hours]]-Table1[[#This Row],[daily_social_media_hours]]</f>
        <v>0.70000000000000018</v>
      </c>
      <c r="H488">
        <v>1.3</v>
      </c>
      <c r="I488">
        <v>3.06</v>
      </c>
      <c r="J488" t="str" cm="1">
        <f t="array" ref="J488">_xlfn.IFS(Table1[[#This Row],[academic_performance]]&gt;1,"Need Improvement",Table1[[#This Row],[academic_performance]]&gt;2,"Good",Table1[[#This Row],[academic_performance]]&gt;3,"Very good",Table1[[#This Row],[academic_performance]]&gt;4,"Excellent")</f>
        <v>Need Improvement</v>
      </c>
      <c r="K488">
        <v>0.3</v>
      </c>
      <c r="L488" t="str">
        <f>IF(Table1[[#This Row],[physical_activity]]&gt;1.9,"better overall ","lower rate of depression")</f>
        <v>lower rate of depression</v>
      </c>
      <c r="M488" t="s">
        <v>19</v>
      </c>
      <c r="N488">
        <v>7</v>
      </c>
      <c r="O488">
        <v>8</v>
      </c>
      <c r="P488">
        <v>1</v>
      </c>
      <c r="Q488">
        <v>0</v>
      </c>
    </row>
    <row r="489" spans="1:17" x14ac:dyDescent="0.3">
      <c r="A489">
        <v>15</v>
      </c>
      <c r="B489" t="s">
        <v>13</v>
      </c>
      <c r="C489" t="str">
        <f>IF(Table1[[#This Row],[age]]&gt;18,"Adult","Teenage")</f>
        <v>Teenage</v>
      </c>
      <c r="D489">
        <v>6.4</v>
      </c>
      <c r="E489" t="s">
        <v>14</v>
      </c>
      <c r="F489">
        <v>7.8</v>
      </c>
      <c r="G489">
        <f>Table1[[#This Row],[sleep_hours]]-Table1[[#This Row],[daily_social_media_hours]]</f>
        <v>1.3999999999999995</v>
      </c>
      <c r="H489">
        <v>0.7</v>
      </c>
      <c r="I489">
        <v>2.6</v>
      </c>
      <c r="J489" t="str" cm="1">
        <f t="array" ref="J489">_xlfn.IFS(Table1[[#This Row],[academic_performance]]&gt;1,"Need Improvement",Table1[[#This Row],[academic_performance]]&gt;2,"Good",Table1[[#This Row],[academic_performance]]&gt;3,"Very good",Table1[[#This Row],[academic_performance]]&gt;4,"Excellent")</f>
        <v>Need Improvement</v>
      </c>
      <c r="K489">
        <v>0.7</v>
      </c>
      <c r="L489" t="str">
        <f>IF(Table1[[#This Row],[physical_activity]]&gt;1.9,"better overall ","lower rate of depression")</f>
        <v>lower rate of depression</v>
      </c>
      <c r="M489" t="s">
        <v>18</v>
      </c>
      <c r="N489">
        <v>4</v>
      </c>
      <c r="O489">
        <v>4</v>
      </c>
      <c r="P489">
        <v>2</v>
      </c>
      <c r="Q489">
        <v>0</v>
      </c>
    </row>
    <row r="490" spans="1:17" x14ac:dyDescent="0.3">
      <c r="A490">
        <v>19</v>
      </c>
      <c r="B490" t="s">
        <v>13</v>
      </c>
      <c r="C490" t="str">
        <f>IF(Table1[[#This Row],[age]]&gt;18,"Adult","Teenage")</f>
        <v>Adult</v>
      </c>
      <c r="D490">
        <v>3.2</v>
      </c>
      <c r="E490" t="s">
        <v>14</v>
      </c>
      <c r="F490">
        <v>6.2</v>
      </c>
      <c r="G490">
        <f>Table1[[#This Row],[sleep_hours]]-Table1[[#This Row],[daily_social_media_hours]]</f>
        <v>3</v>
      </c>
      <c r="H490">
        <v>2.6</v>
      </c>
      <c r="I490">
        <v>3.72</v>
      </c>
      <c r="J490" t="str" cm="1">
        <f t="array" ref="J490">_xlfn.IFS(Table1[[#This Row],[academic_performance]]&gt;1,"Need Improvement",Table1[[#This Row],[academic_performance]]&gt;2,"Good",Table1[[#This Row],[academic_performance]]&gt;3,"Very good",Table1[[#This Row],[academic_performance]]&gt;4,"Excellent")</f>
        <v>Need Improvement</v>
      </c>
      <c r="K490">
        <v>1.9</v>
      </c>
      <c r="L490" t="str">
        <f>IF(Table1[[#This Row],[physical_activity]]&gt;1.9,"better overall ","lower rate of depression")</f>
        <v>lower rate of depression</v>
      </c>
      <c r="M490" t="s">
        <v>18</v>
      </c>
      <c r="N490">
        <v>9</v>
      </c>
      <c r="O490">
        <v>5</v>
      </c>
      <c r="P490">
        <v>7</v>
      </c>
      <c r="Q490">
        <v>0</v>
      </c>
    </row>
    <row r="491" spans="1:17" x14ac:dyDescent="0.3">
      <c r="A491">
        <v>13</v>
      </c>
      <c r="B491" t="s">
        <v>13</v>
      </c>
      <c r="C491" t="str">
        <f>IF(Table1[[#This Row],[age]]&gt;18,"Adult","Teenage")</f>
        <v>Teenage</v>
      </c>
      <c r="D491">
        <v>4.4000000000000004</v>
      </c>
      <c r="E491" t="s">
        <v>20</v>
      </c>
      <c r="F491">
        <v>8.1999999999999993</v>
      </c>
      <c r="G491">
        <f>Table1[[#This Row],[sleep_hours]]-Table1[[#This Row],[daily_social_media_hours]]</f>
        <v>3.7999999999999989</v>
      </c>
      <c r="H491">
        <v>1.5</v>
      </c>
      <c r="I491">
        <v>3.98</v>
      </c>
      <c r="J491" t="str" cm="1">
        <f t="array" ref="J491">_xlfn.IFS(Table1[[#This Row],[academic_performance]]&gt;1,"Need Improvement",Table1[[#This Row],[academic_performance]]&gt;2,"Good",Table1[[#This Row],[academic_performance]]&gt;3,"Very good",Table1[[#This Row],[academic_performance]]&gt;4,"Excellent")</f>
        <v>Need Improvement</v>
      </c>
      <c r="K491">
        <v>1.4</v>
      </c>
      <c r="L491" t="str">
        <f>IF(Table1[[#This Row],[physical_activity]]&gt;1.9,"better overall ","lower rate of depression")</f>
        <v>lower rate of depression</v>
      </c>
      <c r="M491" t="s">
        <v>18</v>
      </c>
      <c r="N491">
        <v>9</v>
      </c>
      <c r="O491">
        <v>6</v>
      </c>
      <c r="P491">
        <v>6</v>
      </c>
      <c r="Q491">
        <v>0</v>
      </c>
    </row>
    <row r="492" spans="1:17" x14ac:dyDescent="0.3">
      <c r="A492">
        <v>15</v>
      </c>
      <c r="B492" t="s">
        <v>13</v>
      </c>
      <c r="C492" t="str">
        <f>IF(Table1[[#This Row],[age]]&gt;18,"Adult","Teenage")</f>
        <v>Teenage</v>
      </c>
      <c r="D492">
        <v>1.3</v>
      </c>
      <c r="E492" t="s">
        <v>17</v>
      </c>
      <c r="F492">
        <v>7.5</v>
      </c>
      <c r="G492">
        <f>Table1[[#This Row],[sleep_hours]]-Table1[[#This Row],[daily_social_media_hours]]</f>
        <v>6.2</v>
      </c>
      <c r="H492">
        <v>1.3</v>
      </c>
      <c r="I492">
        <v>2.99</v>
      </c>
      <c r="J492" t="str" cm="1">
        <f t="array" ref="J492">_xlfn.IFS(Table1[[#This Row],[academic_performance]]&gt;1,"Need Improvement",Table1[[#This Row],[academic_performance]]&gt;2,"Good",Table1[[#This Row],[academic_performance]]&gt;3,"Very good",Table1[[#This Row],[academic_performance]]&gt;4,"Excellent")</f>
        <v>Need Improvement</v>
      </c>
      <c r="K492">
        <v>1.4</v>
      </c>
      <c r="L492" t="str">
        <f>IF(Table1[[#This Row],[physical_activity]]&gt;1.9,"better overall ","lower rate of depression")</f>
        <v>lower rate of depression</v>
      </c>
      <c r="M492" t="s">
        <v>15</v>
      </c>
      <c r="N492">
        <v>1</v>
      </c>
      <c r="O492">
        <v>5</v>
      </c>
      <c r="P492">
        <v>2</v>
      </c>
      <c r="Q492">
        <v>0</v>
      </c>
    </row>
    <row r="493" spans="1:17" x14ac:dyDescent="0.3">
      <c r="A493">
        <v>18</v>
      </c>
      <c r="B493" t="s">
        <v>16</v>
      </c>
      <c r="C493" t="str">
        <f>IF(Table1[[#This Row],[age]]&gt;18,"Adult","Teenage")</f>
        <v>Teenage</v>
      </c>
      <c r="D493">
        <v>5.7</v>
      </c>
      <c r="E493" t="s">
        <v>17</v>
      </c>
      <c r="F493">
        <v>6.2</v>
      </c>
      <c r="G493">
        <f>Table1[[#This Row],[sleep_hours]]-Table1[[#This Row],[daily_social_media_hours]]</f>
        <v>0.5</v>
      </c>
      <c r="H493">
        <v>0.5</v>
      </c>
      <c r="I493">
        <v>3.98</v>
      </c>
      <c r="J493" t="str" cm="1">
        <f t="array" ref="J493">_xlfn.IFS(Table1[[#This Row],[academic_performance]]&gt;1,"Need Improvement",Table1[[#This Row],[academic_performance]]&gt;2,"Good",Table1[[#This Row],[academic_performance]]&gt;3,"Very good",Table1[[#This Row],[academic_performance]]&gt;4,"Excellent")</f>
        <v>Need Improvement</v>
      </c>
      <c r="K493">
        <v>1.7</v>
      </c>
      <c r="L493" t="str">
        <f>IF(Table1[[#This Row],[physical_activity]]&gt;1.9,"better overall ","lower rate of depression")</f>
        <v>lower rate of depression</v>
      </c>
      <c r="M493" t="s">
        <v>19</v>
      </c>
      <c r="N493">
        <v>7</v>
      </c>
      <c r="O493">
        <v>6</v>
      </c>
      <c r="P493">
        <v>3</v>
      </c>
      <c r="Q493">
        <v>0</v>
      </c>
    </row>
    <row r="494" spans="1:17" x14ac:dyDescent="0.3">
      <c r="A494">
        <v>13</v>
      </c>
      <c r="B494" t="s">
        <v>13</v>
      </c>
      <c r="C494" t="str">
        <f>IF(Table1[[#This Row],[age]]&gt;18,"Adult","Teenage")</f>
        <v>Teenage</v>
      </c>
      <c r="D494">
        <v>4</v>
      </c>
      <c r="E494" t="s">
        <v>17</v>
      </c>
      <c r="F494">
        <v>5</v>
      </c>
      <c r="G494">
        <f>Table1[[#This Row],[sleep_hours]]-Table1[[#This Row],[daily_social_media_hours]]</f>
        <v>1</v>
      </c>
      <c r="H494">
        <v>2.9</v>
      </c>
      <c r="I494">
        <v>3.84</v>
      </c>
      <c r="J494" t="str" cm="1">
        <f t="array" ref="J494">_xlfn.IFS(Table1[[#This Row],[academic_performance]]&gt;1,"Need Improvement",Table1[[#This Row],[academic_performance]]&gt;2,"Good",Table1[[#This Row],[academic_performance]]&gt;3,"Very good",Table1[[#This Row],[academic_performance]]&gt;4,"Excellent")</f>
        <v>Need Improvement</v>
      </c>
      <c r="K494">
        <v>0.1</v>
      </c>
      <c r="L494" t="str">
        <f>IF(Table1[[#This Row],[physical_activity]]&gt;1.9,"better overall ","lower rate of depression")</f>
        <v>lower rate of depression</v>
      </c>
      <c r="M494" t="s">
        <v>15</v>
      </c>
      <c r="N494">
        <v>7</v>
      </c>
      <c r="O494">
        <v>8</v>
      </c>
      <c r="P494">
        <v>10</v>
      </c>
      <c r="Q494">
        <v>0</v>
      </c>
    </row>
    <row r="495" spans="1:17" x14ac:dyDescent="0.3">
      <c r="A495">
        <v>16</v>
      </c>
      <c r="B495" t="s">
        <v>16</v>
      </c>
      <c r="C495" t="str">
        <f>IF(Table1[[#This Row],[age]]&gt;18,"Adult","Teenage")</f>
        <v>Teenage</v>
      </c>
      <c r="D495">
        <v>4.8</v>
      </c>
      <c r="E495" t="s">
        <v>14</v>
      </c>
      <c r="F495">
        <v>6.7</v>
      </c>
      <c r="G495">
        <f>Table1[[#This Row],[sleep_hours]]-Table1[[#This Row],[daily_social_media_hours]]</f>
        <v>1.9000000000000004</v>
      </c>
      <c r="H495">
        <v>1.4</v>
      </c>
      <c r="I495">
        <v>2.44</v>
      </c>
      <c r="J495" t="str" cm="1">
        <f t="array" ref="J495">_xlfn.IFS(Table1[[#This Row],[academic_performance]]&gt;1,"Need Improvement",Table1[[#This Row],[academic_performance]]&gt;2,"Good",Table1[[#This Row],[academic_performance]]&gt;3,"Very good",Table1[[#This Row],[academic_performance]]&gt;4,"Excellent")</f>
        <v>Need Improvement</v>
      </c>
      <c r="K495">
        <v>0.3</v>
      </c>
      <c r="L495" t="str">
        <f>IF(Table1[[#This Row],[physical_activity]]&gt;1.9,"better overall ","lower rate of depression")</f>
        <v>lower rate of depression</v>
      </c>
      <c r="M495" t="s">
        <v>15</v>
      </c>
      <c r="N495">
        <v>1</v>
      </c>
      <c r="O495">
        <v>3</v>
      </c>
      <c r="P495">
        <v>1</v>
      </c>
      <c r="Q495">
        <v>0</v>
      </c>
    </row>
    <row r="496" spans="1:17" x14ac:dyDescent="0.3">
      <c r="A496">
        <v>19</v>
      </c>
      <c r="B496" t="s">
        <v>13</v>
      </c>
      <c r="C496" t="str">
        <f>IF(Table1[[#This Row],[age]]&gt;18,"Adult","Teenage")</f>
        <v>Adult</v>
      </c>
      <c r="D496">
        <v>5.8</v>
      </c>
      <c r="E496" t="s">
        <v>20</v>
      </c>
      <c r="F496">
        <v>7.5</v>
      </c>
      <c r="G496">
        <f>Table1[[#This Row],[sleep_hours]]-Table1[[#This Row],[daily_social_media_hours]]</f>
        <v>1.7000000000000002</v>
      </c>
      <c r="H496">
        <v>1.9</v>
      </c>
      <c r="I496">
        <v>2.08</v>
      </c>
      <c r="J496" t="str" cm="1">
        <f t="array" ref="J496">_xlfn.IFS(Table1[[#This Row],[academic_performance]]&gt;1,"Need Improvement",Table1[[#This Row],[academic_performance]]&gt;2,"Good",Table1[[#This Row],[academic_performance]]&gt;3,"Very good",Table1[[#This Row],[academic_performance]]&gt;4,"Excellent")</f>
        <v>Need Improvement</v>
      </c>
      <c r="K496">
        <v>0.1</v>
      </c>
      <c r="L496" t="str">
        <f>IF(Table1[[#This Row],[physical_activity]]&gt;1.9,"better overall ","lower rate of depression")</f>
        <v>lower rate of depression</v>
      </c>
      <c r="M496" t="s">
        <v>18</v>
      </c>
      <c r="N496">
        <v>2</v>
      </c>
      <c r="O496">
        <v>1</v>
      </c>
      <c r="P496">
        <v>3</v>
      </c>
      <c r="Q496">
        <v>0</v>
      </c>
    </row>
    <row r="497" spans="1:17" x14ac:dyDescent="0.3">
      <c r="A497">
        <v>16</v>
      </c>
      <c r="B497" t="s">
        <v>13</v>
      </c>
      <c r="C497" t="str">
        <f>IF(Table1[[#This Row],[age]]&gt;18,"Adult","Teenage")</f>
        <v>Teenage</v>
      </c>
      <c r="D497">
        <v>5.8</v>
      </c>
      <c r="E497" t="s">
        <v>20</v>
      </c>
      <c r="F497">
        <v>8.9</v>
      </c>
      <c r="G497">
        <f>Table1[[#This Row],[sleep_hours]]-Table1[[#This Row],[daily_social_media_hours]]</f>
        <v>3.1000000000000005</v>
      </c>
      <c r="H497">
        <v>1.1000000000000001</v>
      </c>
      <c r="I497">
        <v>2.08</v>
      </c>
      <c r="J497" t="str" cm="1">
        <f t="array" ref="J497">_xlfn.IFS(Table1[[#This Row],[academic_performance]]&gt;1,"Need Improvement",Table1[[#This Row],[academic_performance]]&gt;2,"Good",Table1[[#This Row],[academic_performance]]&gt;3,"Very good",Table1[[#This Row],[academic_performance]]&gt;4,"Excellent")</f>
        <v>Need Improvement</v>
      </c>
      <c r="K497">
        <v>1.9</v>
      </c>
      <c r="L497" t="str">
        <f>IF(Table1[[#This Row],[physical_activity]]&gt;1.9,"better overall ","lower rate of depression")</f>
        <v>lower rate of depression</v>
      </c>
      <c r="M497" t="s">
        <v>19</v>
      </c>
      <c r="N497">
        <v>8</v>
      </c>
      <c r="O497">
        <v>5</v>
      </c>
      <c r="P497">
        <v>9</v>
      </c>
      <c r="Q497">
        <v>0</v>
      </c>
    </row>
    <row r="498" spans="1:17" x14ac:dyDescent="0.3">
      <c r="A498">
        <v>13</v>
      </c>
      <c r="B498" t="s">
        <v>13</v>
      </c>
      <c r="C498" t="str">
        <f>IF(Table1[[#This Row],[age]]&gt;18,"Adult","Teenage")</f>
        <v>Teenage</v>
      </c>
      <c r="D498">
        <v>3.2</v>
      </c>
      <c r="E498" t="s">
        <v>17</v>
      </c>
      <c r="F498">
        <v>5.0999999999999996</v>
      </c>
      <c r="G498">
        <f>Table1[[#This Row],[sleep_hours]]-Table1[[#This Row],[daily_social_media_hours]]</f>
        <v>1.8999999999999995</v>
      </c>
      <c r="H498">
        <v>1.6</v>
      </c>
      <c r="I498">
        <v>2.87</v>
      </c>
      <c r="J498" t="str" cm="1">
        <f t="array" ref="J498">_xlfn.IFS(Table1[[#This Row],[academic_performance]]&gt;1,"Need Improvement",Table1[[#This Row],[academic_performance]]&gt;2,"Good",Table1[[#This Row],[academic_performance]]&gt;3,"Very good",Table1[[#This Row],[academic_performance]]&gt;4,"Excellent")</f>
        <v>Need Improvement</v>
      </c>
      <c r="K498">
        <v>1.8</v>
      </c>
      <c r="L498" t="str">
        <f>IF(Table1[[#This Row],[physical_activity]]&gt;1.9,"better overall ","lower rate of depression")</f>
        <v>lower rate of depression</v>
      </c>
      <c r="M498" t="s">
        <v>19</v>
      </c>
      <c r="N498">
        <v>4</v>
      </c>
      <c r="O498">
        <v>9</v>
      </c>
      <c r="P498">
        <v>8</v>
      </c>
      <c r="Q498">
        <v>0</v>
      </c>
    </row>
    <row r="499" spans="1:17" x14ac:dyDescent="0.3">
      <c r="A499">
        <v>16</v>
      </c>
      <c r="B499" t="s">
        <v>16</v>
      </c>
      <c r="C499" t="str">
        <f>IF(Table1[[#This Row],[age]]&gt;18,"Adult","Teenage")</f>
        <v>Teenage</v>
      </c>
      <c r="D499">
        <v>5.2</v>
      </c>
      <c r="E499" t="s">
        <v>20</v>
      </c>
      <c r="F499">
        <v>4</v>
      </c>
      <c r="G499">
        <f>Table1[[#This Row],[sleep_hours]]-Table1[[#This Row],[daily_social_media_hours]]</f>
        <v>-1.2000000000000002</v>
      </c>
      <c r="H499">
        <v>2.4</v>
      </c>
      <c r="I499">
        <v>2.35</v>
      </c>
      <c r="J499" t="str" cm="1">
        <f t="array" ref="J499">_xlfn.IFS(Table1[[#This Row],[academic_performance]]&gt;1,"Need Improvement",Table1[[#This Row],[academic_performance]]&gt;2,"Good",Table1[[#This Row],[academic_performance]]&gt;3,"Very good",Table1[[#This Row],[academic_performance]]&gt;4,"Excellent")</f>
        <v>Need Improvement</v>
      </c>
      <c r="K499">
        <v>1.6</v>
      </c>
      <c r="L499" t="str">
        <f>IF(Table1[[#This Row],[physical_activity]]&gt;1.9,"better overall ","lower rate of depression")</f>
        <v>lower rate of depression</v>
      </c>
      <c r="M499" t="s">
        <v>15</v>
      </c>
      <c r="N499">
        <v>10</v>
      </c>
      <c r="O499">
        <v>5</v>
      </c>
      <c r="P499">
        <v>2</v>
      </c>
      <c r="Q499">
        <v>0</v>
      </c>
    </row>
    <row r="500" spans="1:17" x14ac:dyDescent="0.3">
      <c r="A500">
        <v>17</v>
      </c>
      <c r="B500" t="s">
        <v>13</v>
      </c>
      <c r="C500" t="str">
        <f>IF(Table1[[#This Row],[age]]&gt;18,"Adult","Teenage")</f>
        <v>Teenage</v>
      </c>
      <c r="D500">
        <v>2.4</v>
      </c>
      <c r="E500" t="s">
        <v>17</v>
      </c>
      <c r="F500">
        <v>6</v>
      </c>
      <c r="G500">
        <f>Table1[[#This Row],[sleep_hours]]-Table1[[#This Row],[daily_social_media_hours]]</f>
        <v>3.6</v>
      </c>
      <c r="H500">
        <v>0.7</v>
      </c>
      <c r="I500">
        <v>3.67</v>
      </c>
      <c r="J500" t="str" cm="1">
        <f t="array" ref="J500">_xlfn.IFS(Table1[[#This Row],[academic_performance]]&gt;1,"Need Improvement",Table1[[#This Row],[academic_performance]]&gt;2,"Good",Table1[[#This Row],[academic_performance]]&gt;3,"Very good",Table1[[#This Row],[academic_performance]]&gt;4,"Excellent")</f>
        <v>Need Improvement</v>
      </c>
      <c r="K500">
        <v>1.5</v>
      </c>
      <c r="L500" t="str">
        <f>IF(Table1[[#This Row],[physical_activity]]&gt;1.9,"better overall ","lower rate of depression")</f>
        <v>lower rate of depression</v>
      </c>
      <c r="M500" t="s">
        <v>15</v>
      </c>
      <c r="N500">
        <v>7</v>
      </c>
      <c r="O500">
        <v>9</v>
      </c>
      <c r="P500">
        <v>2</v>
      </c>
      <c r="Q500">
        <v>0</v>
      </c>
    </row>
    <row r="501" spans="1:17" x14ac:dyDescent="0.3">
      <c r="A501">
        <v>15</v>
      </c>
      <c r="B501" t="s">
        <v>13</v>
      </c>
      <c r="C501" t="str">
        <f>IF(Table1[[#This Row],[age]]&gt;18,"Adult","Teenage")</f>
        <v>Teenage</v>
      </c>
      <c r="D501">
        <v>7.4</v>
      </c>
      <c r="E501" t="s">
        <v>20</v>
      </c>
      <c r="F501">
        <v>5.9</v>
      </c>
      <c r="G501">
        <f>Table1[[#This Row],[sleep_hours]]-Table1[[#This Row],[daily_social_media_hours]]</f>
        <v>-1.5</v>
      </c>
      <c r="H501">
        <v>2.6</v>
      </c>
      <c r="I501">
        <v>2.89</v>
      </c>
      <c r="J501" t="str" cm="1">
        <f t="array" ref="J501">_xlfn.IFS(Table1[[#This Row],[academic_performance]]&gt;1,"Need Improvement",Table1[[#This Row],[academic_performance]]&gt;2,"Good",Table1[[#This Row],[academic_performance]]&gt;3,"Very good",Table1[[#This Row],[academic_performance]]&gt;4,"Excellent")</f>
        <v>Need Improvement</v>
      </c>
      <c r="K501">
        <v>1.9</v>
      </c>
      <c r="L501" t="str">
        <f>IF(Table1[[#This Row],[physical_activity]]&gt;1.9,"better overall ","lower rate of depression")</f>
        <v>lower rate of depression</v>
      </c>
      <c r="M501" t="s">
        <v>19</v>
      </c>
      <c r="N501">
        <v>7</v>
      </c>
      <c r="O501">
        <v>3</v>
      </c>
      <c r="P501">
        <v>8</v>
      </c>
      <c r="Q501">
        <v>0</v>
      </c>
    </row>
    <row r="502" spans="1:17" x14ac:dyDescent="0.3">
      <c r="A502">
        <v>18</v>
      </c>
      <c r="B502" t="s">
        <v>16</v>
      </c>
      <c r="C502" t="str">
        <f>IF(Table1[[#This Row],[age]]&gt;18,"Adult","Teenage")</f>
        <v>Teenage</v>
      </c>
      <c r="D502">
        <v>7.1</v>
      </c>
      <c r="E502" t="s">
        <v>14</v>
      </c>
      <c r="F502">
        <v>4.8</v>
      </c>
      <c r="G502">
        <f>Table1[[#This Row],[sleep_hours]]-Table1[[#This Row],[daily_social_media_hours]]</f>
        <v>-2.2999999999999998</v>
      </c>
      <c r="H502">
        <v>2.1</v>
      </c>
      <c r="I502">
        <v>2.5099999999999998</v>
      </c>
      <c r="J502" t="str" cm="1">
        <f t="array" ref="J502">_xlfn.IFS(Table1[[#This Row],[academic_performance]]&gt;1,"Need Improvement",Table1[[#This Row],[academic_performance]]&gt;2,"Good",Table1[[#This Row],[academic_performance]]&gt;3,"Very good",Table1[[#This Row],[academic_performance]]&gt;4,"Excellent")</f>
        <v>Need Improvement</v>
      </c>
      <c r="K502">
        <v>0.9</v>
      </c>
      <c r="L502" t="str">
        <f>IF(Table1[[#This Row],[physical_activity]]&gt;1.9,"better overall ","lower rate of depression")</f>
        <v>lower rate of depression</v>
      </c>
      <c r="M502" t="s">
        <v>18</v>
      </c>
      <c r="N502">
        <v>1</v>
      </c>
      <c r="O502">
        <v>1</v>
      </c>
      <c r="P502">
        <v>10</v>
      </c>
      <c r="Q502">
        <v>0</v>
      </c>
    </row>
    <row r="503" spans="1:17" x14ac:dyDescent="0.3">
      <c r="A503">
        <v>16</v>
      </c>
      <c r="B503" t="s">
        <v>13</v>
      </c>
      <c r="C503" t="str">
        <f>IF(Table1[[#This Row],[age]]&gt;18,"Adult","Teenage")</f>
        <v>Teenage</v>
      </c>
      <c r="D503">
        <v>6.5</v>
      </c>
      <c r="E503" t="s">
        <v>17</v>
      </c>
      <c r="F503">
        <v>7.4</v>
      </c>
      <c r="G503">
        <f>Table1[[#This Row],[sleep_hours]]-Table1[[#This Row],[daily_social_media_hours]]</f>
        <v>0.90000000000000036</v>
      </c>
      <c r="H503">
        <v>1.9</v>
      </c>
      <c r="I503">
        <v>2.2200000000000002</v>
      </c>
      <c r="J503" t="str" cm="1">
        <f t="array" ref="J503">_xlfn.IFS(Table1[[#This Row],[academic_performance]]&gt;1,"Need Improvement",Table1[[#This Row],[academic_performance]]&gt;2,"Good",Table1[[#This Row],[academic_performance]]&gt;3,"Very good",Table1[[#This Row],[academic_performance]]&gt;4,"Excellent")</f>
        <v>Need Improvement</v>
      </c>
      <c r="K503">
        <v>1.1000000000000001</v>
      </c>
      <c r="L503" t="str">
        <f>IF(Table1[[#This Row],[physical_activity]]&gt;1.9,"better overall ","lower rate of depression")</f>
        <v>lower rate of depression</v>
      </c>
      <c r="M503" t="s">
        <v>19</v>
      </c>
      <c r="N503">
        <v>10</v>
      </c>
      <c r="O503">
        <v>10</v>
      </c>
      <c r="P503">
        <v>2</v>
      </c>
      <c r="Q503">
        <v>0</v>
      </c>
    </row>
    <row r="504" spans="1:17" x14ac:dyDescent="0.3">
      <c r="A504">
        <v>13</v>
      </c>
      <c r="B504" t="s">
        <v>13</v>
      </c>
      <c r="C504" t="str">
        <f>IF(Table1[[#This Row],[age]]&gt;18,"Adult","Teenage")</f>
        <v>Teenage</v>
      </c>
      <c r="D504">
        <v>7.4</v>
      </c>
      <c r="E504" t="s">
        <v>20</v>
      </c>
      <c r="F504">
        <v>7</v>
      </c>
      <c r="G504">
        <f>Table1[[#This Row],[sleep_hours]]-Table1[[#This Row],[daily_social_media_hours]]</f>
        <v>-0.40000000000000036</v>
      </c>
      <c r="H504">
        <v>1.8</v>
      </c>
      <c r="I504">
        <v>2.17</v>
      </c>
      <c r="J504" t="str" cm="1">
        <f t="array" ref="J504">_xlfn.IFS(Table1[[#This Row],[academic_performance]]&gt;1,"Need Improvement",Table1[[#This Row],[academic_performance]]&gt;2,"Good",Table1[[#This Row],[academic_performance]]&gt;3,"Very good",Table1[[#This Row],[academic_performance]]&gt;4,"Excellent")</f>
        <v>Need Improvement</v>
      </c>
      <c r="K504">
        <v>1.4</v>
      </c>
      <c r="L504" t="str">
        <f>IF(Table1[[#This Row],[physical_activity]]&gt;1.9,"better overall ","lower rate of depression")</f>
        <v>lower rate of depression</v>
      </c>
      <c r="M504" t="s">
        <v>19</v>
      </c>
      <c r="N504">
        <v>9</v>
      </c>
      <c r="O504">
        <v>10</v>
      </c>
      <c r="P504">
        <v>5</v>
      </c>
      <c r="Q504">
        <v>0</v>
      </c>
    </row>
    <row r="505" spans="1:17" x14ac:dyDescent="0.3">
      <c r="A505">
        <v>15</v>
      </c>
      <c r="B505" t="s">
        <v>16</v>
      </c>
      <c r="C505" t="str">
        <f>IF(Table1[[#This Row],[age]]&gt;18,"Adult","Teenage")</f>
        <v>Teenage</v>
      </c>
      <c r="D505">
        <v>3.9</v>
      </c>
      <c r="E505" t="s">
        <v>14</v>
      </c>
      <c r="F505">
        <v>6.4</v>
      </c>
      <c r="G505">
        <f>Table1[[#This Row],[sleep_hours]]-Table1[[#This Row],[daily_social_media_hours]]</f>
        <v>2.5000000000000004</v>
      </c>
      <c r="H505">
        <v>1.7</v>
      </c>
      <c r="I505">
        <v>2.87</v>
      </c>
      <c r="J505" t="str" cm="1">
        <f t="array" ref="J505">_xlfn.IFS(Table1[[#This Row],[academic_performance]]&gt;1,"Need Improvement",Table1[[#This Row],[academic_performance]]&gt;2,"Good",Table1[[#This Row],[academic_performance]]&gt;3,"Very good",Table1[[#This Row],[academic_performance]]&gt;4,"Excellent")</f>
        <v>Need Improvement</v>
      </c>
      <c r="K505">
        <v>1.8</v>
      </c>
      <c r="L505" t="str">
        <f>IF(Table1[[#This Row],[physical_activity]]&gt;1.9,"better overall ","lower rate of depression")</f>
        <v>lower rate of depression</v>
      </c>
      <c r="M505" t="s">
        <v>18</v>
      </c>
      <c r="N505">
        <v>6</v>
      </c>
      <c r="O505">
        <v>6</v>
      </c>
      <c r="P505">
        <v>6</v>
      </c>
      <c r="Q505">
        <v>0</v>
      </c>
    </row>
    <row r="506" spans="1:17" x14ac:dyDescent="0.3">
      <c r="A506">
        <v>15</v>
      </c>
      <c r="B506" t="s">
        <v>16</v>
      </c>
      <c r="C506" t="str">
        <f>IF(Table1[[#This Row],[age]]&gt;18,"Adult","Teenage")</f>
        <v>Teenage</v>
      </c>
      <c r="D506">
        <v>4.5999999999999996</v>
      </c>
      <c r="E506" t="s">
        <v>20</v>
      </c>
      <c r="F506">
        <v>8.6</v>
      </c>
      <c r="G506">
        <f>Table1[[#This Row],[sleep_hours]]-Table1[[#This Row],[daily_social_media_hours]]</f>
        <v>4</v>
      </c>
      <c r="H506">
        <v>2</v>
      </c>
      <c r="I506">
        <v>3.01</v>
      </c>
      <c r="J506" t="str" cm="1">
        <f t="array" ref="J506">_xlfn.IFS(Table1[[#This Row],[academic_performance]]&gt;1,"Need Improvement",Table1[[#This Row],[academic_performance]]&gt;2,"Good",Table1[[#This Row],[academic_performance]]&gt;3,"Very good",Table1[[#This Row],[academic_performance]]&gt;4,"Excellent")</f>
        <v>Need Improvement</v>
      </c>
      <c r="K506">
        <v>0</v>
      </c>
      <c r="L506" t="str">
        <f>IF(Table1[[#This Row],[physical_activity]]&gt;1.9,"better overall ","lower rate of depression")</f>
        <v>lower rate of depression</v>
      </c>
      <c r="M506" t="s">
        <v>15</v>
      </c>
      <c r="N506">
        <v>1</v>
      </c>
      <c r="O506">
        <v>8</v>
      </c>
      <c r="P506">
        <v>3</v>
      </c>
      <c r="Q506">
        <v>0</v>
      </c>
    </row>
    <row r="507" spans="1:17" x14ac:dyDescent="0.3">
      <c r="A507">
        <v>19</v>
      </c>
      <c r="B507" t="s">
        <v>13</v>
      </c>
      <c r="C507" t="str">
        <f>IF(Table1[[#This Row],[age]]&gt;18,"Adult","Teenage")</f>
        <v>Adult</v>
      </c>
      <c r="D507">
        <v>1.5</v>
      </c>
      <c r="E507" t="s">
        <v>17</v>
      </c>
      <c r="F507">
        <v>6.7</v>
      </c>
      <c r="G507">
        <f>Table1[[#This Row],[sleep_hours]]-Table1[[#This Row],[daily_social_media_hours]]</f>
        <v>5.2</v>
      </c>
      <c r="H507">
        <v>1</v>
      </c>
      <c r="I507">
        <v>3.9</v>
      </c>
      <c r="J507" t="str" cm="1">
        <f t="array" ref="J507">_xlfn.IFS(Table1[[#This Row],[academic_performance]]&gt;1,"Need Improvement",Table1[[#This Row],[academic_performance]]&gt;2,"Good",Table1[[#This Row],[academic_performance]]&gt;3,"Very good",Table1[[#This Row],[academic_performance]]&gt;4,"Excellent")</f>
        <v>Need Improvement</v>
      </c>
      <c r="K507">
        <v>0.4</v>
      </c>
      <c r="L507" t="str">
        <f>IF(Table1[[#This Row],[physical_activity]]&gt;1.9,"better overall ","lower rate of depression")</f>
        <v>lower rate of depression</v>
      </c>
      <c r="M507" t="s">
        <v>15</v>
      </c>
      <c r="N507">
        <v>4</v>
      </c>
      <c r="O507">
        <v>3</v>
      </c>
      <c r="P507">
        <v>3</v>
      </c>
      <c r="Q507">
        <v>0</v>
      </c>
    </row>
    <row r="508" spans="1:17" x14ac:dyDescent="0.3">
      <c r="A508">
        <v>15</v>
      </c>
      <c r="B508" t="s">
        <v>16</v>
      </c>
      <c r="C508" t="str">
        <f>IF(Table1[[#This Row],[age]]&gt;18,"Adult","Teenage")</f>
        <v>Teenage</v>
      </c>
      <c r="D508">
        <v>5.8</v>
      </c>
      <c r="E508" t="s">
        <v>14</v>
      </c>
      <c r="F508">
        <v>7.1</v>
      </c>
      <c r="G508">
        <f>Table1[[#This Row],[sleep_hours]]-Table1[[#This Row],[daily_social_media_hours]]</f>
        <v>1.2999999999999998</v>
      </c>
      <c r="H508">
        <v>1.1000000000000001</v>
      </c>
      <c r="I508">
        <v>3.72</v>
      </c>
      <c r="J508" t="str" cm="1">
        <f t="array" ref="J508">_xlfn.IFS(Table1[[#This Row],[academic_performance]]&gt;1,"Need Improvement",Table1[[#This Row],[academic_performance]]&gt;2,"Good",Table1[[#This Row],[academic_performance]]&gt;3,"Very good",Table1[[#This Row],[academic_performance]]&gt;4,"Excellent")</f>
        <v>Need Improvement</v>
      </c>
      <c r="K508">
        <v>1.5</v>
      </c>
      <c r="L508" t="str">
        <f>IF(Table1[[#This Row],[physical_activity]]&gt;1.9,"better overall ","lower rate of depression")</f>
        <v>lower rate of depression</v>
      </c>
      <c r="M508" t="s">
        <v>15</v>
      </c>
      <c r="N508">
        <v>9</v>
      </c>
      <c r="O508">
        <v>6</v>
      </c>
      <c r="P508">
        <v>6</v>
      </c>
      <c r="Q508">
        <v>0</v>
      </c>
    </row>
    <row r="509" spans="1:17" x14ac:dyDescent="0.3">
      <c r="A509">
        <v>17</v>
      </c>
      <c r="B509" t="s">
        <v>16</v>
      </c>
      <c r="C509" t="str">
        <f>IF(Table1[[#This Row],[age]]&gt;18,"Adult","Teenage")</f>
        <v>Teenage</v>
      </c>
      <c r="D509">
        <v>6.4</v>
      </c>
      <c r="E509" t="s">
        <v>17</v>
      </c>
      <c r="F509">
        <v>4.9000000000000004</v>
      </c>
      <c r="G509">
        <f>Table1[[#This Row],[sleep_hours]]-Table1[[#This Row],[daily_social_media_hours]]</f>
        <v>-1.5</v>
      </c>
      <c r="H509">
        <v>2.1</v>
      </c>
      <c r="I509">
        <v>2.78</v>
      </c>
      <c r="J509" t="str" cm="1">
        <f t="array" ref="J509">_xlfn.IFS(Table1[[#This Row],[academic_performance]]&gt;1,"Need Improvement",Table1[[#This Row],[academic_performance]]&gt;2,"Good",Table1[[#This Row],[academic_performance]]&gt;3,"Very good",Table1[[#This Row],[academic_performance]]&gt;4,"Excellent")</f>
        <v>Need Improvement</v>
      </c>
      <c r="K509">
        <v>1</v>
      </c>
      <c r="L509" t="str">
        <f>IF(Table1[[#This Row],[physical_activity]]&gt;1.9,"better overall ","lower rate of depression")</f>
        <v>lower rate of depression</v>
      </c>
      <c r="M509" t="s">
        <v>18</v>
      </c>
      <c r="N509">
        <v>2</v>
      </c>
      <c r="O509">
        <v>2</v>
      </c>
      <c r="P509">
        <v>6</v>
      </c>
      <c r="Q509">
        <v>0</v>
      </c>
    </row>
    <row r="510" spans="1:17" x14ac:dyDescent="0.3">
      <c r="A510">
        <v>16</v>
      </c>
      <c r="B510" t="s">
        <v>16</v>
      </c>
      <c r="C510" t="str">
        <f>IF(Table1[[#This Row],[age]]&gt;18,"Adult","Teenage")</f>
        <v>Teenage</v>
      </c>
      <c r="D510">
        <v>2.1</v>
      </c>
      <c r="E510" t="s">
        <v>17</v>
      </c>
      <c r="F510">
        <v>8.1999999999999993</v>
      </c>
      <c r="G510">
        <f>Table1[[#This Row],[sleep_hours]]-Table1[[#This Row],[daily_social_media_hours]]</f>
        <v>6.1</v>
      </c>
      <c r="H510">
        <v>2.4</v>
      </c>
      <c r="I510">
        <v>3.25</v>
      </c>
      <c r="J510" t="str" cm="1">
        <f t="array" ref="J510">_xlfn.IFS(Table1[[#This Row],[academic_performance]]&gt;1,"Need Improvement",Table1[[#This Row],[academic_performance]]&gt;2,"Good",Table1[[#This Row],[academic_performance]]&gt;3,"Very good",Table1[[#This Row],[academic_performance]]&gt;4,"Excellent")</f>
        <v>Need Improvement</v>
      </c>
      <c r="K510">
        <v>0.1</v>
      </c>
      <c r="L510" t="str">
        <f>IF(Table1[[#This Row],[physical_activity]]&gt;1.9,"better overall ","lower rate of depression")</f>
        <v>lower rate of depression</v>
      </c>
      <c r="M510" t="s">
        <v>18</v>
      </c>
      <c r="N510">
        <v>1</v>
      </c>
      <c r="O510">
        <v>1</v>
      </c>
      <c r="P510">
        <v>8</v>
      </c>
      <c r="Q510">
        <v>0</v>
      </c>
    </row>
    <row r="511" spans="1:17" x14ac:dyDescent="0.3">
      <c r="A511">
        <v>17</v>
      </c>
      <c r="B511" t="s">
        <v>16</v>
      </c>
      <c r="C511" t="str">
        <f>IF(Table1[[#This Row],[age]]&gt;18,"Adult","Teenage")</f>
        <v>Teenage</v>
      </c>
      <c r="D511">
        <v>2.2000000000000002</v>
      </c>
      <c r="E511" t="s">
        <v>17</v>
      </c>
      <c r="F511">
        <v>6.5</v>
      </c>
      <c r="G511">
        <f>Table1[[#This Row],[sleep_hours]]-Table1[[#This Row],[daily_social_media_hours]]</f>
        <v>4.3</v>
      </c>
      <c r="H511">
        <v>3</v>
      </c>
      <c r="I511">
        <v>2.4900000000000002</v>
      </c>
      <c r="J511" t="str" cm="1">
        <f t="array" ref="J511">_xlfn.IFS(Table1[[#This Row],[academic_performance]]&gt;1,"Need Improvement",Table1[[#This Row],[academic_performance]]&gt;2,"Good",Table1[[#This Row],[academic_performance]]&gt;3,"Very good",Table1[[#This Row],[academic_performance]]&gt;4,"Excellent")</f>
        <v>Need Improvement</v>
      </c>
      <c r="K511">
        <v>0.2</v>
      </c>
      <c r="L511" t="str">
        <f>IF(Table1[[#This Row],[physical_activity]]&gt;1.9,"better overall ","lower rate of depression")</f>
        <v>lower rate of depression</v>
      </c>
      <c r="M511" t="s">
        <v>19</v>
      </c>
      <c r="N511">
        <v>5</v>
      </c>
      <c r="O511">
        <v>8</v>
      </c>
      <c r="P511">
        <v>4</v>
      </c>
      <c r="Q511">
        <v>0</v>
      </c>
    </row>
    <row r="512" spans="1:17" x14ac:dyDescent="0.3">
      <c r="A512">
        <v>14</v>
      </c>
      <c r="B512" t="s">
        <v>13</v>
      </c>
      <c r="C512" t="str">
        <f>IF(Table1[[#This Row],[age]]&gt;18,"Adult","Teenage")</f>
        <v>Teenage</v>
      </c>
      <c r="D512">
        <v>5.5</v>
      </c>
      <c r="E512" t="s">
        <v>17</v>
      </c>
      <c r="F512">
        <v>7.4</v>
      </c>
      <c r="G512">
        <f>Table1[[#This Row],[sleep_hours]]-Table1[[#This Row],[daily_social_media_hours]]</f>
        <v>1.9000000000000004</v>
      </c>
      <c r="H512">
        <v>2.9</v>
      </c>
      <c r="I512">
        <v>3.54</v>
      </c>
      <c r="J512" t="str" cm="1">
        <f t="array" ref="J512">_xlfn.IFS(Table1[[#This Row],[academic_performance]]&gt;1,"Need Improvement",Table1[[#This Row],[academic_performance]]&gt;2,"Good",Table1[[#This Row],[academic_performance]]&gt;3,"Very good",Table1[[#This Row],[academic_performance]]&gt;4,"Excellent")</f>
        <v>Need Improvement</v>
      </c>
      <c r="K512">
        <v>1.1000000000000001</v>
      </c>
      <c r="L512" t="str">
        <f>IF(Table1[[#This Row],[physical_activity]]&gt;1.9,"better overall ","lower rate of depression")</f>
        <v>lower rate of depression</v>
      </c>
      <c r="M512" t="s">
        <v>18</v>
      </c>
      <c r="N512">
        <v>8</v>
      </c>
      <c r="O512">
        <v>4</v>
      </c>
      <c r="P512">
        <v>10</v>
      </c>
      <c r="Q512">
        <v>0</v>
      </c>
    </row>
    <row r="513" spans="1:17" x14ac:dyDescent="0.3">
      <c r="A513">
        <v>17</v>
      </c>
      <c r="B513" t="s">
        <v>16</v>
      </c>
      <c r="C513" t="str">
        <f>IF(Table1[[#This Row],[age]]&gt;18,"Adult","Teenage")</f>
        <v>Teenage</v>
      </c>
      <c r="D513">
        <v>6.6</v>
      </c>
      <c r="E513" t="s">
        <v>20</v>
      </c>
      <c r="F513">
        <v>7.4</v>
      </c>
      <c r="G513">
        <f>Table1[[#This Row],[sleep_hours]]-Table1[[#This Row],[daily_social_media_hours]]</f>
        <v>0.80000000000000071</v>
      </c>
      <c r="H513">
        <v>2.2000000000000002</v>
      </c>
      <c r="I513">
        <v>2.63</v>
      </c>
      <c r="J513" t="str" cm="1">
        <f t="array" ref="J513">_xlfn.IFS(Table1[[#This Row],[academic_performance]]&gt;1,"Need Improvement",Table1[[#This Row],[academic_performance]]&gt;2,"Good",Table1[[#This Row],[academic_performance]]&gt;3,"Very good",Table1[[#This Row],[academic_performance]]&gt;4,"Excellent")</f>
        <v>Need Improvement</v>
      </c>
      <c r="K513">
        <v>0.6</v>
      </c>
      <c r="L513" t="str">
        <f>IF(Table1[[#This Row],[physical_activity]]&gt;1.9,"better overall ","lower rate of depression")</f>
        <v>lower rate of depression</v>
      </c>
      <c r="M513" t="s">
        <v>18</v>
      </c>
      <c r="N513">
        <v>7</v>
      </c>
      <c r="O513">
        <v>4</v>
      </c>
      <c r="P513">
        <v>9</v>
      </c>
      <c r="Q513">
        <v>0</v>
      </c>
    </row>
    <row r="514" spans="1:17" x14ac:dyDescent="0.3">
      <c r="A514">
        <v>19</v>
      </c>
      <c r="B514" t="s">
        <v>16</v>
      </c>
      <c r="C514" t="str">
        <f>IF(Table1[[#This Row],[age]]&gt;18,"Adult","Teenage")</f>
        <v>Adult</v>
      </c>
      <c r="D514">
        <v>5.2</v>
      </c>
      <c r="E514" t="s">
        <v>14</v>
      </c>
      <c r="F514">
        <v>6.6</v>
      </c>
      <c r="G514">
        <f>Table1[[#This Row],[sleep_hours]]-Table1[[#This Row],[daily_social_media_hours]]</f>
        <v>1.3999999999999995</v>
      </c>
      <c r="H514">
        <v>1.6</v>
      </c>
      <c r="I514">
        <v>2.36</v>
      </c>
      <c r="J514" t="str" cm="1">
        <f t="array" ref="J514">_xlfn.IFS(Table1[[#This Row],[academic_performance]]&gt;1,"Need Improvement",Table1[[#This Row],[academic_performance]]&gt;2,"Good",Table1[[#This Row],[academic_performance]]&gt;3,"Very good",Table1[[#This Row],[academic_performance]]&gt;4,"Excellent")</f>
        <v>Need Improvement</v>
      </c>
      <c r="K514">
        <v>1.4</v>
      </c>
      <c r="L514" t="str">
        <f>IF(Table1[[#This Row],[physical_activity]]&gt;1.9,"better overall ","lower rate of depression")</f>
        <v>lower rate of depression</v>
      </c>
      <c r="M514" t="s">
        <v>15</v>
      </c>
      <c r="N514">
        <v>2</v>
      </c>
      <c r="O514">
        <v>6</v>
      </c>
      <c r="P514">
        <v>10</v>
      </c>
      <c r="Q514">
        <v>0</v>
      </c>
    </row>
    <row r="515" spans="1:17" x14ac:dyDescent="0.3">
      <c r="A515">
        <v>17</v>
      </c>
      <c r="B515" t="s">
        <v>13</v>
      </c>
      <c r="C515" t="str">
        <f>IF(Table1[[#This Row],[age]]&gt;18,"Adult","Teenage")</f>
        <v>Teenage</v>
      </c>
      <c r="D515">
        <v>4.7</v>
      </c>
      <c r="E515" t="s">
        <v>17</v>
      </c>
      <c r="F515">
        <v>5.0999999999999996</v>
      </c>
      <c r="G515">
        <f>Table1[[#This Row],[sleep_hours]]-Table1[[#This Row],[daily_social_media_hours]]</f>
        <v>0.39999999999999947</v>
      </c>
      <c r="H515">
        <v>2</v>
      </c>
      <c r="I515">
        <v>2.35</v>
      </c>
      <c r="J515" t="str" cm="1">
        <f t="array" ref="J515">_xlfn.IFS(Table1[[#This Row],[academic_performance]]&gt;1,"Need Improvement",Table1[[#This Row],[academic_performance]]&gt;2,"Good",Table1[[#This Row],[academic_performance]]&gt;3,"Very good",Table1[[#This Row],[academic_performance]]&gt;4,"Excellent")</f>
        <v>Need Improvement</v>
      </c>
      <c r="K515">
        <v>1.8</v>
      </c>
      <c r="L515" t="str">
        <f>IF(Table1[[#This Row],[physical_activity]]&gt;1.9,"better overall ","lower rate of depression")</f>
        <v>lower rate of depression</v>
      </c>
      <c r="M515" t="s">
        <v>15</v>
      </c>
      <c r="N515">
        <v>8</v>
      </c>
      <c r="O515">
        <v>9</v>
      </c>
      <c r="P515">
        <v>1</v>
      </c>
      <c r="Q515">
        <v>0</v>
      </c>
    </row>
    <row r="516" spans="1:17" x14ac:dyDescent="0.3">
      <c r="A516">
        <v>19</v>
      </c>
      <c r="B516" t="s">
        <v>16</v>
      </c>
      <c r="C516" t="str">
        <f>IF(Table1[[#This Row],[age]]&gt;18,"Adult","Teenage")</f>
        <v>Adult</v>
      </c>
      <c r="D516">
        <v>7.1</v>
      </c>
      <c r="E516" t="s">
        <v>20</v>
      </c>
      <c r="F516">
        <v>6.3</v>
      </c>
      <c r="G516">
        <f>Table1[[#This Row],[sleep_hours]]-Table1[[#This Row],[daily_social_media_hours]]</f>
        <v>-0.79999999999999982</v>
      </c>
      <c r="H516">
        <v>2.2000000000000002</v>
      </c>
      <c r="I516">
        <v>3.88</v>
      </c>
      <c r="J516" t="str" cm="1">
        <f t="array" ref="J516">_xlfn.IFS(Table1[[#This Row],[academic_performance]]&gt;1,"Need Improvement",Table1[[#This Row],[academic_performance]]&gt;2,"Good",Table1[[#This Row],[academic_performance]]&gt;3,"Very good",Table1[[#This Row],[academic_performance]]&gt;4,"Excellent")</f>
        <v>Need Improvement</v>
      </c>
      <c r="K516">
        <v>0.8</v>
      </c>
      <c r="L516" t="str">
        <f>IF(Table1[[#This Row],[physical_activity]]&gt;1.9,"better overall ","lower rate of depression")</f>
        <v>lower rate of depression</v>
      </c>
      <c r="M516" t="s">
        <v>18</v>
      </c>
      <c r="N516">
        <v>10</v>
      </c>
      <c r="O516">
        <v>4</v>
      </c>
      <c r="P516">
        <v>9</v>
      </c>
      <c r="Q516">
        <v>0</v>
      </c>
    </row>
    <row r="517" spans="1:17" x14ac:dyDescent="0.3">
      <c r="A517">
        <v>19</v>
      </c>
      <c r="B517" t="s">
        <v>16</v>
      </c>
      <c r="C517" t="str">
        <f>IF(Table1[[#This Row],[age]]&gt;18,"Adult","Teenage")</f>
        <v>Adult</v>
      </c>
      <c r="D517">
        <v>4.2</v>
      </c>
      <c r="E517" t="s">
        <v>20</v>
      </c>
      <c r="F517">
        <v>8.1</v>
      </c>
      <c r="G517">
        <f>Table1[[#This Row],[sleep_hours]]-Table1[[#This Row],[daily_social_media_hours]]</f>
        <v>3.8999999999999995</v>
      </c>
      <c r="H517">
        <v>1.4</v>
      </c>
      <c r="I517">
        <v>2.66</v>
      </c>
      <c r="J517" t="str" cm="1">
        <f t="array" ref="J517">_xlfn.IFS(Table1[[#This Row],[academic_performance]]&gt;1,"Need Improvement",Table1[[#This Row],[academic_performance]]&gt;2,"Good",Table1[[#This Row],[academic_performance]]&gt;3,"Very good",Table1[[#This Row],[academic_performance]]&gt;4,"Excellent")</f>
        <v>Need Improvement</v>
      </c>
      <c r="K517">
        <v>1.9</v>
      </c>
      <c r="L517" t="str">
        <f>IF(Table1[[#This Row],[physical_activity]]&gt;1.9,"better overall ","lower rate of depression")</f>
        <v>lower rate of depression</v>
      </c>
      <c r="M517" t="s">
        <v>15</v>
      </c>
      <c r="N517">
        <v>9</v>
      </c>
      <c r="O517">
        <v>4</v>
      </c>
      <c r="P517">
        <v>2</v>
      </c>
      <c r="Q517">
        <v>0</v>
      </c>
    </row>
    <row r="518" spans="1:17" x14ac:dyDescent="0.3">
      <c r="A518">
        <v>17</v>
      </c>
      <c r="B518" t="s">
        <v>16</v>
      </c>
      <c r="C518" t="str">
        <f>IF(Table1[[#This Row],[age]]&gt;18,"Adult","Teenage")</f>
        <v>Teenage</v>
      </c>
      <c r="D518">
        <v>1.3</v>
      </c>
      <c r="E518" t="s">
        <v>14</v>
      </c>
      <c r="F518">
        <v>5.0999999999999996</v>
      </c>
      <c r="G518">
        <f>Table1[[#This Row],[sleep_hours]]-Table1[[#This Row],[daily_social_media_hours]]</f>
        <v>3.8</v>
      </c>
      <c r="H518">
        <v>2.2000000000000002</v>
      </c>
      <c r="I518">
        <v>3.44</v>
      </c>
      <c r="J518" t="str" cm="1">
        <f t="array" ref="J518">_xlfn.IFS(Table1[[#This Row],[academic_performance]]&gt;1,"Need Improvement",Table1[[#This Row],[academic_performance]]&gt;2,"Good",Table1[[#This Row],[academic_performance]]&gt;3,"Very good",Table1[[#This Row],[academic_performance]]&gt;4,"Excellent")</f>
        <v>Need Improvement</v>
      </c>
      <c r="K518">
        <v>0.6</v>
      </c>
      <c r="L518" t="str">
        <f>IF(Table1[[#This Row],[physical_activity]]&gt;1.9,"better overall ","lower rate of depression")</f>
        <v>lower rate of depression</v>
      </c>
      <c r="M518" t="s">
        <v>18</v>
      </c>
      <c r="N518">
        <v>7</v>
      </c>
      <c r="O518">
        <v>8</v>
      </c>
      <c r="P518">
        <v>6</v>
      </c>
      <c r="Q518">
        <v>0</v>
      </c>
    </row>
    <row r="519" spans="1:17" x14ac:dyDescent="0.3">
      <c r="A519">
        <v>18</v>
      </c>
      <c r="B519" t="s">
        <v>13</v>
      </c>
      <c r="C519" t="str">
        <f>IF(Table1[[#This Row],[age]]&gt;18,"Adult","Teenage")</f>
        <v>Teenage</v>
      </c>
      <c r="D519">
        <v>2.6</v>
      </c>
      <c r="E519" t="s">
        <v>20</v>
      </c>
      <c r="F519">
        <v>7.8</v>
      </c>
      <c r="G519">
        <f>Table1[[#This Row],[sleep_hours]]-Table1[[#This Row],[daily_social_media_hours]]</f>
        <v>5.1999999999999993</v>
      </c>
      <c r="H519">
        <v>1.9</v>
      </c>
      <c r="I519">
        <v>3.15</v>
      </c>
      <c r="J519" t="str" cm="1">
        <f t="array" ref="J519">_xlfn.IFS(Table1[[#This Row],[academic_performance]]&gt;1,"Need Improvement",Table1[[#This Row],[academic_performance]]&gt;2,"Good",Table1[[#This Row],[academic_performance]]&gt;3,"Very good",Table1[[#This Row],[academic_performance]]&gt;4,"Excellent")</f>
        <v>Need Improvement</v>
      </c>
      <c r="K519">
        <v>0.4</v>
      </c>
      <c r="L519" t="str">
        <f>IF(Table1[[#This Row],[physical_activity]]&gt;1.9,"better overall ","lower rate of depression")</f>
        <v>lower rate of depression</v>
      </c>
      <c r="M519" t="s">
        <v>19</v>
      </c>
      <c r="N519">
        <v>8</v>
      </c>
      <c r="O519">
        <v>3</v>
      </c>
      <c r="P519">
        <v>2</v>
      </c>
      <c r="Q519">
        <v>0</v>
      </c>
    </row>
    <row r="520" spans="1:17" x14ac:dyDescent="0.3">
      <c r="A520">
        <v>15</v>
      </c>
      <c r="B520" t="s">
        <v>13</v>
      </c>
      <c r="C520" t="str">
        <f>IF(Table1[[#This Row],[age]]&gt;18,"Adult","Teenage")</f>
        <v>Teenage</v>
      </c>
      <c r="D520">
        <v>6.2</v>
      </c>
      <c r="E520" t="s">
        <v>14</v>
      </c>
      <c r="F520">
        <v>8.1</v>
      </c>
      <c r="G520">
        <f>Table1[[#This Row],[sleep_hours]]-Table1[[#This Row],[daily_social_media_hours]]</f>
        <v>1.8999999999999995</v>
      </c>
      <c r="H520">
        <v>2.2999999999999998</v>
      </c>
      <c r="I520">
        <v>3.46</v>
      </c>
      <c r="J520" t="str" cm="1">
        <f t="array" ref="J520">_xlfn.IFS(Table1[[#This Row],[academic_performance]]&gt;1,"Need Improvement",Table1[[#This Row],[academic_performance]]&gt;2,"Good",Table1[[#This Row],[academic_performance]]&gt;3,"Very good",Table1[[#This Row],[academic_performance]]&gt;4,"Excellent")</f>
        <v>Need Improvement</v>
      </c>
      <c r="K520">
        <v>1.3</v>
      </c>
      <c r="L520" t="str">
        <f>IF(Table1[[#This Row],[physical_activity]]&gt;1.9,"better overall ","lower rate of depression")</f>
        <v>lower rate of depression</v>
      </c>
      <c r="M520" t="s">
        <v>15</v>
      </c>
      <c r="N520">
        <v>5</v>
      </c>
      <c r="O520">
        <v>4</v>
      </c>
      <c r="P520">
        <v>9</v>
      </c>
      <c r="Q520">
        <v>0</v>
      </c>
    </row>
    <row r="521" spans="1:17" x14ac:dyDescent="0.3">
      <c r="A521">
        <v>14</v>
      </c>
      <c r="B521" t="s">
        <v>16</v>
      </c>
      <c r="C521" t="str">
        <f>IF(Table1[[#This Row],[age]]&gt;18,"Adult","Teenage")</f>
        <v>Teenage</v>
      </c>
      <c r="D521">
        <v>6.2</v>
      </c>
      <c r="E521" t="s">
        <v>17</v>
      </c>
      <c r="F521">
        <v>5.0999999999999996</v>
      </c>
      <c r="G521">
        <f>Table1[[#This Row],[sleep_hours]]-Table1[[#This Row],[daily_social_media_hours]]</f>
        <v>-1.1000000000000005</v>
      </c>
      <c r="H521">
        <v>1.5</v>
      </c>
      <c r="I521">
        <v>3.85</v>
      </c>
      <c r="J521" t="str" cm="1">
        <f t="array" ref="J521">_xlfn.IFS(Table1[[#This Row],[academic_performance]]&gt;1,"Need Improvement",Table1[[#This Row],[academic_performance]]&gt;2,"Good",Table1[[#This Row],[academic_performance]]&gt;3,"Very good",Table1[[#This Row],[academic_performance]]&gt;4,"Excellent")</f>
        <v>Need Improvement</v>
      </c>
      <c r="K521">
        <v>0.2</v>
      </c>
      <c r="L521" t="str">
        <f>IF(Table1[[#This Row],[physical_activity]]&gt;1.9,"better overall ","lower rate of depression")</f>
        <v>lower rate of depression</v>
      </c>
      <c r="M521" t="s">
        <v>18</v>
      </c>
      <c r="N521">
        <v>3</v>
      </c>
      <c r="O521">
        <v>4</v>
      </c>
      <c r="P521">
        <v>10</v>
      </c>
      <c r="Q521">
        <v>0</v>
      </c>
    </row>
    <row r="522" spans="1:17" x14ac:dyDescent="0.3">
      <c r="A522">
        <v>18</v>
      </c>
      <c r="B522" t="s">
        <v>13</v>
      </c>
      <c r="C522" t="str">
        <f>IF(Table1[[#This Row],[age]]&gt;18,"Adult","Teenage")</f>
        <v>Teenage</v>
      </c>
      <c r="D522">
        <v>4.8</v>
      </c>
      <c r="E522" t="s">
        <v>17</v>
      </c>
      <c r="F522">
        <v>8.5</v>
      </c>
      <c r="G522">
        <f>Table1[[#This Row],[sleep_hours]]-Table1[[#This Row],[daily_social_media_hours]]</f>
        <v>3.7</v>
      </c>
      <c r="H522">
        <v>2.8</v>
      </c>
      <c r="I522">
        <v>3.77</v>
      </c>
      <c r="J522" t="str" cm="1">
        <f t="array" ref="J522">_xlfn.IFS(Table1[[#This Row],[academic_performance]]&gt;1,"Need Improvement",Table1[[#This Row],[academic_performance]]&gt;2,"Good",Table1[[#This Row],[academic_performance]]&gt;3,"Very good",Table1[[#This Row],[academic_performance]]&gt;4,"Excellent")</f>
        <v>Need Improvement</v>
      </c>
      <c r="K522">
        <v>1.3</v>
      </c>
      <c r="L522" t="str">
        <f>IF(Table1[[#This Row],[physical_activity]]&gt;1.9,"better overall ","lower rate of depression")</f>
        <v>lower rate of depression</v>
      </c>
      <c r="M522" t="s">
        <v>15</v>
      </c>
      <c r="N522">
        <v>5</v>
      </c>
      <c r="O522">
        <v>4</v>
      </c>
      <c r="P522">
        <v>3</v>
      </c>
      <c r="Q522">
        <v>0</v>
      </c>
    </row>
    <row r="523" spans="1:17" x14ac:dyDescent="0.3">
      <c r="A523">
        <v>18</v>
      </c>
      <c r="B523" t="s">
        <v>16</v>
      </c>
      <c r="C523" t="str">
        <f>IF(Table1[[#This Row],[age]]&gt;18,"Adult","Teenage")</f>
        <v>Teenage</v>
      </c>
      <c r="D523">
        <v>3</v>
      </c>
      <c r="E523" t="s">
        <v>20</v>
      </c>
      <c r="F523">
        <v>4.5999999999999996</v>
      </c>
      <c r="G523">
        <f>Table1[[#This Row],[sleep_hours]]-Table1[[#This Row],[daily_social_media_hours]]</f>
        <v>1.5999999999999996</v>
      </c>
      <c r="H523">
        <v>2</v>
      </c>
      <c r="I523">
        <v>2.2400000000000002</v>
      </c>
      <c r="J523" t="str" cm="1">
        <f t="array" ref="J523">_xlfn.IFS(Table1[[#This Row],[academic_performance]]&gt;1,"Need Improvement",Table1[[#This Row],[academic_performance]]&gt;2,"Good",Table1[[#This Row],[academic_performance]]&gt;3,"Very good",Table1[[#This Row],[academic_performance]]&gt;4,"Excellent")</f>
        <v>Need Improvement</v>
      </c>
      <c r="K523">
        <v>1.5</v>
      </c>
      <c r="L523" t="str">
        <f>IF(Table1[[#This Row],[physical_activity]]&gt;1.9,"better overall ","lower rate of depression")</f>
        <v>lower rate of depression</v>
      </c>
      <c r="M523" t="s">
        <v>19</v>
      </c>
      <c r="N523">
        <v>10</v>
      </c>
      <c r="O523">
        <v>2</v>
      </c>
      <c r="P523">
        <v>5</v>
      </c>
      <c r="Q523">
        <v>0</v>
      </c>
    </row>
    <row r="524" spans="1:17" x14ac:dyDescent="0.3">
      <c r="A524">
        <v>16</v>
      </c>
      <c r="B524" t="s">
        <v>13</v>
      </c>
      <c r="C524" t="str">
        <f>IF(Table1[[#This Row],[age]]&gt;18,"Adult","Teenage")</f>
        <v>Teenage</v>
      </c>
      <c r="D524">
        <v>4.7</v>
      </c>
      <c r="E524" t="s">
        <v>14</v>
      </c>
      <c r="F524">
        <v>8.1999999999999993</v>
      </c>
      <c r="G524">
        <f>Table1[[#This Row],[sleep_hours]]-Table1[[#This Row],[daily_social_media_hours]]</f>
        <v>3.4999999999999991</v>
      </c>
      <c r="H524">
        <v>2.7</v>
      </c>
      <c r="I524">
        <v>3.04</v>
      </c>
      <c r="J524" t="str" cm="1">
        <f t="array" ref="J524">_xlfn.IFS(Table1[[#This Row],[academic_performance]]&gt;1,"Need Improvement",Table1[[#This Row],[academic_performance]]&gt;2,"Good",Table1[[#This Row],[academic_performance]]&gt;3,"Very good",Table1[[#This Row],[academic_performance]]&gt;4,"Excellent")</f>
        <v>Need Improvement</v>
      </c>
      <c r="K524">
        <v>0.3</v>
      </c>
      <c r="L524" t="str">
        <f>IF(Table1[[#This Row],[physical_activity]]&gt;1.9,"better overall ","lower rate of depression")</f>
        <v>lower rate of depression</v>
      </c>
      <c r="M524" t="s">
        <v>18</v>
      </c>
      <c r="N524">
        <v>1</v>
      </c>
      <c r="O524">
        <v>3</v>
      </c>
      <c r="P524">
        <v>4</v>
      </c>
      <c r="Q524">
        <v>0</v>
      </c>
    </row>
    <row r="525" spans="1:17" x14ac:dyDescent="0.3">
      <c r="A525">
        <v>18</v>
      </c>
      <c r="B525" t="s">
        <v>16</v>
      </c>
      <c r="C525" t="str">
        <f>IF(Table1[[#This Row],[age]]&gt;18,"Adult","Teenage")</f>
        <v>Teenage</v>
      </c>
      <c r="D525">
        <v>4.4000000000000004</v>
      </c>
      <c r="E525" t="s">
        <v>20</v>
      </c>
      <c r="F525">
        <v>5.0999999999999996</v>
      </c>
      <c r="G525">
        <f>Table1[[#This Row],[sleep_hours]]-Table1[[#This Row],[daily_social_media_hours]]</f>
        <v>0.69999999999999929</v>
      </c>
      <c r="H525">
        <v>1.4</v>
      </c>
      <c r="I525">
        <v>2.33</v>
      </c>
      <c r="J525" t="str" cm="1">
        <f t="array" ref="J525">_xlfn.IFS(Table1[[#This Row],[academic_performance]]&gt;1,"Need Improvement",Table1[[#This Row],[academic_performance]]&gt;2,"Good",Table1[[#This Row],[academic_performance]]&gt;3,"Very good",Table1[[#This Row],[academic_performance]]&gt;4,"Excellent")</f>
        <v>Need Improvement</v>
      </c>
      <c r="K525">
        <v>0.6</v>
      </c>
      <c r="L525" t="str">
        <f>IF(Table1[[#This Row],[physical_activity]]&gt;1.9,"better overall ","lower rate of depression")</f>
        <v>lower rate of depression</v>
      </c>
      <c r="M525" t="s">
        <v>15</v>
      </c>
      <c r="N525">
        <v>2</v>
      </c>
      <c r="O525">
        <v>7</v>
      </c>
      <c r="P525">
        <v>4</v>
      </c>
      <c r="Q525">
        <v>0</v>
      </c>
    </row>
    <row r="526" spans="1:17" x14ac:dyDescent="0.3">
      <c r="A526">
        <v>14</v>
      </c>
      <c r="B526" t="s">
        <v>16</v>
      </c>
      <c r="C526" t="str">
        <f>IF(Table1[[#This Row],[age]]&gt;18,"Adult","Teenage")</f>
        <v>Teenage</v>
      </c>
      <c r="D526">
        <v>2.2999999999999998</v>
      </c>
      <c r="E526" t="s">
        <v>17</v>
      </c>
      <c r="F526">
        <v>7.3</v>
      </c>
      <c r="G526">
        <f>Table1[[#This Row],[sleep_hours]]-Table1[[#This Row],[daily_social_media_hours]]</f>
        <v>5</v>
      </c>
      <c r="H526">
        <v>2.2999999999999998</v>
      </c>
      <c r="I526">
        <v>2.8</v>
      </c>
      <c r="J526" t="str" cm="1">
        <f t="array" ref="J526">_xlfn.IFS(Table1[[#This Row],[academic_performance]]&gt;1,"Need Improvement",Table1[[#This Row],[academic_performance]]&gt;2,"Good",Table1[[#This Row],[academic_performance]]&gt;3,"Very good",Table1[[#This Row],[academic_performance]]&gt;4,"Excellent")</f>
        <v>Need Improvement</v>
      </c>
      <c r="K526">
        <v>1.5</v>
      </c>
      <c r="L526" t="str">
        <f>IF(Table1[[#This Row],[physical_activity]]&gt;1.9,"better overall ","lower rate of depression")</f>
        <v>lower rate of depression</v>
      </c>
      <c r="M526" t="s">
        <v>19</v>
      </c>
      <c r="N526">
        <v>4</v>
      </c>
      <c r="O526">
        <v>6</v>
      </c>
      <c r="P526">
        <v>5</v>
      </c>
      <c r="Q526">
        <v>0</v>
      </c>
    </row>
    <row r="527" spans="1:17" x14ac:dyDescent="0.3">
      <c r="A527">
        <v>14</v>
      </c>
      <c r="B527" t="s">
        <v>16</v>
      </c>
      <c r="C527" t="str">
        <f>IF(Table1[[#This Row],[age]]&gt;18,"Adult","Teenage")</f>
        <v>Teenage</v>
      </c>
      <c r="D527">
        <v>3.1</v>
      </c>
      <c r="E527" t="s">
        <v>14</v>
      </c>
      <c r="F527">
        <v>6.9</v>
      </c>
      <c r="G527">
        <f>Table1[[#This Row],[sleep_hours]]-Table1[[#This Row],[daily_social_media_hours]]</f>
        <v>3.8000000000000003</v>
      </c>
      <c r="H527">
        <v>1.9</v>
      </c>
      <c r="I527">
        <v>2.2000000000000002</v>
      </c>
      <c r="J527" t="str" cm="1">
        <f t="array" ref="J527">_xlfn.IFS(Table1[[#This Row],[academic_performance]]&gt;1,"Need Improvement",Table1[[#This Row],[academic_performance]]&gt;2,"Good",Table1[[#This Row],[academic_performance]]&gt;3,"Very good",Table1[[#This Row],[academic_performance]]&gt;4,"Excellent")</f>
        <v>Need Improvement</v>
      </c>
      <c r="K527">
        <v>1.2</v>
      </c>
      <c r="L527" t="str">
        <f>IF(Table1[[#This Row],[physical_activity]]&gt;1.9,"better overall ","lower rate of depression")</f>
        <v>lower rate of depression</v>
      </c>
      <c r="M527" t="s">
        <v>19</v>
      </c>
      <c r="N527">
        <v>3</v>
      </c>
      <c r="O527">
        <v>4</v>
      </c>
      <c r="P527">
        <v>2</v>
      </c>
      <c r="Q527">
        <v>0</v>
      </c>
    </row>
    <row r="528" spans="1:17" x14ac:dyDescent="0.3">
      <c r="A528">
        <v>18</v>
      </c>
      <c r="B528" t="s">
        <v>13</v>
      </c>
      <c r="C528" t="str">
        <f>IF(Table1[[#This Row],[age]]&gt;18,"Adult","Teenage")</f>
        <v>Teenage</v>
      </c>
      <c r="D528">
        <v>2.9</v>
      </c>
      <c r="E528" t="s">
        <v>17</v>
      </c>
      <c r="F528">
        <v>7.5</v>
      </c>
      <c r="G528">
        <f>Table1[[#This Row],[sleep_hours]]-Table1[[#This Row],[daily_social_media_hours]]</f>
        <v>4.5999999999999996</v>
      </c>
      <c r="H528">
        <v>0.6</v>
      </c>
      <c r="I528">
        <v>2.25</v>
      </c>
      <c r="J528" t="str" cm="1">
        <f t="array" ref="J528">_xlfn.IFS(Table1[[#This Row],[academic_performance]]&gt;1,"Need Improvement",Table1[[#This Row],[academic_performance]]&gt;2,"Good",Table1[[#This Row],[academic_performance]]&gt;3,"Very good",Table1[[#This Row],[academic_performance]]&gt;4,"Excellent")</f>
        <v>Need Improvement</v>
      </c>
      <c r="K528">
        <v>1</v>
      </c>
      <c r="L528" t="str">
        <f>IF(Table1[[#This Row],[physical_activity]]&gt;1.9,"better overall ","lower rate of depression")</f>
        <v>lower rate of depression</v>
      </c>
      <c r="M528" t="s">
        <v>18</v>
      </c>
      <c r="N528">
        <v>4</v>
      </c>
      <c r="O528">
        <v>7</v>
      </c>
      <c r="P528">
        <v>4</v>
      </c>
      <c r="Q528">
        <v>0</v>
      </c>
    </row>
    <row r="529" spans="1:17" x14ac:dyDescent="0.3">
      <c r="A529">
        <v>13</v>
      </c>
      <c r="B529" t="s">
        <v>13</v>
      </c>
      <c r="C529" t="str">
        <f>IF(Table1[[#This Row],[age]]&gt;18,"Adult","Teenage")</f>
        <v>Teenage</v>
      </c>
      <c r="D529">
        <v>1.8</v>
      </c>
      <c r="E529" t="s">
        <v>14</v>
      </c>
      <c r="F529">
        <v>4.4000000000000004</v>
      </c>
      <c r="G529">
        <f>Table1[[#This Row],[sleep_hours]]-Table1[[#This Row],[daily_social_media_hours]]</f>
        <v>2.6000000000000005</v>
      </c>
      <c r="H529">
        <v>0.6</v>
      </c>
      <c r="I529">
        <v>3.48</v>
      </c>
      <c r="J529" t="str" cm="1">
        <f t="array" ref="J529">_xlfn.IFS(Table1[[#This Row],[academic_performance]]&gt;1,"Need Improvement",Table1[[#This Row],[academic_performance]]&gt;2,"Good",Table1[[#This Row],[academic_performance]]&gt;3,"Very good",Table1[[#This Row],[academic_performance]]&gt;4,"Excellent")</f>
        <v>Need Improvement</v>
      </c>
      <c r="K529">
        <v>1.7</v>
      </c>
      <c r="L529" t="str">
        <f>IF(Table1[[#This Row],[physical_activity]]&gt;1.9,"better overall ","lower rate of depression")</f>
        <v>lower rate of depression</v>
      </c>
      <c r="M529" t="s">
        <v>19</v>
      </c>
      <c r="N529">
        <v>3</v>
      </c>
      <c r="O529">
        <v>1</v>
      </c>
      <c r="P529">
        <v>10</v>
      </c>
      <c r="Q529">
        <v>0</v>
      </c>
    </row>
    <row r="530" spans="1:17" x14ac:dyDescent="0.3">
      <c r="A530">
        <v>15</v>
      </c>
      <c r="B530" t="s">
        <v>16</v>
      </c>
      <c r="C530" t="str">
        <f>IF(Table1[[#This Row],[age]]&gt;18,"Adult","Teenage")</f>
        <v>Teenage</v>
      </c>
      <c r="D530">
        <v>2</v>
      </c>
      <c r="E530" t="s">
        <v>14</v>
      </c>
      <c r="F530">
        <v>4.7</v>
      </c>
      <c r="G530">
        <f>Table1[[#This Row],[sleep_hours]]-Table1[[#This Row],[daily_social_media_hours]]</f>
        <v>2.7</v>
      </c>
      <c r="H530">
        <v>1.3</v>
      </c>
      <c r="I530">
        <v>3.55</v>
      </c>
      <c r="J530" t="str" cm="1">
        <f t="array" ref="J530">_xlfn.IFS(Table1[[#This Row],[academic_performance]]&gt;1,"Need Improvement",Table1[[#This Row],[academic_performance]]&gt;2,"Good",Table1[[#This Row],[academic_performance]]&gt;3,"Very good",Table1[[#This Row],[academic_performance]]&gt;4,"Excellent")</f>
        <v>Need Improvement</v>
      </c>
      <c r="K530">
        <v>1.3</v>
      </c>
      <c r="L530" t="str">
        <f>IF(Table1[[#This Row],[physical_activity]]&gt;1.9,"better overall ","lower rate of depression")</f>
        <v>lower rate of depression</v>
      </c>
      <c r="M530" t="s">
        <v>15</v>
      </c>
      <c r="N530">
        <v>2</v>
      </c>
      <c r="O530">
        <v>6</v>
      </c>
      <c r="P530">
        <v>5</v>
      </c>
      <c r="Q530">
        <v>0</v>
      </c>
    </row>
    <row r="531" spans="1:17" x14ac:dyDescent="0.3">
      <c r="A531">
        <v>13</v>
      </c>
      <c r="B531" t="s">
        <v>16</v>
      </c>
      <c r="C531" t="str">
        <f>IF(Table1[[#This Row],[age]]&gt;18,"Adult","Teenage")</f>
        <v>Teenage</v>
      </c>
      <c r="D531">
        <v>4.2</v>
      </c>
      <c r="E531" t="s">
        <v>14</v>
      </c>
      <c r="F531">
        <v>7.9</v>
      </c>
      <c r="G531">
        <f>Table1[[#This Row],[sleep_hours]]-Table1[[#This Row],[daily_social_media_hours]]</f>
        <v>3.7</v>
      </c>
      <c r="H531">
        <v>2.7</v>
      </c>
      <c r="I531">
        <v>3.76</v>
      </c>
      <c r="J531" t="str" cm="1">
        <f t="array" ref="J531">_xlfn.IFS(Table1[[#This Row],[academic_performance]]&gt;1,"Need Improvement",Table1[[#This Row],[academic_performance]]&gt;2,"Good",Table1[[#This Row],[academic_performance]]&gt;3,"Very good",Table1[[#This Row],[academic_performance]]&gt;4,"Excellent")</f>
        <v>Need Improvement</v>
      </c>
      <c r="K531">
        <v>0.1</v>
      </c>
      <c r="L531" t="str">
        <f>IF(Table1[[#This Row],[physical_activity]]&gt;1.9,"better overall ","lower rate of depression")</f>
        <v>lower rate of depression</v>
      </c>
      <c r="M531" t="s">
        <v>19</v>
      </c>
      <c r="N531">
        <v>10</v>
      </c>
      <c r="O531">
        <v>7</v>
      </c>
      <c r="P531">
        <v>2</v>
      </c>
      <c r="Q531">
        <v>0</v>
      </c>
    </row>
    <row r="532" spans="1:17" x14ac:dyDescent="0.3">
      <c r="A532">
        <v>17</v>
      </c>
      <c r="B532" t="s">
        <v>16</v>
      </c>
      <c r="C532" t="str">
        <f>IF(Table1[[#This Row],[age]]&gt;18,"Adult","Teenage")</f>
        <v>Teenage</v>
      </c>
      <c r="D532">
        <v>6.7</v>
      </c>
      <c r="E532" t="s">
        <v>20</v>
      </c>
      <c r="F532">
        <v>7.9</v>
      </c>
      <c r="G532">
        <f>Table1[[#This Row],[sleep_hours]]-Table1[[#This Row],[daily_social_media_hours]]</f>
        <v>1.2000000000000002</v>
      </c>
      <c r="H532">
        <v>1.4</v>
      </c>
      <c r="I532">
        <v>3.91</v>
      </c>
      <c r="J532" t="str" cm="1">
        <f t="array" ref="J532">_xlfn.IFS(Table1[[#This Row],[academic_performance]]&gt;1,"Need Improvement",Table1[[#This Row],[academic_performance]]&gt;2,"Good",Table1[[#This Row],[academic_performance]]&gt;3,"Very good",Table1[[#This Row],[academic_performance]]&gt;4,"Excellent")</f>
        <v>Need Improvement</v>
      </c>
      <c r="K532">
        <v>0.4</v>
      </c>
      <c r="L532" t="str">
        <f>IF(Table1[[#This Row],[physical_activity]]&gt;1.9,"better overall ","lower rate of depression")</f>
        <v>lower rate of depression</v>
      </c>
      <c r="M532" t="s">
        <v>18</v>
      </c>
      <c r="N532">
        <v>3</v>
      </c>
      <c r="O532">
        <v>3</v>
      </c>
      <c r="P532">
        <v>1</v>
      </c>
      <c r="Q532">
        <v>0</v>
      </c>
    </row>
    <row r="533" spans="1:17" x14ac:dyDescent="0.3">
      <c r="A533">
        <v>17</v>
      </c>
      <c r="B533" t="s">
        <v>16</v>
      </c>
      <c r="C533" t="str">
        <f>IF(Table1[[#This Row],[age]]&gt;18,"Adult","Teenage")</f>
        <v>Teenage</v>
      </c>
      <c r="D533">
        <v>2.2000000000000002</v>
      </c>
      <c r="E533" t="s">
        <v>20</v>
      </c>
      <c r="F533">
        <v>7.2</v>
      </c>
      <c r="G533">
        <f>Table1[[#This Row],[sleep_hours]]-Table1[[#This Row],[daily_social_media_hours]]</f>
        <v>5</v>
      </c>
      <c r="H533">
        <v>0.5</v>
      </c>
      <c r="I533">
        <v>2.38</v>
      </c>
      <c r="J533" t="str" cm="1">
        <f t="array" ref="J533">_xlfn.IFS(Table1[[#This Row],[academic_performance]]&gt;1,"Need Improvement",Table1[[#This Row],[academic_performance]]&gt;2,"Good",Table1[[#This Row],[academic_performance]]&gt;3,"Very good",Table1[[#This Row],[academic_performance]]&gt;4,"Excellent")</f>
        <v>Need Improvement</v>
      </c>
      <c r="K533">
        <v>1.2</v>
      </c>
      <c r="L533" t="str">
        <f>IF(Table1[[#This Row],[physical_activity]]&gt;1.9,"better overall ","lower rate of depression")</f>
        <v>lower rate of depression</v>
      </c>
      <c r="M533" t="s">
        <v>19</v>
      </c>
      <c r="N533">
        <v>10</v>
      </c>
      <c r="O533">
        <v>4</v>
      </c>
      <c r="P533">
        <v>8</v>
      </c>
      <c r="Q533">
        <v>0</v>
      </c>
    </row>
    <row r="534" spans="1:17" x14ac:dyDescent="0.3">
      <c r="A534">
        <v>17</v>
      </c>
      <c r="B534" t="s">
        <v>16</v>
      </c>
      <c r="C534" t="str">
        <f>IF(Table1[[#This Row],[age]]&gt;18,"Adult","Teenage")</f>
        <v>Teenage</v>
      </c>
      <c r="D534">
        <v>1.1000000000000001</v>
      </c>
      <c r="E534" t="s">
        <v>17</v>
      </c>
      <c r="F534">
        <v>6.8</v>
      </c>
      <c r="G534">
        <f>Table1[[#This Row],[sleep_hours]]-Table1[[#This Row],[daily_social_media_hours]]</f>
        <v>5.6999999999999993</v>
      </c>
      <c r="H534">
        <v>0.6</v>
      </c>
      <c r="I534">
        <v>2.2799999999999998</v>
      </c>
      <c r="J534" t="str" cm="1">
        <f t="array" ref="J534">_xlfn.IFS(Table1[[#This Row],[academic_performance]]&gt;1,"Need Improvement",Table1[[#This Row],[academic_performance]]&gt;2,"Good",Table1[[#This Row],[academic_performance]]&gt;3,"Very good",Table1[[#This Row],[academic_performance]]&gt;4,"Excellent")</f>
        <v>Need Improvement</v>
      </c>
      <c r="K534">
        <v>1.6</v>
      </c>
      <c r="L534" t="str">
        <f>IF(Table1[[#This Row],[physical_activity]]&gt;1.9,"better overall ","lower rate of depression")</f>
        <v>lower rate of depression</v>
      </c>
      <c r="M534" t="s">
        <v>19</v>
      </c>
      <c r="N534">
        <v>9</v>
      </c>
      <c r="O534">
        <v>3</v>
      </c>
      <c r="P534">
        <v>7</v>
      </c>
      <c r="Q534">
        <v>0</v>
      </c>
    </row>
    <row r="535" spans="1:17" x14ac:dyDescent="0.3">
      <c r="A535">
        <v>16</v>
      </c>
      <c r="B535" t="s">
        <v>16</v>
      </c>
      <c r="C535" t="str">
        <f>IF(Table1[[#This Row],[age]]&gt;18,"Adult","Teenage")</f>
        <v>Teenage</v>
      </c>
      <c r="D535">
        <v>6.4</v>
      </c>
      <c r="E535" t="s">
        <v>17</v>
      </c>
      <c r="F535">
        <v>5.9</v>
      </c>
      <c r="G535">
        <f>Table1[[#This Row],[sleep_hours]]-Table1[[#This Row],[daily_social_media_hours]]</f>
        <v>-0.5</v>
      </c>
      <c r="H535">
        <v>2.8</v>
      </c>
      <c r="I535">
        <v>3.81</v>
      </c>
      <c r="J535" t="str" cm="1">
        <f t="array" ref="J535">_xlfn.IFS(Table1[[#This Row],[academic_performance]]&gt;1,"Need Improvement",Table1[[#This Row],[academic_performance]]&gt;2,"Good",Table1[[#This Row],[academic_performance]]&gt;3,"Very good",Table1[[#This Row],[academic_performance]]&gt;4,"Excellent")</f>
        <v>Need Improvement</v>
      </c>
      <c r="K535">
        <v>1.3</v>
      </c>
      <c r="L535" t="str">
        <f>IF(Table1[[#This Row],[physical_activity]]&gt;1.9,"better overall ","lower rate of depression")</f>
        <v>lower rate of depression</v>
      </c>
      <c r="M535" t="s">
        <v>18</v>
      </c>
      <c r="N535">
        <v>1</v>
      </c>
      <c r="O535">
        <v>3</v>
      </c>
      <c r="P535">
        <v>7</v>
      </c>
      <c r="Q535">
        <v>0</v>
      </c>
    </row>
    <row r="536" spans="1:17" x14ac:dyDescent="0.3">
      <c r="A536">
        <v>19</v>
      </c>
      <c r="B536" t="s">
        <v>16</v>
      </c>
      <c r="C536" t="str">
        <f>IF(Table1[[#This Row],[age]]&gt;18,"Adult","Teenage")</f>
        <v>Adult</v>
      </c>
      <c r="D536">
        <v>2.8</v>
      </c>
      <c r="E536" t="s">
        <v>14</v>
      </c>
      <c r="F536">
        <v>5.9</v>
      </c>
      <c r="G536">
        <f>Table1[[#This Row],[sleep_hours]]-Table1[[#This Row],[daily_social_media_hours]]</f>
        <v>3.1000000000000005</v>
      </c>
      <c r="H536">
        <v>1.5</v>
      </c>
      <c r="I536">
        <v>2.85</v>
      </c>
      <c r="J536" t="str" cm="1">
        <f t="array" ref="J536">_xlfn.IFS(Table1[[#This Row],[academic_performance]]&gt;1,"Need Improvement",Table1[[#This Row],[academic_performance]]&gt;2,"Good",Table1[[#This Row],[academic_performance]]&gt;3,"Very good",Table1[[#This Row],[academic_performance]]&gt;4,"Excellent")</f>
        <v>Need Improvement</v>
      </c>
      <c r="K536">
        <v>0.6</v>
      </c>
      <c r="L536" t="str">
        <f>IF(Table1[[#This Row],[physical_activity]]&gt;1.9,"better overall ","lower rate of depression")</f>
        <v>lower rate of depression</v>
      </c>
      <c r="M536" t="s">
        <v>18</v>
      </c>
      <c r="N536">
        <v>10</v>
      </c>
      <c r="O536">
        <v>9</v>
      </c>
      <c r="P536">
        <v>4</v>
      </c>
      <c r="Q536">
        <v>0</v>
      </c>
    </row>
    <row r="537" spans="1:17" x14ac:dyDescent="0.3">
      <c r="A537">
        <v>13</v>
      </c>
      <c r="B537" t="s">
        <v>13</v>
      </c>
      <c r="C537" t="str">
        <f>IF(Table1[[#This Row],[age]]&gt;18,"Adult","Teenage")</f>
        <v>Teenage</v>
      </c>
      <c r="D537">
        <v>2.2000000000000002</v>
      </c>
      <c r="E537" t="s">
        <v>20</v>
      </c>
      <c r="F537">
        <v>5.8</v>
      </c>
      <c r="G537">
        <f>Table1[[#This Row],[sleep_hours]]-Table1[[#This Row],[daily_social_media_hours]]</f>
        <v>3.5999999999999996</v>
      </c>
      <c r="H537">
        <v>2</v>
      </c>
      <c r="I537">
        <v>3.63</v>
      </c>
      <c r="J537" t="str" cm="1">
        <f t="array" ref="J537">_xlfn.IFS(Table1[[#This Row],[academic_performance]]&gt;1,"Need Improvement",Table1[[#This Row],[academic_performance]]&gt;2,"Good",Table1[[#This Row],[academic_performance]]&gt;3,"Very good",Table1[[#This Row],[academic_performance]]&gt;4,"Excellent")</f>
        <v>Need Improvement</v>
      </c>
      <c r="K537">
        <v>1.9</v>
      </c>
      <c r="L537" t="str">
        <f>IF(Table1[[#This Row],[physical_activity]]&gt;1.9,"better overall ","lower rate of depression")</f>
        <v>lower rate of depression</v>
      </c>
      <c r="M537" t="s">
        <v>15</v>
      </c>
      <c r="N537">
        <v>4</v>
      </c>
      <c r="O537">
        <v>4</v>
      </c>
      <c r="P537">
        <v>10</v>
      </c>
      <c r="Q537">
        <v>0</v>
      </c>
    </row>
    <row r="538" spans="1:17" x14ac:dyDescent="0.3">
      <c r="A538">
        <v>19</v>
      </c>
      <c r="B538" t="s">
        <v>13</v>
      </c>
      <c r="C538" t="str">
        <f>IF(Table1[[#This Row],[age]]&gt;18,"Adult","Teenage")</f>
        <v>Adult</v>
      </c>
      <c r="D538">
        <v>5.7</v>
      </c>
      <c r="E538" t="s">
        <v>14</v>
      </c>
      <c r="F538">
        <v>4.8</v>
      </c>
      <c r="G538">
        <f>Table1[[#This Row],[sleep_hours]]-Table1[[#This Row],[daily_social_media_hours]]</f>
        <v>-0.90000000000000036</v>
      </c>
      <c r="H538">
        <v>2.2000000000000002</v>
      </c>
      <c r="I538">
        <v>3.66</v>
      </c>
      <c r="J538" t="str" cm="1">
        <f t="array" ref="J538">_xlfn.IFS(Table1[[#This Row],[academic_performance]]&gt;1,"Need Improvement",Table1[[#This Row],[academic_performance]]&gt;2,"Good",Table1[[#This Row],[academic_performance]]&gt;3,"Very good",Table1[[#This Row],[academic_performance]]&gt;4,"Excellent")</f>
        <v>Need Improvement</v>
      </c>
      <c r="K538">
        <v>0.9</v>
      </c>
      <c r="L538" t="str">
        <f>IF(Table1[[#This Row],[physical_activity]]&gt;1.9,"better overall ","lower rate of depression")</f>
        <v>lower rate of depression</v>
      </c>
      <c r="M538" t="s">
        <v>15</v>
      </c>
      <c r="N538">
        <v>3</v>
      </c>
      <c r="O538">
        <v>7</v>
      </c>
      <c r="P538">
        <v>5</v>
      </c>
      <c r="Q538">
        <v>0</v>
      </c>
    </row>
    <row r="539" spans="1:17" x14ac:dyDescent="0.3">
      <c r="A539">
        <v>15</v>
      </c>
      <c r="B539" t="s">
        <v>13</v>
      </c>
      <c r="C539" t="str">
        <f>IF(Table1[[#This Row],[age]]&gt;18,"Adult","Teenage")</f>
        <v>Teenage</v>
      </c>
      <c r="D539">
        <v>5.3</v>
      </c>
      <c r="E539" t="s">
        <v>20</v>
      </c>
      <c r="F539">
        <v>7.3</v>
      </c>
      <c r="G539">
        <f>Table1[[#This Row],[sleep_hours]]-Table1[[#This Row],[daily_social_media_hours]]</f>
        <v>2</v>
      </c>
      <c r="H539">
        <v>1.9</v>
      </c>
      <c r="I539">
        <v>2.5099999999999998</v>
      </c>
      <c r="J539" t="str" cm="1">
        <f t="array" ref="J539">_xlfn.IFS(Table1[[#This Row],[academic_performance]]&gt;1,"Need Improvement",Table1[[#This Row],[academic_performance]]&gt;2,"Good",Table1[[#This Row],[academic_performance]]&gt;3,"Very good",Table1[[#This Row],[academic_performance]]&gt;4,"Excellent")</f>
        <v>Need Improvement</v>
      </c>
      <c r="K539">
        <v>1.4</v>
      </c>
      <c r="L539" t="str">
        <f>IF(Table1[[#This Row],[physical_activity]]&gt;1.9,"better overall ","lower rate of depression")</f>
        <v>lower rate of depression</v>
      </c>
      <c r="M539" t="s">
        <v>18</v>
      </c>
      <c r="N539">
        <v>10</v>
      </c>
      <c r="O539">
        <v>4</v>
      </c>
      <c r="P539">
        <v>2</v>
      </c>
      <c r="Q539">
        <v>0</v>
      </c>
    </row>
    <row r="540" spans="1:17" x14ac:dyDescent="0.3">
      <c r="A540">
        <v>14</v>
      </c>
      <c r="B540" t="s">
        <v>13</v>
      </c>
      <c r="C540" t="str">
        <f>IF(Table1[[#This Row],[age]]&gt;18,"Adult","Teenage")</f>
        <v>Teenage</v>
      </c>
      <c r="D540">
        <v>3.1</v>
      </c>
      <c r="E540" t="s">
        <v>17</v>
      </c>
      <c r="F540">
        <v>8.8000000000000007</v>
      </c>
      <c r="G540">
        <f>Table1[[#This Row],[sleep_hours]]-Table1[[#This Row],[daily_social_media_hours]]</f>
        <v>5.7000000000000011</v>
      </c>
      <c r="H540">
        <v>1.5</v>
      </c>
      <c r="I540">
        <v>3.91</v>
      </c>
      <c r="J540" t="str" cm="1">
        <f t="array" ref="J540">_xlfn.IFS(Table1[[#This Row],[academic_performance]]&gt;1,"Need Improvement",Table1[[#This Row],[academic_performance]]&gt;2,"Good",Table1[[#This Row],[academic_performance]]&gt;3,"Very good",Table1[[#This Row],[academic_performance]]&gt;4,"Excellent")</f>
        <v>Need Improvement</v>
      </c>
      <c r="K540">
        <v>0.6</v>
      </c>
      <c r="L540" t="str">
        <f>IF(Table1[[#This Row],[physical_activity]]&gt;1.9,"better overall ","lower rate of depression")</f>
        <v>lower rate of depression</v>
      </c>
      <c r="M540" t="s">
        <v>19</v>
      </c>
      <c r="N540">
        <v>4</v>
      </c>
      <c r="O540">
        <v>9</v>
      </c>
      <c r="P540">
        <v>6</v>
      </c>
      <c r="Q540">
        <v>0</v>
      </c>
    </row>
    <row r="541" spans="1:17" x14ac:dyDescent="0.3">
      <c r="A541">
        <v>16</v>
      </c>
      <c r="B541" t="s">
        <v>13</v>
      </c>
      <c r="C541" t="str">
        <f>IF(Table1[[#This Row],[age]]&gt;18,"Adult","Teenage")</f>
        <v>Teenage</v>
      </c>
      <c r="D541">
        <v>1.7</v>
      </c>
      <c r="E541" t="s">
        <v>17</v>
      </c>
      <c r="F541">
        <v>4.9000000000000004</v>
      </c>
      <c r="G541">
        <f>Table1[[#This Row],[sleep_hours]]-Table1[[#This Row],[daily_social_media_hours]]</f>
        <v>3.2</v>
      </c>
      <c r="H541">
        <v>0.6</v>
      </c>
      <c r="I541">
        <v>3.38</v>
      </c>
      <c r="J541" t="str" cm="1">
        <f t="array" ref="J541">_xlfn.IFS(Table1[[#This Row],[academic_performance]]&gt;1,"Need Improvement",Table1[[#This Row],[academic_performance]]&gt;2,"Good",Table1[[#This Row],[academic_performance]]&gt;3,"Very good",Table1[[#This Row],[academic_performance]]&gt;4,"Excellent")</f>
        <v>Need Improvement</v>
      </c>
      <c r="K541">
        <v>1.1000000000000001</v>
      </c>
      <c r="L541" t="str">
        <f>IF(Table1[[#This Row],[physical_activity]]&gt;1.9,"better overall ","lower rate of depression")</f>
        <v>lower rate of depression</v>
      </c>
      <c r="M541" t="s">
        <v>19</v>
      </c>
      <c r="N541">
        <v>10</v>
      </c>
      <c r="O541">
        <v>4</v>
      </c>
      <c r="P541">
        <v>6</v>
      </c>
      <c r="Q541">
        <v>0</v>
      </c>
    </row>
    <row r="542" spans="1:17" x14ac:dyDescent="0.3">
      <c r="A542">
        <v>19</v>
      </c>
      <c r="B542" t="s">
        <v>16</v>
      </c>
      <c r="C542" t="str">
        <f>IF(Table1[[#This Row],[age]]&gt;18,"Adult","Teenage")</f>
        <v>Adult</v>
      </c>
      <c r="D542">
        <v>6.7</v>
      </c>
      <c r="E542" t="s">
        <v>14</v>
      </c>
      <c r="F542">
        <v>7.3</v>
      </c>
      <c r="G542">
        <f>Table1[[#This Row],[sleep_hours]]-Table1[[#This Row],[daily_social_media_hours]]</f>
        <v>0.59999999999999964</v>
      </c>
      <c r="H542">
        <v>2.8</v>
      </c>
      <c r="I542">
        <v>2.2599999999999998</v>
      </c>
      <c r="J542" t="str" cm="1">
        <f t="array" ref="J542">_xlfn.IFS(Table1[[#This Row],[academic_performance]]&gt;1,"Need Improvement",Table1[[#This Row],[academic_performance]]&gt;2,"Good",Table1[[#This Row],[academic_performance]]&gt;3,"Very good",Table1[[#This Row],[academic_performance]]&gt;4,"Excellent")</f>
        <v>Need Improvement</v>
      </c>
      <c r="K542">
        <v>1.4</v>
      </c>
      <c r="L542" t="str">
        <f>IF(Table1[[#This Row],[physical_activity]]&gt;1.9,"better overall ","lower rate of depression")</f>
        <v>lower rate of depression</v>
      </c>
      <c r="M542" t="s">
        <v>18</v>
      </c>
      <c r="N542">
        <v>7</v>
      </c>
      <c r="O542">
        <v>6</v>
      </c>
      <c r="P542">
        <v>8</v>
      </c>
      <c r="Q542">
        <v>0</v>
      </c>
    </row>
    <row r="543" spans="1:17" x14ac:dyDescent="0.3">
      <c r="A543">
        <v>13</v>
      </c>
      <c r="B543" t="s">
        <v>16</v>
      </c>
      <c r="C543" t="str">
        <f>IF(Table1[[#This Row],[age]]&gt;18,"Adult","Teenage")</f>
        <v>Teenage</v>
      </c>
      <c r="D543">
        <v>7.8</v>
      </c>
      <c r="E543" t="s">
        <v>14</v>
      </c>
      <c r="F543">
        <v>7.4</v>
      </c>
      <c r="G543">
        <f>Table1[[#This Row],[sleep_hours]]-Table1[[#This Row],[daily_social_media_hours]]</f>
        <v>-0.39999999999999947</v>
      </c>
      <c r="H543">
        <v>1.7</v>
      </c>
      <c r="I543">
        <v>2.76</v>
      </c>
      <c r="J543" t="str" cm="1">
        <f t="array" ref="J543">_xlfn.IFS(Table1[[#This Row],[academic_performance]]&gt;1,"Need Improvement",Table1[[#This Row],[academic_performance]]&gt;2,"Good",Table1[[#This Row],[academic_performance]]&gt;3,"Very good",Table1[[#This Row],[academic_performance]]&gt;4,"Excellent")</f>
        <v>Need Improvement</v>
      </c>
      <c r="K543">
        <v>1.1000000000000001</v>
      </c>
      <c r="L543" t="str">
        <f>IF(Table1[[#This Row],[physical_activity]]&gt;1.9,"better overall ","lower rate of depression")</f>
        <v>lower rate of depression</v>
      </c>
      <c r="M543" t="s">
        <v>15</v>
      </c>
      <c r="N543">
        <v>10</v>
      </c>
      <c r="O543">
        <v>1</v>
      </c>
      <c r="P543">
        <v>4</v>
      </c>
      <c r="Q543">
        <v>0</v>
      </c>
    </row>
    <row r="544" spans="1:17" x14ac:dyDescent="0.3">
      <c r="A544">
        <v>18</v>
      </c>
      <c r="B544" t="s">
        <v>16</v>
      </c>
      <c r="C544" t="str">
        <f>IF(Table1[[#This Row],[age]]&gt;18,"Adult","Teenage")</f>
        <v>Teenage</v>
      </c>
      <c r="D544">
        <v>2.1</v>
      </c>
      <c r="E544" t="s">
        <v>20</v>
      </c>
      <c r="F544">
        <v>6.7</v>
      </c>
      <c r="G544">
        <f>Table1[[#This Row],[sleep_hours]]-Table1[[#This Row],[daily_social_media_hours]]</f>
        <v>4.5999999999999996</v>
      </c>
      <c r="H544">
        <v>0.9</v>
      </c>
      <c r="I544">
        <v>3.73</v>
      </c>
      <c r="J544" t="str" cm="1">
        <f t="array" ref="J544">_xlfn.IFS(Table1[[#This Row],[academic_performance]]&gt;1,"Need Improvement",Table1[[#This Row],[academic_performance]]&gt;2,"Good",Table1[[#This Row],[academic_performance]]&gt;3,"Very good",Table1[[#This Row],[academic_performance]]&gt;4,"Excellent")</f>
        <v>Need Improvement</v>
      </c>
      <c r="K544">
        <v>0.7</v>
      </c>
      <c r="L544" t="str">
        <f>IF(Table1[[#This Row],[physical_activity]]&gt;1.9,"better overall ","lower rate of depression")</f>
        <v>lower rate of depression</v>
      </c>
      <c r="M544" t="s">
        <v>15</v>
      </c>
      <c r="N544">
        <v>3</v>
      </c>
      <c r="O544">
        <v>5</v>
      </c>
      <c r="P544">
        <v>7</v>
      </c>
      <c r="Q544">
        <v>0</v>
      </c>
    </row>
    <row r="545" spans="1:17" x14ac:dyDescent="0.3">
      <c r="A545">
        <v>17</v>
      </c>
      <c r="B545" t="s">
        <v>16</v>
      </c>
      <c r="C545" t="str">
        <f>IF(Table1[[#This Row],[age]]&gt;18,"Adult","Teenage")</f>
        <v>Teenage</v>
      </c>
      <c r="D545">
        <v>5.0999999999999996</v>
      </c>
      <c r="E545" t="s">
        <v>17</v>
      </c>
      <c r="F545">
        <v>8.6</v>
      </c>
      <c r="G545">
        <f>Table1[[#This Row],[sleep_hours]]-Table1[[#This Row],[daily_social_media_hours]]</f>
        <v>3.5</v>
      </c>
      <c r="H545">
        <v>1.9</v>
      </c>
      <c r="I545">
        <v>3.33</v>
      </c>
      <c r="J545" t="str" cm="1">
        <f t="array" ref="J545">_xlfn.IFS(Table1[[#This Row],[academic_performance]]&gt;1,"Need Improvement",Table1[[#This Row],[academic_performance]]&gt;2,"Good",Table1[[#This Row],[academic_performance]]&gt;3,"Very good",Table1[[#This Row],[academic_performance]]&gt;4,"Excellent")</f>
        <v>Need Improvement</v>
      </c>
      <c r="K545">
        <v>1.1000000000000001</v>
      </c>
      <c r="L545" t="str">
        <f>IF(Table1[[#This Row],[physical_activity]]&gt;1.9,"better overall ","lower rate of depression")</f>
        <v>lower rate of depression</v>
      </c>
      <c r="M545" t="s">
        <v>15</v>
      </c>
      <c r="N545">
        <v>1</v>
      </c>
      <c r="O545">
        <v>7</v>
      </c>
      <c r="P545">
        <v>8</v>
      </c>
      <c r="Q545">
        <v>0</v>
      </c>
    </row>
    <row r="546" spans="1:17" x14ac:dyDescent="0.3">
      <c r="A546">
        <v>18</v>
      </c>
      <c r="B546" t="s">
        <v>16</v>
      </c>
      <c r="C546" t="str">
        <f>IF(Table1[[#This Row],[age]]&gt;18,"Adult","Teenage")</f>
        <v>Teenage</v>
      </c>
      <c r="D546">
        <v>3.6</v>
      </c>
      <c r="E546" t="s">
        <v>14</v>
      </c>
      <c r="F546">
        <v>5.4</v>
      </c>
      <c r="G546">
        <f>Table1[[#This Row],[sleep_hours]]-Table1[[#This Row],[daily_social_media_hours]]</f>
        <v>1.8000000000000003</v>
      </c>
      <c r="H546">
        <v>0.9</v>
      </c>
      <c r="I546">
        <v>3.45</v>
      </c>
      <c r="J546" t="str" cm="1">
        <f t="array" ref="J546">_xlfn.IFS(Table1[[#This Row],[academic_performance]]&gt;1,"Need Improvement",Table1[[#This Row],[academic_performance]]&gt;2,"Good",Table1[[#This Row],[academic_performance]]&gt;3,"Very good",Table1[[#This Row],[academic_performance]]&gt;4,"Excellent")</f>
        <v>Need Improvement</v>
      </c>
      <c r="K546">
        <v>0.5</v>
      </c>
      <c r="L546" t="str">
        <f>IF(Table1[[#This Row],[physical_activity]]&gt;1.9,"better overall ","lower rate of depression")</f>
        <v>lower rate of depression</v>
      </c>
      <c r="M546" t="s">
        <v>19</v>
      </c>
      <c r="N546">
        <v>1</v>
      </c>
      <c r="O546">
        <v>10</v>
      </c>
      <c r="P546">
        <v>2</v>
      </c>
      <c r="Q546">
        <v>0</v>
      </c>
    </row>
    <row r="547" spans="1:17" x14ac:dyDescent="0.3">
      <c r="A547">
        <v>18</v>
      </c>
      <c r="B547" t="s">
        <v>13</v>
      </c>
      <c r="C547" t="str">
        <f>IF(Table1[[#This Row],[age]]&gt;18,"Adult","Teenage")</f>
        <v>Teenage</v>
      </c>
      <c r="D547">
        <v>5</v>
      </c>
      <c r="E547" t="s">
        <v>20</v>
      </c>
      <c r="F547">
        <v>7.6</v>
      </c>
      <c r="G547">
        <f>Table1[[#This Row],[sleep_hours]]-Table1[[#This Row],[daily_social_media_hours]]</f>
        <v>2.5999999999999996</v>
      </c>
      <c r="H547">
        <v>2</v>
      </c>
      <c r="I547">
        <v>3.94</v>
      </c>
      <c r="J547" t="str" cm="1">
        <f t="array" ref="J547">_xlfn.IFS(Table1[[#This Row],[academic_performance]]&gt;1,"Need Improvement",Table1[[#This Row],[academic_performance]]&gt;2,"Good",Table1[[#This Row],[academic_performance]]&gt;3,"Very good",Table1[[#This Row],[academic_performance]]&gt;4,"Excellent")</f>
        <v>Need Improvement</v>
      </c>
      <c r="K547">
        <v>0.5</v>
      </c>
      <c r="L547" t="str">
        <f>IF(Table1[[#This Row],[physical_activity]]&gt;1.9,"better overall ","lower rate of depression")</f>
        <v>lower rate of depression</v>
      </c>
      <c r="M547" t="s">
        <v>15</v>
      </c>
      <c r="N547">
        <v>4</v>
      </c>
      <c r="O547">
        <v>3</v>
      </c>
      <c r="P547">
        <v>3</v>
      </c>
      <c r="Q547">
        <v>0</v>
      </c>
    </row>
    <row r="548" spans="1:17" x14ac:dyDescent="0.3">
      <c r="A548">
        <v>17</v>
      </c>
      <c r="B548" t="s">
        <v>13</v>
      </c>
      <c r="C548" t="str">
        <f>IF(Table1[[#This Row],[age]]&gt;18,"Adult","Teenage")</f>
        <v>Teenage</v>
      </c>
      <c r="D548">
        <v>1.7</v>
      </c>
      <c r="E548" t="s">
        <v>20</v>
      </c>
      <c r="F548">
        <v>8.6</v>
      </c>
      <c r="G548">
        <f>Table1[[#This Row],[sleep_hours]]-Table1[[#This Row],[daily_social_media_hours]]</f>
        <v>6.8999999999999995</v>
      </c>
      <c r="H548">
        <v>0.9</v>
      </c>
      <c r="I548">
        <v>2.36</v>
      </c>
      <c r="J548" t="str" cm="1">
        <f t="array" ref="J548">_xlfn.IFS(Table1[[#This Row],[academic_performance]]&gt;1,"Need Improvement",Table1[[#This Row],[academic_performance]]&gt;2,"Good",Table1[[#This Row],[academic_performance]]&gt;3,"Very good",Table1[[#This Row],[academic_performance]]&gt;4,"Excellent")</f>
        <v>Need Improvement</v>
      </c>
      <c r="K548">
        <v>1.7</v>
      </c>
      <c r="L548" t="str">
        <f>IF(Table1[[#This Row],[physical_activity]]&gt;1.9,"better overall ","lower rate of depression")</f>
        <v>lower rate of depression</v>
      </c>
      <c r="M548" t="s">
        <v>15</v>
      </c>
      <c r="N548">
        <v>9</v>
      </c>
      <c r="O548">
        <v>1</v>
      </c>
      <c r="P548">
        <v>3</v>
      </c>
      <c r="Q548">
        <v>0</v>
      </c>
    </row>
    <row r="549" spans="1:17" x14ac:dyDescent="0.3">
      <c r="A549">
        <v>17</v>
      </c>
      <c r="B549" t="s">
        <v>13</v>
      </c>
      <c r="C549" t="str">
        <f>IF(Table1[[#This Row],[age]]&gt;18,"Adult","Teenage")</f>
        <v>Teenage</v>
      </c>
      <c r="D549">
        <v>6.8</v>
      </c>
      <c r="E549" t="s">
        <v>14</v>
      </c>
      <c r="F549">
        <v>4.7</v>
      </c>
      <c r="G549">
        <f>Table1[[#This Row],[sleep_hours]]-Table1[[#This Row],[daily_social_media_hours]]</f>
        <v>-2.0999999999999996</v>
      </c>
      <c r="H549">
        <v>0.6</v>
      </c>
      <c r="I549">
        <v>3.4</v>
      </c>
      <c r="J549" t="str" cm="1">
        <f t="array" ref="J549">_xlfn.IFS(Table1[[#This Row],[academic_performance]]&gt;1,"Need Improvement",Table1[[#This Row],[academic_performance]]&gt;2,"Good",Table1[[#This Row],[academic_performance]]&gt;3,"Very good",Table1[[#This Row],[academic_performance]]&gt;4,"Excellent")</f>
        <v>Need Improvement</v>
      </c>
      <c r="K549">
        <v>0.9</v>
      </c>
      <c r="L549" t="str">
        <f>IF(Table1[[#This Row],[physical_activity]]&gt;1.9,"better overall ","lower rate of depression")</f>
        <v>lower rate of depression</v>
      </c>
      <c r="M549" t="s">
        <v>15</v>
      </c>
      <c r="N549">
        <v>3</v>
      </c>
      <c r="O549">
        <v>9</v>
      </c>
      <c r="P549">
        <v>7</v>
      </c>
      <c r="Q549">
        <v>0</v>
      </c>
    </row>
    <row r="550" spans="1:17" x14ac:dyDescent="0.3">
      <c r="A550">
        <v>14</v>
      </c>
      <c r="B550" t="s">
        <v>13</v>
      </c>
      <c r="C550" t="str">
        <f>IF(Table1[[#This Row],[age]]&gt;18,"Adult","Teenage")</f>
        <v>Teenage</v>
      </c>
      <c r="D550">
        <v>3.8</v>
      </c>
      <c r="E550" t="s">
        <v>20</v>
      </c>
      <c r="F550">
        <v>7.5</v>
      </c>
      <c r="G550">
        <f>Table1[[#This Row],[sleep_hours]]-Table1[[#This Row],[daily_social_media_hours]]</f>
        <v>3.7</v>
      </c>
      <c r="H550">
        <v>0.5</v>
      </c>
      <c r="I550">
        <v>2.1800000000000002</v>
      </c>
      <c r="J550" t="str" cm="1">
        <f t="array" ref="J550">_xlfn.IFS(Table1[[#This Row],[academic_performance]]&gt;1,"Need Improvement",Table1[[#This Row],[academic_performance]]&gt;2,"Good",Table1[[#This Row],[academic_performance]]&gt;3,"Very good",Table1[[#This Row],[academic_performance]]&gt;4,"Excellent")</f>
        <v>Need Improvement</v>
      </c>
      <c r="K550">
        <v>1</v>
      </c>
      <c r="L550" t="str">
        <f>IF(Table1[[#This Row],[physical_activity]]&gt;1.9,"better overall ","lower rate of depression")</f>
        <v>lower rate of depression</v>
      </c>
      <c r="M550" t="s">
        <v>19</v>
      </c>
      <c r="N550">
        <v>5</v>
      </c>
      <c r="O550">
        <v>2</v>
      </c>
      <c r="P550">
        <v>2</v>
      </c>
      <c r="Q550">
        <v>0</v>
      </c>
    </row>
    <row r="551" spans="1:17" x14ac:dyDescent="0.3">
      <c r="A551">
        <v>16</v>
      </c>
      <c r="B551" t="s">
        <v>13</v>
      </c>
      <c r="C551" t="str">
        <f>IF(Table1[[#This Row],[age]]&gt;18,"Adult","Teenage")</f>
        <v>Teenage</v>
      </c>
      <c r="D551">
        <v>2.1</v>
      </c>
      <c r="E551" t="s">
        <v>14</v>
      </c>
      <c r="F551">
        <v>7.7</v>
      </c>
      <c r="G551">
        <f>Table1[[#This Row],[sleep_hours]]-Table1[[#This Row],[daily_social_media_hours]]</f>
        <v>5.6</v>
      </c>
      <c r="H551">
        <v>1.1000000000000001</v>
      </c>
      <c r="I551">
        <v>2.27</v>
      </c>
      <c r="J551" t="str" cm="1">
        <f t="array" ref="J551">_xlfn.IFS(Table1[[#This Row],[academic_performance]]&gt;1,"Need Improvement",Table1[[#This Row],[academic_performance]]&gt;2,"Good",Table1[[#This Row],[academic_performance]]&gt;3,"Very good",Table1[[#This Row],[academic_performance]]&gt;4,"Excellent")</f>
        <v>Need Improvement</v>
      </c>
      <c r="K551">
        <v>1.1000000000000001</v>
      </c>
      <c r="L551" t="str">
        <f>IF(Table1[[#This Row],[physical_activity]]&gt;1.9,"better overall ","lower rate of depression")</f>
        <v>lower rate of depression</v>
      </c>
      <c r="M551" t="s">
        <v>19</v>
      </c>
      <c r="N551">
        <v>3</v>
      </c>
      <c r="O551">
        <v>2</v>
      </c>
      <c r="P551">
        <v>4</v>
      </c>
      <c r="Q551">
        <v>0</v>
      </c>
    </row>
    <row r="552" spans="1:17" x14ac:dyDescent="0.3">
      <c r="A552">
        <v>15</v>
      </c>
      <c r="B552" t="s">
        <v>16</v>
      </c>
      <c r="C552" t="str">
        <f>IF(Table1[[#This Row],[age]]&gt;18,"Adult","Teenage")</f>
        <v>Teenage</v>
      </c>
      <c r="D552">
        <v>3.2</v>
      </c>
      <c r="E552" t="s">
        <v>14</v>
      </c>
      <c r="F552">
        <v>4</v>
      </c>
      <c r="G552">
        <f>Table1[[#This Row],[sleep_hours]]-Table1[[#This Row],[daily_social_media_hours]]</f>
        <v>0.79999999999999982</v>
      </c>
      <c r="H552">
        <v>2</v>
      </c>
      <c r="I552">
        <v>3.25</v>
      </c>
      <c r="J552" t="str" cm="1">
        <f t="array" ref="J552">_xlfn.IFS(Table1[[#This Row],[academic_performance]]&gt;1,"Need Improvement",Table1[[#This Row],[academic_performance]]&gt;2,"Good",Table1[[#This Row],[academic_performance]]&gt;3,"Very good",Table1[[#This Row],[academic_performance]]&gt;4,"Excellent")</f>
        <v>Need Improvement</v>
      </c>
      <c r="K552">
        <v>0.7</v>
      </c>
      <c r="L552" t="str">
        <f>IF(Table1[[#This Row],[physical_activity]]&gt;1.9,"better overall ","lower rate of depression")</f>
        <v>lower rate of depression</v>
      </c>
      <c r="M552" t="s">
        <v>15</v>
      </c>
      <c r="N552">
        <v>8</v>
      </c>
      <c r="O552">
        <v>4</v>
      </c>
      <c r="P552">
        <v>8</v>
      </c>
      <c r="Q552">
        <v>0</v>
      </c>
    </row>
    <row r="553" spans="1:17" x14ac:dyDescent="0.3">
      <c r="A553">
        <v>18</v>
      </c>
      <c r="B553" t="s">
        <v>13</v>
      </c>
      <c r="C553" t="str">
        <f>IF(Table1[[#This Row],[age]]&gt;18,"Adult","Teenage")</f>
        <v>Teenage</v>
      </c>
      <c r="D553">
        <v>1.9</v>
      </c>
      <c r="E553" t="s">
        <v>14</v>
      </c>
      <c r="F553">
        <v>5.6</v>
      </c>
      <c r="G553">
        <f>Table1[[#This Row],[sleep_hours]]-Table1[[#This Row],[daily_social_media_hours]]</f>
        <v>3.6999999999999997</v>
      </c>
      <c r="H553">
        <v>2.2999999999999998</v>
      </c>
      <c r="I553">
        <v>2.8</v>
      </c>
      <c r="J553" t="str" cm="1">
        <f t="array" ref="J553">_xlfn.IFS(Table1[[#This Row],[academic_performance]]&gt;1,"Need Improvement",Table1[[#This Row],[academic_performance]]&gt;2,"Good",Table1[[#This Row],[academic_performance]]&gt;3,"Very good",Table1[[#This Row],[academic_performance]]&gt;4,"Excellent")</f>
        <v>Need Improvement</v>
      </c>
      <c r="K553">
        <v>1.9</v>
      </c>
      <c r="L553" t="str">
        <f>IF(Table1[[#This Row],[physical_activity]]&gt;1.9,"better overall ","lower rate of depression")</f>
        <v>lower rate of depression</v>
      </c>
      <c r="M553" t="s">
        <v>19</v>
      </c>
      <c r="N553">
        <v>8</v>
      </c>
      <c r="O553">
        <v>1</v>
      </c>
      <c r="P553">
        <v>8</v>
      </c>
      <c r="Q553">
        <v>0</v>
      </c>
    </row>
    <row r="554" spans="1:17" x14ac:dyDescent="0.3">
      <c r="A554">
        <v>13</v>
      </c>
      <c r="B554" t="s">
        <v>16</v>
      </c>
      <c r="C554" t="str">
        <f>IF(Table1[[#This Row],[age]]&gt;18,"Adult","Teenage")</f>
        <v>Teenage</v>
      </c>
      <c r="D554">
        <v>3.5</v>
      </c>
      <c r="E554" t="s">
        <v>14</v>
      </c>
      <c r="F554">
        <v>6.8</v>
      </c>
      <c r="G554">
        <f>Table1[[#This Row],[sleep_hours]]-Table1[[#This Row],[daily_social_media_hours]]</f>
        <v>3.3</v>
      </c>
      <c r="H554">
        <v>1.5</v>
      </c>
      <c r="I554">
        <v>2.35</v>
      </c>
      <c r="J554" t="str" cm="1">
        <f t="array" ref="J554">_xlfn.IFS(Table1[[#This Row],[academic_performance]]&gt;1,"Need Improvement",Table1[[#This Row],[academic_performance]]&gt;2,"Good",Table1[[#This Row],[academic_performance]]&gt;3,"Very good",Table1[[#This Row],[academic_performance]]&gt;4,"Excellent")</f>
        <v>Need Improvement</v>
      </c>
      <c r="K554">
        <v>1.8</v>
      </c>
      <c r="L554" t="str">
        <f>IF(Table1[[#This Row],[physical_activity]]&gt;1.9,"better overall ","lower rate of depression")</f>
        <v>lower rate of depression</v>
      </c>
      <c r="M554" t="s">
        <v>19</v>
      </c>
      <c r="N554">
        <v>7</v>
      </c>
      <c r="O554">
        <v>3</v>
      </c>
      <c r="P554">
        <v>2</v>
      </c>
      <c r="Q554">
        <v>0</v>
      </c>
    </row>
    <row r="555" spans="1:17" x14ac:dyDescent="0.3">
      <c r="A555">
        <v>15</v>
      </c>
      <c r="B555" t="s">
        <v>16</v>
      </c>
      <c r="C555" t="str">
        <f>IF(Table1[[#This Row],[age]]&gt;18,"Adult","Teenage")</f>
        <v>Teenage</v>
      </c>
      <c r="D555">
        <v>4.5</v>
      </c>
      <c r="E555" t="s">
        <v>14</v>
      </c>
      <c r="F555">
        <v>7.7</v>
      </c>
      <c r="G555">
        <f>Table1[[#This Row],[sleep_hours]]-Table1[[#This Row],[daily_social_media_hours]]</f>
        <v>3.2</v>
      </c>
      <c r="H555">
        <v>0.9</v>
      </c>
      <c r="I555">
        <v>2.61</v>
      </c>
      <c r="J555" t="str" cm="1">
        <f t="array" ref="J555">_xlfn.IFS(Table1[[#This Row],[academic_performance]]&gt;1,"Need Improvement",Table1[[#This Row],[academic_performance]]&gt;2,"Good",Table1[[#This Row],[academic_performance]]&gt;3,"Very good",Table1[[#This Row],[academic_performance]]&gt;4,"Excellent")</f>
        <v>Need Improvement</v>
      </c>
      <c r="K555">
        <v>1.1000000000000001</v>
      </c>
      <c r="L555" t="str">
        <f>IF(Table1[[#This Row],[physical_activity]]&gt;1.9,"better overall ","lower rate of depression")</f>
        <v>lower rate of depression</v>
      </c>
      <c r="M555" t="s">
        <v>19</v>
      </c>
      <c r="N555">
        <v>9</v>
      </c>
      <c r="O555">
        <v>10</v>
      </c>
      <c r="P555">
        <v>4</v>
      </c>
      <c r="Q555">
        <v>0</v>
      </c>
    </row>
    <row r="556" spans="1:17" x14ac:dyDescent="0.3">
      <c r="A556">
        <v>13</v>
      </c>
      <c r="B556" t="s">
        <v>16</v>
      </c>
      <c r="C556" t="str">
        <f>IF(Table1[[#This Row],[age]]&gt;18,"Adult","Teenage")</f>
        <v>Teenage</v>
      </c>
      <c r="D556">
        <v>6</v>
      </c>
      <c r="E556" t="s">
        <v>17</v>
      </c>
      <c r="F556">
        <v>5</v>
      </c>
      <c r="G556">
        <f>Table1[[#This Row],[sleep_hours]]-Table1[[#This Row],[daily_social_media_hours]]</f>
        <v>-1</v>
      </c>
      <c r="H556">
        <v>2.5</v>
      </c>
      <c r="I556">
        <v>2.5499999999999998</v>
      </c>
      <c r="J556" t="str" cm="1">
        <f t="array" ref="J556">_xlfn.IFS(Table1[[#This Row],[academic_performance]]&gt;1,"Need Improvement",Table1[[#This Row],[academic_performance]]&gt;2,"Good",Table1[[#This Row],[academic_performance]]&gt;3,"Very good",Table1[[#This Row],[academic_performance]]&gt;4,"Excellent")</f>
        <v>Need Improvement</v>
      </c>
      <c r="K556">
        <v>1.8</v>
      </c>
      <c r="L556" t="str">
        <f>IF(Table1[[#This Row],[physical_activity]]&gt;1.9,"better overall ","lower rate of depression")</f>
        <v>lower rate of depression</v>
      </c>
      <c r="M556" t="s">
        <v>18</v>
      </c>
      <c r="N556">
        <v>4</v>
      </c>
      <c r="O556">
        <v>9</v>
      </c>
      <c r="P556">
        <v>2</v>
      </c>
      <c r="Q556">
        <v>0</v>
      </c>
    </row>
    <row r="557" spans="1:17" x14ac:dyDescent="0.3">
      <c r="A557">
        <v>13</v>
      </c>
      <c r="B557" t="s">
        <v>16</v>
      </c>
      <c r="C557" t="str">
        <f>IF(Table1[[#This Row],[age]]&gt;18,"Adult","Teenage")</f>
        <v>Teenage</v>
      </c>
      <c r="D557">
        <v>3.6</v>
      </c>
      <c r="E557" t="s">
        <v>17</v>
      </c>
      <c r="F557">
        <v>4.8</v>
      </c>
      <c r="G557">
        <f>Table1[[#This Row],[sleep_hours]]-Table1[[#This Row],[daily_social_media_hours]]</f>
        <v>1.1999999999999997</v>
      </c>
      <c r="H557">
        <v>2.2000000000000002</v>
      </c>
      <c r="I557">
        <v>3.58</v>
      </c>
      <c r="J557" t="str" cm="1">
        <f t="array" ref="J557">_xlfn.IFS(Table1[[#This Row],[academic_performance]]&gt;1,"Need Improvement",Table1[[#This Row],[academic_performance]]&gt;2,"Good",Table1[[#This Row],[academic_performance]]&gt;3,"Very good",Table1[[#This Row],[academic_performance]]&gt;4,"Excellent")</f>
        <v>Need Improvement</v>
      </c>
      <c r="K557">
        <v>1.2</v>
      </c>
      <c r="L557" t="str">
        <f>IF(Table1[[#This Row],[physical_activity]]&gt;1.9,"better overall ","lower rate of depression")</f>
        <v>lower rate of depression</v>
      </c>
      <c r="M557" t="s">
        <v>19</v>
      </c>
      <c r="N557">
        <v>4</v>
      </c>
      <c r="O557">
        <v>4</v>
      </c>
      <c r="P557">
        <v>7</v>
      </c>
      <c r="Q557">
        <v>0</v>
      </c>
    </row>
    <row r="558" spans="1:17" x14ac:dyDescent="0.3">
      <c r="A558">
        <v>19</v>
      </c>
      <c r="B558" t="s">
        <v>13</v>
      </c>
      <c r="C558" t="str">
        <f>IF(Table1[[#This Row],[age]]&gt;18,"Adult","Teenage")</f>
        <v>Adult</v>
      </c>
      <c r="D558">
        <v>5.2</v>
      </c>
      <c r="E558" t="s">
        <v>17</v>
      </c>
      <c r="F558">
        <v>6.9</v>
      </c>
      <c r="G558">
        <f>Table1[[#This Row],[sleep_hours]]-Table1[[#This Row],[daily_social_media_hours]]</f>
        <v>1.7000000000000002</v>
      </c>
      <c r="H558">
        <v>2.2999999999999998</v>
      </c>
      <c r="I558">
        <v>2.09</v>
      </c>
      <c r="J558" t="str" cm="1">
        <f t="array" ref="J558">_xlfn.IFS(Table1[[#This Row],[academic_performance]]&gt;1,"Need Improvement",Table1[[#This Row],[academic_performance]]&gt;2,"Good",Table1[[#This Row],[academic_performance]]&gt;3,"Very good",Table1[[#This Row],[academic_performance]]&gt;4,"Excellent")</f>
        <v>Need Improvement</v>
      </c>
      <c r="K558">
        <v>0.2</v>
      </c>
      <c r="L558" t="str">
        <f>IF(Table1[[#This Row],[physical_activity]]&gt;1.9,"better overall ","lower rate of depression")</f>
        <v>lower rate of depression</v>
      </c>
      <c r="M558" t="s">
        <v>18</v>
      </c>
      <c r="N558">
        <v>6</v>
      </c>
      <c r="O558">
        <v>4</v>
      </c>
      <c r="P558">
        <v>8</v>
      </c>
      <c r="Q558">
        <v>0</v>
      </c>
    </row>
    <row r="559" spans="1:17" x14ac:dyDescent="0.3">
      <c r="A559">
        <v>13</v>
      </c>
      <c r="B559" t="s">
        <v>13</v>
      </c>
      <c r="C559" t="str">
        <f>IF(Table1[[#This Row],[age]]&gt;18,"Adult","Teenage")</f>
        <v>Teenage</v>
      </c>
      <c r="D559">
        <v>2.7</v>
      </c>
      <c r="E559" t="s">
        <v>20</v>
      </c>
      <c r="F559">
        <v>6.9</v>
      </c>
      <c r="G559">
        <f>Table1[[#This Row],[sleep_hours]]-Table1[[#This Row],[daily_social_media_hours]]</f>
        <v>4.2</v>
      </c>
      <c r="H559">
        <v>1.4</v>
      </c>
      <c r="I559">
        <v>2.87</v>
      </c>
      <c r="J559" t="str" cm="1">
        <f t="array" ref="J559">_xlfn.IFS(Table1[[#This Row],[academic_performance]]&gt;1,"Need Improvement",Table1[[#This Row],[academic_performance]]&gt;2,"Good",Table1[[#This Row],[academic_performance]]&gt;3,"Very good",Table1[[#This Row],[academic_performance]]&gt;4,"Excellent")</f>
        <v>Need Improvement</v>
      </c>
      <c r="K559">
        <v>1.5</v>
      </c>
      <c r="L559" t="str">
        <f>IF(Table1[[#This Row],[physical_activity]]&gt;1.9,"better overall ","lower rate of depression")</f>
        <v>lower rate of depression</v>
      </c>
      <c r="M559" t="s">
        <v>15</v>
      </c>
      <c r="N559">
        <v>2</v>
      </c>
      <c r="O559">
        <v>6</v>
      </c>
      <c r="P559">
        <v>3</v>
      </c>
      <c r="Q559">
        <v>0</v>
      </c>
    </row>
    <row r="560" spans="1:17" x14ac:dyDescent="0.3">
      <c r="A560">
        <v>16</v>
      </c>
      <c r="B560" t="s">
        <v>16</v>
      </c>
      <c r="C560" t="str">
        <f>IF(Table1[[#This Row],[age]]&gt;18,"Adult","Teenage")</f>
        <v>Teenage</v>
      </c>
      <c r="D560">
        <v>2.8</v>
      </c>
      <c r="E560" t="s">
        <v>17</v>
      </c>
      <c r="F560">
        <v>7.1</v>
      </c>
      <c r="G560">
        <f>Table1[[#This Row],[sleep_hours]]-Table1[[#This Row],[daily_social_media_hours]]</f>
        <v>4.3</v>
      </c>
      <c r="H560">
        <v>1.4</v>
      </c>
      <c r="I560">
        <v>3.85</v>
      </c>
      <c r="J560" t="str" cm="1">
        <f t="array" ref="J560">_xlfn.IFS(Table1[[#This Row],[academic_performance]]&gt;1,"Need Improvement",Table1[[#This Row],[academic_performance]]&gt;2,"Good",Table1[[#This Row],[academic_performance]]&gt;3,"Very good",Table1[[#This Row],[academic_performance]]&gt;4,"Excellent")</f>
        <v>Need Improvement</v>
      </c>
      <c r="K560">
        <v>0.4</v>
      </c>
      <c r="L560" t="str">
        <f>IF(Table1[[#This Row],[physical_activity]]&gt;1.9,"better overall ","lower rate of depression")</f>
        <v>lower rate of depression</v>
      </c>
      <c r="M560" t="s">
        <v>18</v>
      </c>
      <c r="N560">
        <v>7</v>
      </c>
      <c r="O560">
        <v>9</v>
      </c>
      <c r="P560">
        <v>8</v>
      </c>
      <c r="Q560">
        <v>0</v>
      </c>
    </row>
    <row r="561" spans="1:17" x14ac:dyDescent="0.3">
      <c r="A561">
        <v>14</v>
      </c>
      <c r="B561" t="s">
        <v>13</v>
      </c>
      <c r="C561" t="str">
        <f>IF(Table1[[#This Row],[age]]&gt;18,"Adult","Teenage")</f>
        <v>Teenage</v>
      </c>
      <c r="D561">
        <v>5.6</v>
      </c>
      <c r="E561" t="s">
        <v>14</v>
      </c>
      <c r="F561">
        <v>7</v>
      </c>
      <c r="G561">
        <f>Table1[[#This Row],[sleep_hours]]-Table1[[#This Row],[daily_social_media_hours]]</f>
        <v>1.4000000000000004</v>
      </c>
      <c r="H561">
        <v>1.9</v>
      </c>
      <c r="I561">
        <v>2.58</v>
      </c>
      <c r="J561" t="str" cm="1">
        <f t="array" ref="J561">_xlfn.IFS(Table1[[#This Row],[academic_performance]]&gt;1,"Need Improvement",Table1[[#This Row],[academic_performance]]&gt;2,"Good",Table1[[#This Row],[academic_performance]]&gt;3,"Very good",Table1[[#This Row],[academic_performance]]&gt;4,"Excellent")</f>
        <v>Need Improvement</v>
      </c>
      <c r="K561">
        <v>0.4</v>
      </c>
      <c r="L561" t="str">
        <f>IF(Table1[[#This Row],[physical_activity]]&gt;1.9,"better overall ","lower rate of depression")</f>
        <v>lower rate of depression</v>
      </c>
      <c r="M561" t="s">
        <v>15</v>
      </c>
      <c r="N561">
        <v>5</v>
      </c>
      <c r="O561">
        <v>7</v>
      </c>
      <c r="P561">
        <v>3</v>
      </c>
      <c r="Q561">
        <v>0</v>
      </c>
    </row>
    <row r="562" spans="1:17" x14ac:dyDescent="0.3">
      <c r="A562">
        <v>16</v>
      </c>
      <c r="B562" t="s">
        <v>13</v>
      </c>
      <c r="C562" t="str">
        <f>IF(Table1[[#This Row],[age]]&gt;18,"Adult","Teenage")</f>
        <v>Teenage</v>
      </c>
      <c r="D562">
        <v>2.7</v>
      </c>
      <c r="E562" t="s">
        <v>20</v>
      </c>
      <c r="F562">
        <v>7.2</v>
      </c>
      <c r="G562">
        <f>Table1[[#This Row],[sleep_hours]]-Table1[[#This Row],[daily_social_media_hours]]</f>
        <v>4.5</v>
      </c>
      <c r="H562">
        <v>0.6</v>
      </c>
      <c r="I562">
        <v>3.98</v>
      </c>
      <c r="J562" t="str" cm="1">
        <f t="array" ref="J562">_xlfn.IFS(Table1[[#This Row],[academic_performance]]&gt;1,"Need Improvement",Table1[[#This Row],[academic_performance]]&gt;2,"Good",Table1[[#This Row],[academic_performance]]&gt;3,"Very good",Table1[[#This Row],[academic_performance]]&gt;4,"Excellent")</f>
        <v>Need Improvement</v>
      </c>
      <c r="K562">
        <v>1.7</v>
      </c>
      <c r="L562" t="str">
        <f>IF(Table1[[#This Row],[physical_activity]]&gt;1.9,"better overall ","lower rate of depression")</f>
        <v>lower rate of depression</v>
      </c>
      <c r="M562" t="s">
        <v>15</v>
      </c>
      <c r="N562">
        <v>6</v>
      </c>
      <c r="O562">
        <v>1</v>
      </c>
      <c r="P562">
        <v>5</v>
      </c>
      <c r="Q562">
        <v>0</v>
      </c>
    </row>
    <row r="563" spans="1:17" x14ac:dyDescent="0.3">
      <c r="A563">
        <v>14</v>
      </c>
      <c r="B563" t="s">
        <v>13</v>
      </c>
      <c r="C563" t="str">
        <f>IF(Table1[[#This Row],[age]]&gt;18,"Adult","Teenage")</f>
        <v>Teenage</v>
      </c>
      <c r="D563">
        <v>4.2</v>
      </c>
      <c r="E563" t="s">
        <v>20</v>
      </c>
      <c r="F563">
        <v>7</v>
      </c>
      <c r="G563">
        <f>Table1[[#This Row],[sleep_hours]]-Table1[[#This Row],[daily_social_media_hours]]</f>
        <v>2.8</v>
      </c>
      <c r="H563">
        <v>1.1000000000000001</v>
      </c>
      <c r="I563">
        <v>2.12</v>
      </c>
      <c r="J563" t="str" cm="1">
        <f t="array" ref="J563">_xlfn.IFS(Table1[[#This Row],[academic_performance]]&gt;1,"Need Improvement",Table1[[#This Row],[academic_performance]]&gt;2,"Good",Table1[[#This Row],[academic_performance]]&gt;3,"Very good",Table1[[#This Row],[academic_performance]]&gt;4,"Excellent")</f>
        <v>Need Improvement</v>
      </c>
      <c r="K563">
        <v>0.9</v>
      </c>
      <c r="L563" t="str">
        <f>IF(Table1[[#This Row],[physical_activity]]&gt;1.9,"better overall ","lower rate of depression")</f>
        <v>lower rate of depression</v>
      </c>
      <c r="M563" t="s">
        <v>18</v>
      </c>
      <c r="N563">
        <v>4</v>
      </c>
      <c r="O563">
        <v>8</v>
      </c>
      <c r="P563">
        <v>1</v>
      </c>
      <c r="Q563">
        <v>0</v>
      </c>
    </row>
    <row r="564" spans="1:17" x14ac:dyDescent="0.3">
      <c r="A564">
        <v>18</v>
      </c>
      <c r="B564" t="s">
        <v>16</v>
      </c>
      <c r="C564" t="str">
        <f>IF(Table1[[#This Row],[age]]&gt;18,"Adult","Teenage")</f>
        <v>Teenage</v>
      </c>
      <c r="D564">
        <v>5.0999999999999996</v>
      </c>
      <c r="E564" t="s">
        <v>17</v>
      </c>
      <c r="F564">
        <v>8.1999999999999993</v>
      </c>
      <c r="G564">
        <f>Table1[[#This Row],[sleep_hours]]-Table1[[#This Row],[daily_social_media_hours]]</f>
        <v>3.0999999999999996</v>
      </c>
      <c r="H564">
        <v>2.8</v>
      </c>
      <c r="I564">
        <v>2.1800000000000002</v>
      </c>
      <c r="J564" t="str" cm="1">
        <f t="array" ref="J564">_xlfn.IFS(Table1[[#This Row],[academic_performance]]&gt;1,"Need Improvement",Table1[[#This Row],[academic_performance]]&gt;2,"Good",Table1[[#This Row],[academic_performance]]&gt;3,"Very good",Table1[[#This Row],[academic_performance]]&gt;4,"Excellent")</f>
        <v>Need Improvement</v>
      </c>
      <c r="K564">
        <v>0.5</v>
      </c>
      <c r="L564" t="str">
        <f>IF(Table1[[#This Row],[physical_activity]]&gt;1.9,"better overall ","lower rate of depression")</f>
        <v>lower rate of depression</v>
      </c>
      <c r="M564" t="s">
        <v>18</v>
      </c>
      <c r="N564">
        <v>8</v>
      </c>
      <c r="O564">
        <v>8</v>
      </c>
      <c r="P564">
        <v>8</v>
      </c>
      <c r="Q564">
        <v>0</v>
      </c>
    </row>
    <row r="565" spans="1:17" x14ac:dyDescent="0.3">
      <c r="A565">
        <v>15</v>
      </c>
      <c r="B565" t="s">
        <v>16</v>
      </c>
      <c r="C565" t="str">
        <f>IF(Table1[[#This Row],[age]]&gt;18,"Adult","Teenage")</f>
        <v>Teenage</v>
      </c>
      <c r="D565">
        <v>5.7</v>
      </c>
      <c r="E565" t="s">
        <v>14</v>
      </c>
      <c r="F565">
        <v>6.1</v>
      </c>
      <c r="G565">
        <f>Table1[[#This Row],[sleep_hours]]-Table1[[#This Row],[daily_social_media_hours]]</f>
        <v>0.39999999999999947</v>
      </c>
      <c r="H565">
        <v>0.7</v>
      </c>
      <c r="I565">
        <v>3.08</v>
      </c>
      <c r="J565" t="str" cm="1">
        <f t="array" ref="J565">_xlfn.IFS(Table1[[#This Row],[academic_performance]]&gt;1,"Need Improvement",Table1[[#This Row],[academic_performance]]&gt;2,"Good",Table1[[#This Row],[academic_performance]]&gt;3,"Very good",Table1[[#This Row],[academic_performance]]&gt;4,"Excellent")</f>
        <v>Need Improvement</v>
      </c>
      <c r="K565">
        <v>0.6</v>
      </c>
      <c r="L565" t="str">
        <f>IF(Table1[[#This Row],[physical_activity]]&gt;1.9,"better overall ","lower rate of depression")</f>
        <v>lower rate of depression</v>
      </c>
      <c r="M565" t="s">
        <v>19</v>
      </c>
      <c r="N565">
        <v>5</v>
      </c>
      <c r="O565">
        <v>9</v>
      </c>
      <c r="P565">
        <v>7</v>
      </c>
      <c r="Q565">
        <v>0</v>
      </c>
    </row>
    <row r="566" spans="1:17" x14ac:dyDescent="0.3">
      <c r="A566">
        <v>13</v>
      </c>
      <c r="B566" t="s">
        <v>16</v>
      </c>
      <c r="C566" t="str">
        <f>IF(Table1[[#This Row],[age]]&gt;18,"Adult","Teenage")</f>
        <v>Teenage</v>
      </c>
      <c r="D566">
        <v>1.5</v>
      </c>
      <c r="E566" t="s">
        <v>20</v>
      </c>
      <c r="F566">
        <v>7.9</v>
      </c>
      <c r="G566">
        <f>Table1[[#This Row],[sleep_hours]]-Table1[[#This Row],[daily_social_media_hours]]</f>
        <v>6.4</v>
      </c>
      <c r="H566">
        <v>1.8</v>
      </c>
      <c r="I566">
        <v>2.85</v>
      </c>
      <c r="J566" t="str" cm="1">
        <f t="array" ref="J566">_xlfn.IFS(Table1[[#This Row],[academic_performance]]&gt;1,"Need Improvement",Table1[[#This Row],[academic_performance]]&gt;2,"Good",Table1[[#This Row],[academic_performance]]&gt;3,"Very good",Table1[[#This Row],[academic_performance]]&gt;4,"Excellent")</f>
        <v>Need Improvement</v>
      </c>
      <c r="K566">
        <v>1.1000000000000001</v>
      </c>
      <c r="L566" t="str">
        <f>IF(Table1[[#This Row],[physical_activity]]&gt;1.9,"better overall ","lower rate of depression")</f>
        <v>lower rate of depression</v>
      </c>
      <c r="M566" t="s">
        <v>19</v>
      </c>
      <c r="N566">
        <v>5</v>
      </c>
      <c r="O566">
        <v>7</v>
      </c>
      <c r="P566">
        <v>1</v>
      </c>
      <c r="Q566">
        <v>0</v>
      </c>
    </row>
    <row r="567" spans="1:17" x14ac:dyDescent="0.3">
      <c r="A567">
        <v>15</v>
      </c>
      <c r="B567" t="s">
        <v>16</v>
      </c>
      <c r="C567" t="str">
        <f>IF(Table1[[#This Row],[age]]&gt;18,"Adult","Teenage")</f>
        <v>Teenage</v>
      </c>
      <c r="D567">
        <v>6.9</v>
      </c>
      <c r="E567" t="s">
        <v>17</v>
      </c>
      <c r="F567">
        <v>8.3000000000000007</v>
      </c>
      <c r="G567">
        <f>Table1[[#This Row],[sleep_hours]]-Table1[[#This Row],[daily_social_media_hours]]</f>
        <v>1.4000000000000004</v>
      </c>
      <c r="H567">
        <v>2.4</v>
      </c>
      <c r="I567">
        <v>3.34</v>
      </c>
      <c r="J567" t="str" cm="1">
        <f t="array" ref="J567">_xlfn.IFS(Table1[[#This Row],[academic_performance]]&gt;1,"Need Improvement",Table1[[#This Row],[academic_performance]]&gt;2,"Good",Table1[[#This Row],[academic_performance]]&gt;3,"Very good",Table1[[#This Row],[academic_performance]]&gt;4,"Excellent")</f>
        <v>Need Improvement</v>
      </c>
      <c r="K567">
        <v>1.2</v>
      </c>
      <c r="L567" t="str">
        <f>IF(Table1[[#This Row],[physical_activity]]&gt;1.9,"better overall ","lower rate of depression")</f>
        <v>lower rate of depression</v>
      </c>
      <c r="M567" t="s">
        <v>18</v>
      </c>
      <c r="N567">
        <v>2</v>
      </c>
      <c r="O567">
        <v>4</v>
      </c>
      <c r="P567">
        <v>9</v>
      </c>
      <c r="Q567">
        <v>0</v>
      </c>
    </row>
    <row r="568" spans="1:17" x14ac:dyDescent="0.3">
      <c r="A568">
        <v>14</v>
      </c>
      <c r="B568" t="s">
        <v>13</v>
      </c>
      <c r="C568" t="str">
        <f>IF(Table1[[#This Row],[age]]&gt;18,"Adult","Teenage")</f>
        <v>Teenage</v>
      </c>
      <c r="D568">
        <v>4.7</v>
      </c>
      <c r="E568" t="s">
        <v>17</v>
      </c>
      <c r="F568">
        <v>7.9</v>
      </c>
      <c r="G568">
        <f>Table1[[#This Row],[sleep_hours]]-Table1[[#This Row],[daily_social_media_hours]]</f>
        <v>3.2</v>
      </c>
      <c r="H568">
        <v>2.9</v>
      </c>
      <c r="I568">
        <v>2.54</v>
      </c>
      <c r="J568" t="str" cm="1">
        <f t="array" ref="J568">_xlfn.IFS(Table1[[#This Row],[academic_performance]]&gt;1,"Need Improvement",Table1[[#This Row],[academic_performance]]&gt;2,"Good",Table1[[#This Row],[academic_performance]]&gt;3,"Very good",Table1[[#This Row],[academic_performance]]&gt;4,"Excellent")</f>
        <v>Need Improvement</v>
      </c>
      <c r="K568">
        <v>0.7</v>
      </c>
      <c r="L568" t="str">
        <f>IF(Table1[[#This Row],[physical_activity]]&gt;1.9,"better overall ","lower rate of depression")</f>
        <v>lower rate of depression</v>
      </c>
      <c r="M568" t="s">
        <v>18</v>
      </c>
      <c r="N568">
        <v>5</v>
      </c>
      <c r="O568">
        <v>8</v>
      </c>
      <c r="P568">
        <v>7</v>
      </c>
      <c r="Q568">
        <v>0</v>
      </c>
    </row>
    <row r="569" spans="1:17" x14ac:dyDescent="0.3">
      <c r="A569">
        <v>15</v>
      </c>
      <c r="B569" t="s">
        <v>16</v>
      </c>
      <c r="C569" t="str">
        <f>IF(Table1[[#This Row],[age]]&gt;18,"Adult","Teenage")</f>
        <v>Teenage</v>
      </c>
      <c r="D569">
        <v>2.7</v>
      </c>
      <c r="E569" t="s">
        <v>20</v>
      </c>
      <c r="F569">
        <v>8.5</v>
      </c>
      <c r="G569">
        <f>Table1[[#This Row],[sleep_hours]]-Table1[[#This Row],[daily_social_media_hours]]</f>
        <v>5.8</v>
      </c>
      <c r="H569">
        <v>0.8</v>
      </c>
      <c r="I569">
        <v>2.91</v>
      </c>
      <c r="J569" t="str" cm="1">
        <f t="array" ref="J569">_xlfn.IFS(Table1[[#This Row],[academic_performance]]&gt;1,"Need Improvement",Table1[[#This Row],[academic_performance]]&gt;2,"Good",Table1[[#This Row],[academic_performance]]&gt;3,"Very good",Table1[[#This Row],[academic_performance]]&gt;4,"Excellent")</f>
        <v>Need Improvement</v>
      </c>
      <c r="K569">
        <v>1.3</v>
      </c>
      <c r="L569" t="str">
        <f>IF(Table1[[#This Row],[physical_activity]]&gt;1.9,"better overall ","lower rate of depression")</f>
        <v>lower rate of depression</v>
      </c>
      <c r="M569" t="s">
        <v>15</v>
      </c>
      <c r="N569">
        <v>6</v>
      </c>
      <c r="O569">
        <v>3</v>
      </c>
      <c r="P569">
        <v>1</v>
      </c>
      <c r="Q569">
        <v>0</v>
      </c>
    </row>
    <row r="570" spans="1:17" x14ac:dyDescent="0.3">
      <c r="A570">
        <v>13</v>
      </c>
      <c r="B570" t="s">
        <v>16</v>
      </c>
      <c r="C570" t="str">
        <f>IF(Table1[[#This Row],[age]]&gt;18,"Adult","Teenage")</f>
        <v>Teenage</v>
      </c>
      <c r="D570">
        <v>6.1</v>
      </c>
      <c r="E570" t="s">
        <v>20</v>
      </c>
      <c r="F570">
        <v>6.4</v>
      </c>
      <c r="G570">
        <f>Table1[[#This Row],[sleep_hours]]-Table1[[#This Row],[daily_social_media_hours]]</f>
        <v>0.30000000000000071</v>
      </c>
      <c r="H570">
        <v>2.8</v>
      </c>
      <c r="I570">
        <v>2.5099999999999998</v>
      </c>
      <c r="J570" t="str" cm="1">
        <f t="array" ref="J570">_xlfn.IFS(Table1[[#This Row],[academic_performance]]&gt;1,"Need Improvement",Table1[[#This Row],[academic_performance]]&gt;2,"Good",Table1[[#This Row],[academic_performance]]&gt;3,"Very good",Table1[[#This Row],[academic_performance]]&gt;4,"Excellent")</f>
        <v>Need Improvement</v>
      </c>
      <c r="K570">
        <v>1.9</v>
      </c>
      <c r="L570" t="str">
        <f>IF(Table1[[#This Row],[physical_activity]]&gt;1.9,"better overall ","lower rate of depression")</f>
        <v>lower rate of depression</v>
      </c>
      <c r="M570" t="s">
        <v>15</v>
      </c>
      <c r="N570">
        <v>6</v>
      </c>
      <c r="O570">
        <v>1</v>
      </c>
      <c r="P570">
        <v>9</v>
      </c>
      <c r="Q570">
        <v>0</v>
      </c>
    </row>
    <row r="571" spans="1:17" x14ac:dyDescent="0.3">
      <c r="A571">
        <v>17</v>
      </c>
      <c r="B571" t="s">
        <v>16</v>
      </c>
      <c r="C571" t="str">
        <f>IF(Table1[[#This Row],[age]]&gt;18,"Adult","Teenage")</f>
        <v>Teenage</v>
      </c>
      <c r="D571">
        <v>5</v>
      </c>
      <c r="E571" t="s">
        <v>17</v>
      </c>
      <c r="F571">
        <v>7.3</v>
      </c>
      <c r="G571">
        <f>Table1[[#This Row],[sleep_hours]]-Table1[[#This Row],[daily_social_media_hours]]</f>
        <v>2.2999999999999998</v>
      </c>
      <c r="H571">
        <v>1.9</v>
      </c>
      <c r="I571">
        <v>3.83</v>
      </c>
      <c r="J571" t="str" cm="1">
        <f t="array" ref="J571">_xlfn.IFS(Table1[[#This Row],[academic_performance]]&gt;1,"Need Improvement",Table1[[#This Row],[academic_performance]]&gt;2,"Good",Table1[[#This Row],[academic_performance]]&gt;3,"Very good",Table1[[#This Row],[academic_performance]]&gt;4,"Excellent")</f>
        <v>Need Improvement</v>
      </c>
      <c r="K571">
        <v>0.4</v>
      </c>
      <c r="L571" t="str">
        <f>IF(Table1[[#This Row],[physical_activity]]&gt;1.9,"better overall ","lower rate of depression")</f>
        <v>lower rate of depression</v>
      </c>
      <c r="M571" t="s">
        <v>18</v>
      </c>
      <c r="N571">
        <v>8</v>
      </c>
      <c r="O571">
        <v>9</v>
      </c>
      <c r="P571">
        <v>9</v>
      </c>
      <c r="Q571">
        <v>0</v>
      </c>
    </row>
    <row r="572" spans="1:17" x14ac:dyDescent="0.3">
      <c r="A572">
        <v>17</v>
      </c>
      <c r="B572" t="s">
        <v>16</v>
      </c>
      <c r="C572" t="str">
        <f>IF(Table1[[#This Row],[age]]&gt;18,"Adult","Teenage")</f>
        <v>Teenage</v>
      </c>
      <c r="D572">
        <v>5.3</v>
      </c>
      <c r="E572" t="s">
        <v>20</v>
      </c>
      <c r="F572">
        <v>6.8</v>
      </c>
      <c r="G572">
        <f>Table1[[#This Row],[sleep_hours]]-Table1[[#This Row],[daily_social_media_hours]]</f>
        <v>1.5</v>
      </c>
      <c r="H572">
        <v>1.9</v>
      </c>
      <c r="I572">
        <v>3.39</v>
      </c>
      <c r="J572" t="str" cm="1">
        <f t="array" ref="J572">_xlfn.IFS(Table1[[#This Row],[academic_performance]]&gt;1,"Need Improvement",Table1[[#This Row],[academic_performance]]&gt;2,"Good",Table1[[#This Row],[academic_performance]]&gt;3,"Very good",Table1[[#This Row],[academic_performance]]&gt;4,"Excellent")</f>
        <v>Need Improvement</v>
      </c>
      <c r="K572">
        <v>1.6</v>
      </c>
      <c r="L572" t="str">
        <f>IF(Table1[[#This Row],[physical_activity]]&gt;1.9,"better overall ","lower rate of depression")</f>
        <v>lower rate of depression</v>
      </c>
      <c r="M572" t="s">
        <v>15</v>
      </c>
      <c r="N572">
        <v>10</v>
      </c>
      <c r="O572">
        <v>6</v>
      </c>
      <c r="P572">
        <v>8</v>
      </c>
      <c r="Q572">
        <v>0</v>
      </c>
    </row>
    <row r="573" spans="1:17" x14ac:dyDescent="0.3">
      <c r="A573">
        <v>19</v>
      </c>
      <c r="B573" t="s">
        <v>13</v>
      </c>
      <c r="C573" t="str">
        <f>IF(Table1[[#This Row],[age]]&gt;18,"Adult","Teenage")</f>
        <v>Adult</v>
      </c>
      <c r="D573">
        <v>7.2</v>
      </c>
      <c r="E573" t="s">
        <v>17</v>
      </c>
      <c r="F573">
        <v>6.6</v>
      </c>
      <c r="G573">
        <f>Table1[[#This Row],[sleep_hours]]-Table1[[#This Row],[daily_social_media_hours]]</f>
        <v>-0.60000000000000053</v>
      </c>
      <c r="H573">
        <v>2.9</v>
      </c>
      <c r="I573">
        <v>2.74</v>
      </c>
      <c r="J573" t="str" cm="1">
        <f t="array" ref="J573">_xlfn.IFS(Table1[[#This Row],[academic_performance]]&gt;1,"Need Improvement",Table1[[#This Row],[academic_performance]]&gt;2,"Good",Table1[[#This Row],[academic_performance]]&gt;3,"Very good",Table1[[#This Row],[academic_performance]]&gt;4,"Excellent")</f>
        <v>Need Improvement</v>
      </c>
      <c r="K573">
        <v>0.3</v>
      </c>
      <c r="L573" t="str">
        <f>IF(Table1[[#This Row],[physical_activity]]&gt;1.9,"better overall ","lower rate of depression")</f>
        <v>lower rate of depression</v>
      </c>
      <c r="M573" t="s">
        <v>19</v>
      </c>
      <c r="N573">
        <v>1</v>
      </c>
      <c r="O573">
        <v>10</v>
      </c>
      <c r="P573">
        <v>9</v>
      </c>
      <c r="Q573">
        <v>0</v>
      </c>
    </row>
    <row r="574" spans="1:17" x14ac:dyDescent="0.3">
      <c r="A574">
        <v>15</v>
      </c>
      <c r="B574" t="s">
        <v>13</v>
      </c>
      <c r="C574" t="str">
        <f>IF(Table1[[#This Row],[age]]&gt;18,"Adult","Teenage")</f>
        <v>Teenage</v>
      </c>
      <c r="D574">
        <v>2.2999999999999998</v>
      </c>
      <c r="E574" t="s">
        <v>20</v>
      </c>
      <c r="F574">
        <v>5.7</v>
      </c>
      <c r="G574">
        <f>Table1[[#This Row],[sleep_hours]]-Table1[[#This Row],[daily_social_media_hours]]</f>
        <v>3.4000000000000004</v>
      </c>
      <c r="H574">
        <v>2.8</v>
      </c>
      <c r="I574">
        <v>2.79</v>
      </c>
      <c r="J574" t="str" cm="1">
        <f t="array" ref="J574">_xlfn.IFS(Table1[[#This Row],[academic_performance]]&gt;1,"Need Improvement",Table1[[#This Row],[academic_performance]]&gt;2,"Good",Table1[[#This Row],[academic_performance]]&gt;3,"Very good",Table1[[#This Row],[academic_performance]]&gt;4,"Excellent")</f>
        <v>Need Improvement</v>
      </c>
      <c r="K574">
        <v>1.9</v>
      </c>
      <c r="L574" t="str">
        <f>IF(Table1[[#This Row],[physical_activity]]&gt;1.9,"better overall ","lower rate of depression")</f>
        <v>lower rate of depression</v>
      </c>
      <c r="M574" t="s">
        <v>19</v>
      </c>
      <c r="N574">
        <v>4</v>
      </c>
      <c r="O574">
        <v>1</v>
      </c>
      <c r="P574">
        <v>4</v>
      </c>
      <c r="Q574">
        <v>0</v>
      </c>
    </row>
    <row r="575" spans="1:17" x14ac:dyDescent="0.3">
      <c r="A575">
        <v>17</v>
      </c>
      <c r="B575" t="s">
        <v>16</v>
      </c>
      <c r="C575" t="str">
        <f>IF(Table1[[#This Row],[age]]&gt;18,"Adult","Teenage")</f>
        <v>Teenage</v>
      </c>
      <c r="D575">
        <v>7.3</v>
      </c>
      <c r="E575" t="s">
        <v>20</v>
      </c>
      <c r="F575">
        <v>7.8</v>
      </c>
      <c r="G575">
        <f>Table1[[#This Row],[sleep_hours]]-Table1[[#This Row],[daily_social_media_hours]]</f>
        <v>0.5</v>
      </c>
      <c r="H575">
        <v>1.1000000000000001</v>
      </c>
      <c r="I575">
        <v>2.0299999999999998</v>
      </c>
      <c r="J575" t="str" cm="1">
        <f t="array" ref="J575">_xlfn.IFS(Table1[[#This Row],[academic_performance]]&gt;1,"Need Improvement",Table1[[#This Row],[academic_performance]]&gt;2,"Good",Table1[[#This Row],[academic_performance]]&gt;3,"Very good",Table1[[#This Row],[academic_performance]]&gt;4,"Excellent")</f>
        <v>Need Improvement</v>
      </c>
      <c r="K575">
        <v>1.1000000000000001</v>
      </c>
      <c r="L575" t="str">
        <f>IF(Table1[[#This Row],[physical_activity]]&gt;1.9,"better overall ","lower rate of depression")</f>
        <v>lower rate of depression</v>
      </c>
      <c r="M575" t="s">
        <v>15</v>
      </c>
      <c r="N575">
        <v>3</v>
      </c>
      <c r="O575">
        <v>10</v>
      </c>
      <c r="P575">
        <v>6</v>
      </c>
      <c r="Q575">
        <v>0</v>
      </c>
    </row>
    <row r="576" spans="1:17" x14ac:dyDescent="0.3">
      <c r="A576">
        <v>16</v>
      </c>
      <c r="B576" t="s">
        <v>16</v>
      </c>
      <c r="C576" t="str">
        <f>IF(Table1[[#This Row],[age]]&gt;18,"Adult","Teenage")</f>
        <v>Teenage</v>
      </c>
      <c r="D576">
        <v>1.5</v>
      </c>
      <c r="E576" t="s">
        <v>14</v>
      </c>
      <c r="F576">
        <v>8</v>
      </c>
      <c r="G576">
        <f>Table1[[#This Row],[sleep_hours]]-Table1[[#This Row],[daily_social_media_hours]]</f>
        <v>6.5</v>
      </c>
      <c r="H576">
        <v>0.7</v>
      </c>
      <c r="I576">
        <v>2.1800000000000002</v>
      </c>
      <c r="J576" t="str" cm="1">
        <f t="array" ref="J576">_xlfn.IFS(Table1[[#This Row],[academic_performance]]&gt;1,"Need Improvement",Table1[[#This Row],[academic_performance]]&gt;2,"Good",Table1[[#This Row],[academic_performance]]&gt;3,"Very good",Table1[[#This Row],[academic_performance]]&gt;4,"Excellent")</f>
        <v>Need Improvement</v>
      </c>
      <c r="K576">
        <v>0.6</v>
      </c>
      <c r="L576" t="str">
        <f>IF(Table1[[#This Row],[physical_activity]]&gt;1.9,"better overall ","lower rate of depression")</f>
        <v>lower rate of depression</v>
      </c>
      <c r="M576" t="s">
        <v>19</v>
      </c>
      <c r="N576">
        <v>4</v>
      </c>
      <c r="O576">
        <v>7</v>
      </c>
      <c r="P576">
        <v>5</v>
      </c>
      <c r="Q576">
        <v>0</v>
      </c>
    </row>
    <row r="577" spans="1:17" x14ac:dyDescent="0.3">
      <c r="A577">
        <v>18</v>
      </c>
      <c r="B577" t="s">
        <v>16</v>
      </c>
      <c r="C577" t="str">
        <f>IF(Table1[[#This Row],[age]]&gt;18,"Adult","Teenage")</f>
        <v>Teenage</v>
      </c>
      <c r="D577">
        <v>2.2000000000000002</v>
      </c>
      <c r="E577" t="s">
        <v>14</v>
      </c>
      <c r="F577">
        <v>6.5</v>
      </c>
      <c r="G577">
        <f>Table1[[#This Row],[sleep_hours]]-Table1[[#This Row],[daily_social_media_hours]]</f>
        <v>4.3</v>
      </c>
      <c r="H577">
        <v>1.9</v>
      </c>
      <c r="I577">
        <v>3.79</v>
      </c>
      <c r="J577" t="str" cm="1">
        <f t="array" ref="J577">_xlfn.IFS(Table1[[#This Row],[academic_performance]]&gt;1,"Need Improvement",Table1[[#This Row],[academic_performance]]&gt;2,"Good",Table1[[#This Row],[academic_performance]]&gt;3,"Very good",Table1[[#This Row],[academic_performance]]&gt;4,"Excellent")</f>
        <v>Need Improvement</v>
      </c>
      <c r="K577">
        <v>0.2</v>
      </c>
      <c r="L577" t="str">
        <f>IF(Table1[[#This Row],[physical_activity]]&gt;1.9,"better overall ","lower rate of depression")</f>
        <v>lower rate of depression</v>
      </c>
      <c r="M577" t="s">
        <v>15</v>
      </c>
      <c r="N577">
        <v>1</v>
      </c>
      <c r="O577">
        <v>6</v>
      </c>
      <c r="P577">
        <v>2</v>
      </c>
      <c r="Q577">
        <v>0</v>
      </c>
    </row>
    <row r="578" spans="1:17" x14ac:dyDescent="0.3">
      <c r="A578">
        <v>13</v>
      </c>
      <c r="B578" t="s">
        <v>16</v>
      </c>
      <c r="C578" t="str">
        <f>IF(Table1[[#This Row],[age]]&gt;18,"Adult","Teenage")</f>
        <v>Teenage</v>
      </c>
      <c r="D578">
        <v>5.5</v>
      </c>
      <c r="E578" t="s">
        <v>20</v>
      </c>
      <c r="F578">
        <v>6.7</v>
      </c>
      <c r="G578">
        <f>Table1[[#This Row],[sleep_hours]]-Table1[[#This Row],[daily_social_media_hours]]</f>
        <v>1.2000000000000002</v>
      </c>
      <c r="H578">
        <v>1.6</v>
      </c>
      <c r="I578">
        <v>3.09</v>
      </c>
      <c r="J578" t="str" cm="1">
        <f t="array" ref="J578">_xlfn.IFS(Table1[[#This Row],[academic_performance]]&gt;1,"Need Improvement",Table1[[#This Row],[academic_performance]]&gt;2,"Good",Table1[[#This Row],[academic_performance]]&gt;3,"Very good",Table1[[#This Row],[academic_performance]]&gt;4,"Excellent")</f>
        <v>Need Improvement</v>
      </c>
      <c r="K578">
        <v>1.7</v>
      </c>
      <c r="L578" t="str">
        <f>IF(Table1[[#This Row],[physical_activity]]&gt;1.9,"better overall ","lower rate of depression")</f>
        <v>lower rate of depression</v>
      </c>
      <c r="M578" t="s">
        <v>18</v>
      </c>
      <c r="N578">
        <v>10</v>
      </c>
      <c r="O578">
        <v>1</v>
      </c>
      <c r="P578">
        <v>6</v>
      </c>
      <c r="Q578">
        <v>0</v>
      </c>
    </row>
    <row r="579" spans="1:17" x14ac:dyDescent="0.3">
      <c r="A579">
        <v>19</v>
      </c>
      <c r="B579" t="s">
        <v>13</v>
      </c>
      <c r="C579" t="str">
        <f>IF(Table1[[#This Row],[age]]&gt;18,"Adult","Teenage")</f>
        <v>Adult</v>
      </c>
      <c r="D579">
        <v>2.1</v>
      </c>
      <c r="E579" t="s">
        <v>17</v>
      </c>
      <c r="F579">
        <v>5.2</v>
      </c>
      <c r="G579">
        <f>Table1[[#This Row],[sleep_hours]]-Table1[[#This Row],[daily_social_media_hours]]</f>
        <v>3.1</v>
      </c>
      <c r="H579">
        <v>2.5</v>
      </c>
      <c r="I579">
        <v>3.1</v>
      </c>
      <c r="J579" t="str" cm="1">
        <f t="array" ref="J579">_xlfn.IFS(Table1[[#This Row],[academic_performance]]&gt;1,"Need Improvement",Table1[[#This Row],[academic_performance]]&gt;2,"Good",Table1[[#This Row],[academic_performance]]&gt;3,"Very good",Table1[[#This Row],[academic_performance]]&gt;4,"Excellent")</f>
        <v>Need Improvement</v>
      </c>
      <c r="K579">
        <v>0.3</v>
      </c>
      <c r="L579" t="str">
        <f>IF(Table1[[#This Row],[physical_activity]]&gt;1.9,"better overall ","lower rate of depression")</f>
        <v>lower rate of depression</v>
      </c>
      <c r="M579" t="s">
        <v>15</v>
      </c>
      <c r="N579">
        <v>9</v>
      </c>
      <c r="O579">
        <v>9</v>
      </c>
      <c r="P579">
        <v>3</v>
      </c>
      <c r="Q579">
        <v>0</v>
      </c>
    </row>
    <row r="580" spans="1:17" x14ac:dyDescent="0.3">
      <c r="A580">
        <v>15</v>
      </c>
      <c r="B580" t="s">
        <v>16</v>
      </c>
      <c r="C580" t="str">
        <f>IF(Table1[[#This Row],[age]]&gt;18,"Adult","Teenage")</f>
        <v>Teenage</v>
      </c>
      <c r="D580">
        <v>4.5</v>
      </c>
      <c r="E580" t="s">
        <v>20</v>
      </c>
      <c r="F580">
        <v>5.4</v>
      </c>
      <c r="G580">
        <f>Table1[[#This Row],[sleep_hours]]-Table1[[#This Row],[daily_social_media_hours]]</f>
        <v>0.90000000000000036</v>
      </c>
      <c r="H580">
        <v>1.2</v>
      </c>
      <c r="I580">
        <v>3.76</v>
      </c>
      <c r="J580" t="str" cm="1">
        <f t="array" ref="J580">_xlfn.IFS(Table1[[#This Row],[academic_performance]]&gt;1,"Need Improvement",Table1[[#This Row],[academic_performance]]&gt;2,"Good",Table1[[#This Row],[academic_performance]]&gt;3,"Very good",Table1[[#This Row],[academic_performance]]&gt;4,"Excellent")</f>
        <v>Need Improvement</v>
      </c>
      <c r="K580">
        <v>1.7</v>
      </c>
      <c r="L580" t="str">
        <f>IF(Table1[[#This Row],[physical_activity]]&gt;1.9,"better overall ","lower rate of depression")</f>
        <v>lower rate of depression</v>
      </c>
      <c r="M580" t="s">
        <v>18</v>
      </c>
      <c r="N580">
        <v>1</v>
      </c>
      <c r="O580">
        <v>8</v>
      </c>
      <c r="P580">
        <v>7</v>
      </c>
      <c r="Q580">
        <v>0</v>
      </c>
    </row>
    <row r="581" spans="1:17" x14ac:dyDescent="0.3">
      <c r="A581">
        <v>13</v>
      </c>
      <c r="B581" t="s">
        <v>13</v>
      </c>
      <c r="C581" t="str">
        <f>IF(Table1[[#This Row],[age]]&gt;18,"Adult","Teenage")</f>
        <v>Teenage</v>
      </c>
      <c r="D581">
        <v>3.9</v>
      </c>
      <c r="E581" t="s">
        <v>20</v>
      </c>
      <c r="F581">
        <v>5.8</v>
      </c>
      <c r="G581">
        <f>Table1[[#This Row],[sleep_hours]]-Table1[[#This Row],[daily_social_media_hours]]</f>
        <v>1.9</v>
      </c>
      <c r="H581">
        <v>0.7</v>
      </c>
      <c r="I581">
        <v>2.77</v>
      </c>
      <c r="J581" t="str" cm="1">
        <f t="array" ref="J581">_xlfn.IFS(Table1[[#This Row],[academic_performance]]&gt;1,"Need Improvement",Table1[[#This Row],[academic_performance]]&gt;2,"Good",Table1[[#This Row],[academic_performance]]&gt;3,"Very good",Table1[[#This Row],[academic_performance]]&gt;4,"Excellent")</f>
        <v>Need Improvement</v>
      </c>
      <c r="K581">
        <v>1.3</v>
      </c>
      <c r="L581" t="str">
        <f>IF(Table1[[#This Row],[physical_activity]]&gt;1.9,"better overall ","lower rate of depression")</f>
        <v>lower rate of depression</v>
      </c>
      <c r="M581" t="s">
        <v>19</v>
      </c>
      <c r="N581">
        <v>10</v>
      </c>
      <c r="O581">
        <v>3</v>
      </c>
      <c r="P581">
        <v>1</v>
      </c>
      <c r="Q581">
        <v>0</v>
      </c>
    </row>
    <row r="582" spans="1:17" x14ac:dyDescent="0.3">
      <c r="A582">
        <v>14</v>
      </c>
      <c r="B582" t="s">
        <v>13</v>
      </c>
      <c r="C582" t="str">
        <f>IF(Table1[[#This Row],[age]]&gt;18,"Adult","Teenage")</f>
        <v>Teenage</v>
      </c>
      <c r="D582">
        <v>5.8</v>
      </c>
      <c r="E582" t="s">
        <v>14</v>
      </c>
      <c r="F582">
        <v>5.0999999999999996</v>
      </c>
      <c r="G582">
        <f>Table1[[#This Row],[sleep_hours]]-Table1[[#This Row],[daily_social_media_hours]]</f>
        <v>-0.70000000000000018</v>
      </c>
      <c r="H582">
        <v>2.6</v>
      </c>
      <c r="I582">
        <v>2.06</v>
      </c>
      <c r="J582" t="str" cm="1">
        <f t="array" ref="J582">_xlfn.IFS(Table1[[#This Row],[academic_performance]]&gt;1,"Need Improvement",Table1[[#This Row],[academic_performance]]&gt;2,"Good",Table1[[#This Row],[academic_performance]]&gt;3,"Very good",Table1[[#This Row],[academic_performance]]&gt;4,"Excellent")</f>
        <v>Need Improvement</v>
      </c>
      <c r="K582">
        <v>1.5</v>
      </c>
      <c r="L582" t="str">
        <f>IF(Table1[[#This Row],[physical_activity]]&gt;1.9,"better overall ","lower rate of depression")</f>
        <v>lower rate of depression</v>
      </c>
      <c r="M582" t="s">
        <v>19</v>
      </c>
      <c r="N582">
        <v>7</v>
      </c>
      <c r="O582">
        <v>5</v>
      </c>
      <c r="P582">
        <v>2</v>
      </c>
      <c r="Q582">
        <v>0</v>
      </c>
    </row>
    <row r="583" spans="1:17" x14ac:dyDescent="0.3">
      <c r="A583">
        <v>13</v>
      </c>
      <c r="B583" t="s">
        <v>16</v>
      </c>
      <c r="C583" t="str">
        <f>IF(Table1[[#This Row],[age]]&gt;18,"Adult","Teenage")</f>
        <v>Teenage</v>
      </c>
      <c r="D583">
        <v>7.2</v>
      </c>
      <c r="E583" t="s">
        <v>20</v>
      </c>
      <c r="F583">
        <v>4.2</v>
      </c>
      <c r="G583">
        <f>Table1[[#This Row],[sleep_hours]]-Table1[[#This Row],[daily_social_media_hours]]</f>
        <v>-3</v>
      </c>
      <c r="H583">
        <v>2.5</v>
      </c>
      <c r="I583">
        <v>2.65</v>
      </c>
      <c r="J583" t="str" cm="1">
        <f t="array" ref="J583">_xlfn.IFS(Table1[[#This Row],[academic_performance]]&gt;1,"Need Improvement",Table1[[#This Row],[academic_performance]]&gt;2,"Good",Table1[[#This Row],[academic_performance]]&gt;3,"Very good",Table1[[#This Row],[academic_performance]]&gt;4,"Excellent")</f>
        <v>Need Improvement</v>
      </c>
      <c r="K583">
        <v>1.6</v>
      </c>
      <c r="L583" t="str">
        <f>IF(Table1[[#This Row],[physical_activity]]&gt;1.9,"better overall ","lower rate of depression")</f>
        <v>lower rate of depression</v>
      </c>
      <c r="M583" t="s">
        <v>15</v>
      </c>
      <c r="N583">
        <v>10</v>
      </c>
      <c r="O583">
        <v>9</v>
      </c>
      <c r="P583">
        <v>3</v>
      </c>
      <c r="Q583">
        <v>1</v>
      </c>
    </row>
    <row r="584" spans="1:17" x14ac:dyDescent="0.3">
      <c r="A584">
        <v>17</v>
      </c>
      <c r="B584" t="s">
        <v>16</v>
      </c>
      <c r="C584" t="str">
        <f>IF(Table1[[#This Row],[age]]&gt;18,"Adult","Teenage")</f>
        <v>Teenage</v>
      </c>
      <c r="D584">
        <v>2.9</v>
      </c>
      <c r="E584" t="s">
        <v>20</v>
      </c>
      <c r="F584">
        <v>7.5</v>
      </c>
      <c r="G584">
        <f>Table1[[#This Row],[sleep_hours]]-Table1[[#This Row],[daily_social_media_hours]]</f>
        <v>4.5999999999999996</v>
      </c>
      <c r="H584">
        <v>1.4</v>
      </c>
      <c r="I584">
        <v>3.42</v>
      </c>
      <c r="J584" t="str" cm="1">
        <f t="array" ref="J584">_xlfn.IFS(Table1[[#This Row],[academic_performance]]&gt;1,"Need Improvement",Table1[[#This Row],[academic_performance]]&gt;2,"Good",Table1[[#This Row],[academic_performance]]&gt;3,"Very good",Table1[[#This Row],[academic_performance]]&gt;4,"Excellent")</f>
        <v>Need Improvement</v>
      </c>
      <c r="K584">
        <v>1.7</v>
      </c>
      <c r="L584" t="str">
        <f>IF(Table1[[#This Row],[physical_activity]]&gt;1.9,"better overall ","lower rate of depression")</f>
        <v>lower rate of depression</v>
      </c>
      <c r="M584" t="s">
        <v>15</v>
      </c>
      <c r="N584">
        <v>5</v>
      </c>
      <c r="O584">
        <v>6</v>
      </c>
      <c r="P584">
        <v>3</v>
      </c>
      <c r="Q584">
        <v>0</v>
      </c>
    </row>
    <row r="585" spans="1:17" x14ac:dyDescent="0.3">
      <c r="A585">
        <v>17</v>
      </c>
      <c r="B585" t="s">
        <v>13</v>
      </c>
      <c r="C585" t="str">
        <f>IF(Table1[[#This Row],[age]]&gt;18,"Adult","Teenage")</f>
        <v>Teenage</v>
      </c>
      <c r="D585">
        <v>6.2</v>
      </c>
      <c r="E585" t="s">
        <v>14</v>
      </c>
      <c r="F585">
        <v>7.4</v>
      </c>
      <c r="G585">
        <f>Table1[[#This Row],[sleep_hours]]-Table1[[#This Row],[daily_social_media_hours]]</f>
        <v>1.2000000000000002</v>
      </c>
      <c r="H585">
        <v>0.6</v>
      </c>
      <c r="I585">
        <v>3.38</v>
      </c>
      <c r="J585" t="str" cm="1">
        <f t="array" ref="J585">_xlfn.IFS(Table1[[#This Row],[academic_performance]]&gt;1,"Need Improvement",Table1[[#This Row],[academic_performance]]&gt;2,"Good",Table1[[#This Row],[academic_performance]]&gt;3,"Very good",Table1[[#This Row],[academic_performance]]&gt;4,"Excellent")</f>
        <v>Need Improvement</v>
      </c>
      <c r="K585">
        <v>1.5</v>
      </c>
      <c r="L585" t="str">
        <f>IF(Table1[[#This Row],[physical_activity]]&gt;1.9,"better overall ","lower rate of depression")</f>
        <v>lower rate of depression</v>
      </c>
      <c r="M585" t="s">
        <v>15</v>
      </c>
      <c r="N585">
        <v>4</v>
      </c>
      <c r="O585">
        <v>7</v>
      </c>
      <c r="P585">
        <v>9</v>
      </c>
      <c r="Q585">
        <v>0</v>
      </c>
    </row>
    <row r="586" spans="1:17" x14ac:dyDescent="0.3">
      <c r="A586">
        <v>18</v>
      </c>
      <c r="B586" t="s">
        <v>16</v>
      </c>
      <c r="C586" t="str">
        <f>IF(Table1[[#This Row],[age]]&gt;18,"Adult","Teenage")</f>
        <v>Teenage</v>
      </c>
      <c r="D586">
        <v>1.1000000000000001</v>
      </c>
      <c r="E586" t="s">
        <v>20</v>
      </c>
      <c r="F586">
        <v>4.9000000000000004</v>
      </c>
      <c r="G586">
        <f>Table1[[#This Row],[sleep_hours]]-Table1[[#This Row],[daily_social_media_hours]]</f>
        <v>3.8000000000000003</v>
      </c>
      <c r="H586">
        <v>2.6</v>
      </c>
      <c r="I586">
        <v>2.4300000000000002</v>
      </c>
      <c r="J586" t="str" cm="1">
        <f t="array" ref="J586">_xlfn.IFS(Table1[[#This Row],[academic_performance]]&gt;1,"Need Improvement",Table1[[#This Row],[academic_performance]]&gt;2,"Good",Table1[[#This Row],[academic_performance]]&gt;3,"Very good",Table1[[#This Row],[academic_performance]]&gt;4,"Excellent")</f>
        <v>Need Improvement</v>
      </c>
      <c r="K586">
        <v>1.3</v>
      </c>
      <c r="L586" t="str">
        <f>IF(Table1[[#This Row],[physical_activity]]&gt;1.9,"better overall ","lower rate of depression")</f>
        <v>lower rate of depression</v>
      </c>
      <c r="M586" t="s">
        <v>18</v>
      </c>
      <c r="N586">
        <v>9</v>
      </c>
      <c r="O586">
        <v>7</v>
      </c>
      <c r="P586">
        <v>6</v>
      </c>
      <c r="Q586">
        <v>0</v>
      </c>
    </row>
    <row r="587" spans="1:17" x14ac:dyDescent="0.3">
      <c r="A587">
        <v>19</v>
      </c>
      <c r="B587" t="s">
        <v>13</v>
      </c>
      <c r="C587" t="str">
        <f>IF(Table1[[#This Row],[age]]&gt;18,"Adult","Teenage")</f>
        <v>Adult</v>
      </c>
      <c r="D587">
        <v>5.2</v>
      </c>
      <c r="E587" t="s">
        <v>14</v>
      </c>
      <c r="F587">
        <v>4.3</v>
      </c>
      <c r="G587">
        <f>Table1[[#This Row],[sleep_hours]]-Table1[[#This Row],[daily_social_media_hours]]</f>
        <v>-0.90000000000000036</v>
      </c>
      <c r="H587">
        <v>1.3</v>
      </c>
      <c r="I587">
        <v>2.29</v>
      </c>
      <c r="J587" t="str" cm="1">
        <f t="array" ref="J587">_xlfn.IFS(Table1[[#This Row],[academic_performance]]&gt;1,"Need Improvement",Table1[[#This Row],[academic_performance]]&gt;2,"Good",Table1[[#This Row],[academic_performance]]&gt;3,"Very good",Table1[[#This Row],[academic_performance]]&gt;4,"Excellent")</f>
        <v>Need Improvement</v>
      </c>
      <c r="K587">
        <v>1.3</v>
      </c>
      <c r="L587" t="str">
        <f>IF(Table1[[#This Row],[physical_activity]]&gt;1.9,"better overall ","lower rate of depression")</f>
        <v>lower rate of depression</v>
      </c>
      <c r="M587" t="s">
        <v>19</v>
      </c>
      <c r="N587">
        <v>10</v>
      </c>
      <c r="O587">
        <v>8</v>
      </c>
      <c r="P587">
        <v>10</v>
      </c>
      <c r="Q587">
        <v>1</v>
      </c>
    </row>
    <row r="588" spans="1:17" x14ac:dyDescent="0.3">
      <c r="A588">
        <v>15</v>
      </c>
      <c r="B588" t="s">
        <v>16</v>
      </c>
      <c r="C588" t="str">
        <f>IF(Table1[[#This Row],[age]]&gt;18,"Adult","Teenage")</f>
        <v>Teenage</v>
      </c>
      <c r="D588">
        <v>5</v>
      </c>
      <c r="E588" t="s">
        <v>14</v>
      </c>
      <c r="F588">
        <v>7.6</v>
      </c>
      <c r="G588">
        <f>Table1[[#This Row],[sleep_hours]]-Table1[[#This Row],[daily_social_media_hours]]</f>
        <v>2.5999999999999996</v>
      </c>
      <c r="H588">
        <v>1.8</v>
      </c>
      <c r="I588">
        <v>2.52</v>
      </c>
      <c r="J588" t="str" cm="1">
        <f t="array" ref="J588">_xlfn.IFS(Table1[[#This Row],[academic_performance]]&gt;1,"Need Improvement",Table1[[#This Row],[academic_performance]]&gt;2,"Good",Table1[[#This Row],[academic_performance]]&gt;3,"Very good",Table1[[#This Row],[academic_performance]]&gt;4,"Excellent")</f>
        <v>Need Improvement</v>
      </c>
      <c r="K588">
        <v>1.4</v>
      </c>
      <c r="L588" t="str">
        <f>IF(Table1[[#This Row],[physical_activity]]&gt;1.9,"better overall ","lower rate of depression")</f>
        <v>lower rate of depression</v>
      </c>
      <c r="M588" t="s">
        <v>18</v>
      </c>
      <c r="N588">
        <v>1</v>
      </c>
      <c r="O588">
        <v>4</v>
      </c>
      <c r="P588">
        <v>3</v>
      </c>
      <c r="Q588">
        <v>0</v>
      </c>
    </row>
    <row r="589" spans="1:17" x14ac:dyDescent="0.3">
      <c r="A589">
        <v>13</v>
      </c>
      <c r="B589" t="s">
        <v>16</v>
      </c>
      <c r="C589" t="str">
        <f>IF(Table1[[#This Row],[age]]&gt;18,"Adult","Teenage")</f>
        <v>Teenage</v>
      </c>
      <c r="D589">
        <v>2.2999999999999998</v>
      </c>
      <c r="E589" t="s">
        <v>17</v>
      </c>
      <c r="F589">
        <v>8.6999999999999993</v>
      </c>
      <c r="G589">
        <f>Table1[[#This Row],[sleep_hours]]-Table1[[#This Row],[daily_social_media_hours]]</f>
        <v>6.3999999999999995</v>
      </c>
      <c r="H589">
        <v>1.2</v>
      </c>
      <c r="I589">
        <v>3.25</v>
      </c>
      <c r="J589" t="str" cm="1">
        <f t="array" ref="J589">_xlfn.IFS(Table1[[#This Row],[academic_performance]]&gt;1,"Need Improvement",Table1[[#This Row],[academic_performance]]&gt;2,"Good",Table1[[#This Row],[academic_performance]]&gt;3,"Very good",Table1[[#This Row],[academic_performance]]&gt;4,"Excellent")</f>
        <v>Need Improvement</v>
      </c>
      <c r="K589">
        <v>1.5</v>
      </c>
      <c r="L589" t="str">
        <f>IF(Table1[[#This Row],[physical_activity]]&gt;1.9,"better overall ","lower rate of depression")</f>
        <v>lower rate of depression</v>
      </c>
      <c r="M589" t="s">
        <v>18</v>
      </c>
      <c r="N589">
        <v>9</v>
      </c>
      <c r="O589">
        <v>9</v>
      </c>
      <c r="P589">
        <v>1</v>
      </c>
      <c r="Q589">
        <v>0</v>
      </c>
    </row>
    <row r="590" spans="1:17" x14ac:dyDescent="0.3">
      <c r="A590">
        <v>15</v>
      </c>
      <c r="B590" t="s">
        <v>16</v>
      </c>
      <c r="C590" t="str">
        <f>IF(Table1[[#This Row],[age]]&gt;18,"Adult","Teenage")</f>
        <v>Teenage</v>
      </c>
      <c r="D590">
        <v>5.2</v>
      </c>
      <c r="E590" t="s">
        <v>17</v>
      </c>
      <c r="F590">
        <v>5.6</v>
      </c>
      <c r="G590">
        <f>Table1[[#This Row],[sleep_hours]]-Table1[[#This Row],[daily_social_media_hours]]</f>
        <v>0.39999999999999947</v>
      </c>
      <c r="H590">
        <v>1.5</v>
      </c>
      <c r="I590">
        <v>3.13</v>
      </c>
      <c r="J590" t="str" cm="1">
        <f t="array" ref="J590">_xlfn.IFS(Table1[[#This Row],[academic_performance]]&gt;1,"Need Improvement",Table1[[#This Row],[academic_performance]]&gt;2,"Good",Table1[[#This Row],[academic_performance]]&gt;3,"Very good",Table1[[#This Row],[academic_performance]]&gt;4,"Excellent")</f>
        <v>Need Improvement</v>
      </c>
      <c r="K590">
        <v>0.1</v>
      </c>
      <c r="L590" t="str">
        <f>IF(Table1[[#This Row],[physical_activity]]&gt;1.9,"better overall ","lower rate of depression")</f>
        <v>lower rate of depression</v>
      </c>
      <c r="M590" t="s">
        <v>15</v>
      </c>
      <c r="N590">
        <v>7</v>
      </c>
      <c r="O590">
        <v>9</v>
      </c>
      <c r="P590">
        <v>4</v>
      </c>
      <c r="Q590">
        <v>1</v>
      </c>
    </row>
    <row r="591" spans="1:17" x14ac:dyDescent="0.3">
      <c r="A591">
        <v>13</v>
      </c>
      <c r="B591" t="s">
        <v>16</v>
      </c>
      <c r="C591" t="str">
        <f>IF(Table1[[#This Row],[age]]&gt;18,"Adult","Teenage")</f>
        <v>Teenage</v>
      </c>
      <c r="D591">
        <v>3.5</v>
      </c>
      <c r="E591" t="s">
        <v>20</v>
      </c>
      <c r="F591">
        <v>8.6999999999999993</v>
      </c>
      <c r="G591">
        <f>Table1[[#This Row],[sleep_hours]]-Table1[[#This Row],[daily_social_media_hours]]</f>
        <v>5.1999999999999993</v>
      </c>
      <c r="H591">
        <v>1.4</v>
      </c>
      <c r="I591">
        <v>3.5</v>
      </c>
      <c r="J591" t="str" cm="1">
        <f t="array" ref="J591">_xlfn.IFS(Table1[[#This Row],[academic_performance]]&gt;1,"Need Improvement",Table1[[#This Row],[academic_performance]]&gt;2,"Good",Table1[[#This Row],[academic_performance]]&gt;3,"Very good",Table1[[#This Row],[academic_performance]]&gt;4,"Excellent")</f>
        <v>Need Improvement</v>
      </c>
      <c r="K591">
        <v>1.3</v>
      </c>
      <c r="L591" t="str">
        <f>IF(Table1[[#This Row],[physical_activity]]&gt;1.9,"better overall ","lower rate of depression")</f>
        <v>lower rate of depression</v>
      </c>
      <c r="M591" t="s">
        <v>18</v>
      </c>
      <c r="N591">
        <v>9</v>
      </c>
      <c r="O591">
        <v>4</v>
      </c>
      <c r="P591">
        <v>5</v>
      </c>
      <c r="Q591">
        <v>0</v>
      </c>
    </row>
    <row r="592" spans="1:17" x14ac:dyDescent="0.3">
      <c r="A592">
        <v>16</v>
      </c>
      <c r="B592" t="s">
        <v>16</v>
      </c>
      <c r="C592" t="str">
        <f>IF(Table1[[#This Row],[age]]&gt;18,"Adult","Teenage")</f>
        <v>Teenage</v>
      </c>
      <c r="D592">
        <v>3.5</v>
      </c>
      <c r="E592" t="s">
        <v>20</v>
      </c>
      <c r="F592">
        <v>4.2</v>
      </c>
      <c r="G592">
        <f>Table1[[#This Row],[sleep_hours]]-Table1[[#This Row],[daily_social_media_hours]]</f>
        <v>0.70000000000000018</v>
      </c>
      <c r="H592">
        <v>1.5</v>
      </c>
      <c r="I592">
        <v>3.98</v>
      </c>
      <c r="J592" t="str" cm="1">
        <f t="array" ref="J592">_xlfn.IFS(Table1[[#This Row],[academic_performance]]&gt;1,"Need Improvement",Table1[[#This Row],[academic_performance]]&gt;2,"Good",Table1[[#This Row],[academic_performance]]&gt;3,"Very good",Table1[[#This Row],[academic_performance]]&gt;4,"Excellent")</f>
        <v>Need Improvement</v>
      </c>
      <c r="K592">
        <v>0.4</v>
      </c>
      <c r="L592" t="str">
        <f>IF(Table1[[#This Row],[physical_activity]]&gt;1.9,"better overall ","lower rate of depression")</f>
        <v>lower rate of depression</v>
      </c>
      <c r="M592" t="s">
        <v>19</v>
      </c>
      <c r="N592">
        <v>1</v>
      </c>
      <c r="O592">
        <v>7</v>
      </c>
      <c r="P592">
        <v>2</v>
      </c>
      <c r="Q592">
        <v>0</v>
      </c>
    </row>
    <row r="593" spans="1:17" x14ac:dyDescent="0.3">
      <c r="A593">
        <v>19</v>
      </c>
      <c r="B593" t="s">
        <v>13</v>
      </c>
      <c r="C593" t="str">
        <f>IF(Table1[[#This Row],[age]]&gt;18,"Adult","Teenage")</f>
        <v>Adult</v>
      </c>
      <c r="D593">
        <v>7.7</v>
      </c>
      <c r="E593" t="s">
        <v>14</v>
      </c>
      <c r="F593">
        <v>4.2</v>
      </c>
      <c r="G593">
        <f>Table1[[#This Row],[sleep_hours]]-Table1[[#This Row],[daily_social_media_hours]]</f>
        <v>-3.5</v>
      </c>
      <c r="H593">
        <v>2.6</v>
      </c>
      <c r="I593">
        <v>2.2000000000000002</v>
      </c>
      <c r="J593" t="str" cm="1">
        <f t="array" ref="J593">_xlfn.IFS(Table1[[#This Row],[academic_performance]]&gt;1,"Need Improvement",Table1[[#This Row],[academic_performance]]&gt;2,"Good",Table1[[#This Row],[academic_performance]]&gt;3,"Very good",Table1[[#This Row],[academic_performance]]&gt;4,"Excellent")</f>
        <v>Need Improvement</v>
      </c>
      <c r="K593">
        <v>1.8</v>
      </c>
      <c r="L593" t="str">
        <f>IF(Table1[[#This Row],[physical_activity]]&gt;1.9,"better overall ","lower rate of depression")</f>
        <v>lower rate of depression</v>
      </c>
      <c r="M593" t="s">
        <v>15</v>
      </c>
      <c r="N593">
        <v>8</v>
      </c>
      <c r="O593">
        <v>9</v>
      </c>
      <c r="P593">
        <v>4</v>
      </c>
      <c r="Q593">
        <v>1</v>
      </c>
    </row>
    <row r="594" spans="1:17" x14ac:dyDescent="0.3">
      <c r="A594">
        <v>18</v>
      </c>
      <c r="B594" t="s">
        <v>16</v>
      </c>
      <c r="C594" t="str">
        <f>IF(Table1[[#This Row],[age]]&gt;18,"Adult","Teenage")</f>
        <v>Teenage</v>
      </c>
      <c r="D594">
        <v>2</v>
      </c>
      <c r="E594" t="s">
        <v>20</v>
      </c>
      <c r="F594">
        <v>8.6</v>
      </c>
      <c r="G594">
        <f>Table1[[#This Row],[sleep_hours]]-Table1[[#This Row],[daily_social_media_hours]]</f>
        <v>6.6</v>
      </c>
      <c r="H594">
        <v>2.2000000000000002</v>
      </c>
      <c r="I594">
        <v>3.53</v>
      </c>
      <c r="J594" t="str" cm="1">
        <f t="array" ref="J594">_xlfn.IFS(Table1[[#This Row],[academic_performance]]&gt;1,"Need Improvement",Table1[[#This Row],[academic_performance]]&gt;2,"Good",Table1[[#This Row],[academic_performance]]&gt;3,"Very good",Table1[[#This Row],[academic_performance]]&gt;4,"Excellent")</f>
        <v>Need Improvement</v>
      </c>
      <c r="K594">
        <v>1.9</v>
      </c>
      <c r="L594" t="str">
        <f>IF(Table1[[#This Row],[physical_activity]]&gt;1.9,"better overall ","lower rate of depression")</f>
        <v>lower rate of depression</v>
      </c>
      <c r="M594" t="s">
        <v>15</v>
      </c>
      <c r="N594">
        <v>2</v>
      </c>
      <c r="O594">
        <v>5</v>
      </c>
      <c r="P594">
        <v>8</v>
      </c>
      <c r="Q594">
        <v>0</v>
      </c>
    </row>
    <row r="595" spans="1:17" x14ac:dyDescent="0.3">
      <c r="A595">
        <v>13</v>
      </c>
      <c r="B595" t="s">
        <v>16</v>
      </c>
      <c r="C595" t="str">
        <f>IF(Table1[[#This Row],[age]]&gt;18,"Adult","Teenage")</f>
        <v>Teenage</v>
      </c>
      <c r="D595">
        <v>5.0999999999999996</v>
      </c>
      <c r="E595" t="s">
        <v>17</v>
      </c>
      <c r="F595">
        <v>4.5</v>
      </c>
      <c r="G595">
        <f>Table1[[#This Row],[sleep_hours]]-Table1[[#This Row],[daily_social_media_hours]]</f>
        <v>-0.59999999999999964</v>
      </c>
      <c r="H595">
        <v>2.7</v>
      </c>
      <c r="I595">
        <v>2.54</v>
      </c>
      <c r="J595" t="str" cm="1">
        <f t="array" ref="J595">_xlfn.IFS(Table1[[#This Row],[academic_performance]]&gt;1,"Need Improvement",Table1[[#This Row],[academic_performance]]&gt;2,"Good",Table1[[#This Row],[academic_performance]]&gt;3,"Very good",Table1[[#This Row],[academic_performance]]&gt;4,"Excellent")</f>
        <v>Need Improvement</v>
      </c>
      <c r="K595">
        <v>1.4</v>
      </c>
      <c r="L595" t="str">
        <f>IF(Table1[[#This Row],[physical_activity]]&gt;1.9,"better overall ","lower rate of depression")</f>
        <v>lower rate of depression</v>
      </c>
      <c r="M595" t="s">
        <v>18</v>
      </c>
      <c r="N595">
        <v>2</v>
      </c>
      <c r="O595">
        <v>3</v>
      </c>
      <c r="P595">
        <v>10</v>
      </c>
      <c r="Q595">
        <v>0</v>
      </c>
    </row>
    <row r="596" spans="1:17" x14ac:dyDescent="0.3">
      <c r="A596">
        <v>16</v>
      </c>
      <c r="B596" t="s">
        <v>13</v>
      </c>
      <c r="C596" t="str">
        <f>IF(Table1[[#This Row],[age]]&gt;18,"Adult","Teenage")</f>
        <v>Teenage</v>
      </c>
      <c r="D596">
        <v>2</v>
      </c>
      <c r="E596" t="s">
        <v>14</v>
      </c>
      <c r="F596">
        <v>7.9</v>
      </c>
      <c r="G596">
        <f>Table1[[#This Row],[sleep_hours]]-Table1[[#This Row],[daily_social_media_hours]]</f>
        <v>5.9</v>
      </c>
      <c r="H596">
        <v>2.4</v>
      </c>
      <c r="I596">
        <v>2.81</v>
      </c>
      <c r="J596" t="str" cm="1">
        <f t="array" ref="J596">_xlfn.IFS(Table1[[#This Row],[academic_performance]]&gt;1,"Need Improvement",Table1[[#This Row],[academic_performance]]&gt;2,"Good",Table1[[#This Row],[academic_performance]]&gt;3,"Very good",Table1[[#This Row],[academic_performance]]&gt;4,"Excellent")</f>
        <v>Need Improvement</v>
      </c>
      <c r="K596">
        <v>1.9</v>
      </c>
      <c r="L596" t="str">
        <f>IF(Table1[[#This Row],[physical_activity]]&gt;1.9,"better overall ","lower rate of depression")</f>
        <v>lower rate of depression</v>
      </c>
      <c r="M596" t="s">
        <v>15</v>
      </c>
      <c r="N596">
        <v>10</v>
      </c>
      <c r="O596">
        <v>6</v>
      </c>
      <c r="P596">
        <v>6</v>
      </c>
      <c r="Q596">
        <v>0</v>
      </c>
    </row>
    <row r="597" spans="1:17" x14ac:dyDescent="0.3">
      <c r="A597">
        <v>15</v>
      </c>
      <c r="B597" t="s">
        <v>13</v>
      </c>
      <c r="C597" t="str">
        <f>IF(Table1[[#This Row],[age]]&gt;18,"Adult","Teenage")</f>
        <v>Teenage</v>
      </c>
      <c r="D597">
        <v>4.7</v>
      </c>
      <c r="E597" t="s">
        <v>14</v>
      </c>
      <c r="F597">
        <v>8.4</v>
      </c>
      <c r="G597">
        <f>Table1[[#This Row],[sleep_hours]]-Table1[[#This Row],[daily_social_media_hours]]</f>
        <v>3.7</v>
      </c>
      <c r="H597">
        <v>1.9</v>
      </c>
      <c r="I597">
        <v>3.9</v>
      </c>
      <c r="J597" t="str" cm="1">
        <f t="array" ref="J597">_xlfn.IFS(Table1[[#This Row],[academic_performance]]&gt;1,"Need Improvement",Table1[[#This Row],[academic_performance]]&gt;2,"Good",Table1[[#This Row],[academic_performance]]&gt;3,"Very good",Table1[[#This Row],[academic_performance]]&gt;4,"Excellent")</f>
        <v>Need Improvement</v>
      </c>
      <c r="K597">
        <v>1</v>
      </c>
      <c r="L597" t="str">
        <f>IF(Table1[[#This Row],[physical_activity]]&gt;1.9,"better overall ","lower rate of depression")</f>
        <v>lower rate of depression</v>
      </c>
      <c r="M597" t="s">
        <v>18</v>
      </c>
      <c r="N597">
        <v>4</v>
      </c>
      <c r="O597">
        <v>10</v>
      </c>
      <c r="P597">
        <v>6</v>
      </c>
      <c r="Q597">
        <v>0</v>
      </c>
    </row>
    <row r="598" spans="1:17" x14ac:dyDescent="0.3">
      <c r="A598">
        <v>17</v>
      </c>
      <c r="B598" t="s">
        <v>16</v>
      </c>
      <c r="C598" t="str">
        <f>IF(Table1[[#This Row],[age]]&gt;18,"Adult","Teenage")</f>
        <v>Teenage</v>
      </c>
      <c r="D598">
        <v>6.9</v>
      </c>
      <c r="E598" t="s">
        <v>17</v>
      </c>
      <c r="F598">
        <v>6.1</v>
      </c>
      <c r="G598">
        <f>Table1[[#This Row],[sleep_hours]]-Table1[[#This Row],[daily_social_media_hours]]</f>
        <v>-0.80000000000000071</v>
      </c>
      <c r="H598">
        <v>2.4</v>
      </c>
      <c r="I598">
        <v>3.77</v>
      </c>
      <c r="J598" t="str" cm="1">
        <f t="array" ref="J598">_xlfn.IFS(Table1[[#This Row],[academic_performance]]&gt;1,"Need Improvement",Table1[[#This Row],[academic_performance]]&gt;2,"Good",Table1[[#This Row],[academic_performance]]&gt;3,"Very good",Table1[[#This Row],[academic_performance]]&gt;4,"Excellent")</f>
        <v>Need Improvement</v>
      </c>
      <c r="K598">
        <v>1.1000000000000001</v>
      </c>
      <c r="L598" t="str">
        <f>IF(Table1[[#This Row],[physical_activity]]&gt;1.9,"better overall ","lower rate of depression")</f>
        <v>lower rate of depression</v>
      </c>
      <c r="M598" t="s">
        <v>19</v>
      </c>
      <c r="N598">
        <v>9</v>
      </c>
      <c r="O598">
        <v>4</v>
      </c>
      <c r="P598">
        <v>9</v>
      </c>
      <c r="Q598">
        <v>0</v>
      </c>
    </row>
    <row r="599" spans="1:17" x14ac:dyDescent="0.3">
      <c r="A599">
        <v>18</v>
      </c>
      <c r="B599" t="s">
        <v>13</v>
      </c>
      <c r="C599" t="str">
        <f>IF(Table1[[#This Row],[age]]&gt;18,"Adult","Teenage")</f>
        <v>Teenage</v>
      </c>
      <c r="D599">
        <v>5.9</v>
      </c>
      <c r="E599" t="s">
        <v>14</v>
      </c>
      <c r="F599">
        <v>4.4000000000000004</v>
      </c>
      <c r="G599">
        <f>Table1[[#This Row],[sleep_hours]]-Table1[[#This Row],[daily_social_media_hours]]</f>
        <v>-1.5</v>
      </c>
      <c r="H599">
        <v>2.7</v>
      </c>
      <c r="I599">
        <v>2.09</v>
      </c>
      <c r="J599" t="str" cm="1">
        <f t="array" ref="J599">_xlfn.IFS(Table1[[#This Row],[academic_performance]]&gt;1,"Need Improvement",Table1[[#This Row],[academic_performance]]&gt;2,"Good",Table1[[#This Row],[academic_performance]]&gt;3,"Very good",Table1[[#This Row],[academic_performance]]&gt;4,"Excellent")</f>
        <v>Need Improvement</v>
      </c>
      <c r="K599">
        <v>1.8</v>
      </c>
      <c r="L599" t="str">
        <f>IF(Table1[[#This Row],[physical_activity]]&gt;1.9,"better overall ","lower rate of depression")</f>
        <v>lower rate of depression</v>
      </c>
      <c r="M599" t="s">
        <v>18</v>
      </c>
      <c r="N599">
        <v>1</v>
      </c>
      <c r="O599">
        <v>6</v>
      </c>
      <c r="P599">
        <v>6</v>
      </c>
      <c r="Q599">
        <v>0</v>
      </c>
    </row>
    <row r="600" spans="1:17" x14ac:dyDescent="0.3">
      <c r="A600">
        <v>19</v>
      </c>
      <c r="B600" t="s">
        <v>13</v>
      </c>
      <c r="C600" t="str">
        <f>IF(Table1[[#This Row],[age]]&gt;18,"Adult","Teenage")</f>
        <v>Adult</v>
      </c>
      <c r="D600">
        <v>2.7</v>
      </c>
      <c r="E600" t="s">
        <v>14</v>
      </c>
      <c r="F600">
        <v>6.3</v>
      </c>
      <c r="G600">
        <f>Table1[[#This Row],[sleep_hours]]-Table1[[#This Row],[daily_social_media_hours]]</f>
        <v>3.5999999999999996</v>
      </c>
      <c r="H600">
        <v>1.3</v>
      </c>
      <c r="I600">
        <v>3.91</v>
      </c>
      <c r="J600" t="str" cm="1">
        <f t="array" ref="J600">_xlfn.IFS(Table1[[#This Row],[academic_performance]]&gt;1,"Need Improvement",Table1[[#This Row],[academic_performance]]&gt;2,"Good",Table1[[#This Row],[academic_performance]]&gt;3,"Very good",Table1[[#This Row],[academic_performance]]&gt;4,"Excellent")</f>
        <v>Need Improvement</v>
      </c>
      <c r="K600">
        <v>1.2</v>
      </c>
      <c r="L600" t="str">
        <f>IF(Table1[[#This Row],[physical_activity]]&gt;1.9,"better overall ","lower rate of depression")</f>
        <v>lower rate of depression</v>
      </c>
      <c r="M600" t="s">
        <v>18</v>
      </c>
      <c r="N600">
        <v>7</v>
      </c>
      <c r="O600">
        <v>5</v>
      </c>
      <c r="P600">
        <v>7</v>
      </c>
      <c r="Q600">
        <v>0</v>
      </c>
    </row>
    <row r="601" spans="1:17" x14ac:dyDescent="0.3">
      <c r="A601">
        <v>16</v>
      </c>
      <c r="B601" t="s">
        <v>13</v>
      </c>
      <c r="C601" t="str">
        <f>IF(Table1[[#This Row],[age]]&gt;18,"Adult","Teenage")</f>
        <v>Teenage</v>
      </c>
      <c r="D601">
        <v>7.9</v>
      </c>
      <c r="E601" t="s">
        <v>17</v>
      </c>
      <c r="F601">
        <v>8</v>
      </c>
      <c r="G601">
        <f>Table1[[#This Row],[sleep_hours]]-Table1[[#This Row],[daily_social_media_hours]]</f>
        <v>9.9999999999999645E-2</v>
      </c>
      <c r="H601">
        <v>1.6</v>
      </c>
      <c r="I601">
        <v>3.47</v>
      </c>
      <c r="J601" t="str" cm="1">
        <f t="array" ref="J601">_xlfn.IFS(Table1[[#This Row],[academic_performance]]&gt;1,"Need Improvement",Table1[[#This Row],[academic_performance]]&gt;2,"Good",Table1[[#This Row],[academic_performance]]&gt;3,"Very good",Table1[[#This Row],[academic_performance]]&gt;4,"Excellent")</f>
        <v>Need Improvement</v>
      </c>
      <c r="K601">
        <v>1.5</v>
      </c>
      <c r="L601" t="str">
        <f>IF(Table1[[#This Row],[physical_activity]]&gt;1.9,"better overall ","lower rate of depression")</f>
        <v>lower rate of depression</v>
      </c>
      <c r="M601" t="s">
        <v>18</v>
      </c>
      <c r="N601">
        <v>3</v>
      </c>
      <c r="O601">
        <v>5</v>
      </c>
      <c r="P601">
        <v>6</v>
      </c>
      <c r="Q601">
        <v>0</v>
      </c>
    </row>
    <row r="602" spans="1:17" x14ac:dyDescent="0.3">
      <c r="A602">
        <v>16</v>
      </c>
      <c r="B602" t="s">
        <v>16</v>
      </c>
      <c r="C602" t="str">
        <f>IF(Table1[[#This Row],[age]]&gt;18,"Adult","Teenage")</f>
        <v>Teenage</v>
      </c>
      <c r="D602">
        <v>7.4</v>
      </c>
      <c r="E602" t="s">
        <v>17</v>
      </c>
      <c r="F602">
        <v>5.5</v>
      </c>
      <c r="G602">
        <f>Table1[[#This Row],[sleep_hours]]-Table1[[#This Row],[daily_social_media_hours]]</f>
        <v>-1.9000000000000004</v>
      </c>
      <c r="H602">
        <v>1.8</v>
      </c>
      <c r="I602">
        <v>2.13</v>
      </c>
      <c r="J602" t="str" cm="1">
        <f t="array" ref="J602">_xlfn.IFS(Table1[[#This Row],[academic_performance]]&gt;1,"Need Improvement",Table1[[#This Row],[academic_performance]]&gt;2,"Good",Table1[[#This Row],[academic_performance]]&gt;3,"Very good",Table1[[#This Row],[academic_performance]]&gt;4,"Excellent")</f>
        <v>Need Improvement</v>
      </c>
      <c r="K602">
        <v>0.3</v>
      </c>
      <c r="L602" t="str">
        <f>IF(Table1[[#This Row],[physical_activity]]&gt;1.9,"better overall ","lower rate of depression")</f>
        <v>lower rate of depression</v>
      </c>
      <c r="M602" t="s">
        <v>18</v>
      </c>
      <c r="N602">
        <v>7</v>
      </c>
      <c r="O602">
        <v>9</v>
      </c>
      <c r="P602">
        <v>9</v>
      </c>
      <c r="Q602">
        <v>1</v>
      </c>
    </row>
    <row r="603" spans="1:17" x14ac:dyDescent="0.3">
      <c r="A603">
        <v>17</v>
      </c>
      <c r="B603" t="s">
        <v>16</v>
      </c>
      <c r="C603" t="str">
        <f>IF(Table1[[#This Row],[age]]&gt;18,"Adult","Teenage")</f>
        <v>Teenage</v>
      </c>
      <c r="D603">
        <v>2.2999999999999998</v>
      </c>
      <c r="E603" t="s">
        <v>14</v>
      </c>
      <c r="F603">
        <v>4.9000000000000004</v>
      </c>
      <c r="G603">
        <f>Table1[[#This Row],[sleep_hours]]-Table1[[#This Row],[daily_social_media_hours]]</f>
        <v>2.6000000000000005</v>
      </c>
      <c r="H603">
        <v>1.7</v>
      </c>
      <c r="I603">
        <v>2.0699999999999998</v>
      </c>
      <c r="J603" t="str" cm="1">
        <f t="array" ref="J603">_xlfn.IFS(Table1[[#This Row],[academic_performance]]&gt;1,"Need Improvement",Table1[[#This Row],[academic_performance]]&gt;2,"Good",Table1[[#This Row],[academic_performance]]&gt;3,"Very good",Table1[[#This Row],[academic_performance]]&gt;4,"Excellent")</f>
        <v>Need Improvement</v>
      </c>
      <c r="K603">
        <v>0.3</v>
      </c>
      <c r="L603" t="str">
        <f>IF(Table1[[#This Row],[physical_activity]]&gt;1.9,"better overall ","lower rate of depression")</f>
        <v>lower rate of depression</v>
      </c>
      <c r="M603" t="s">
        <v>19</v>
      </c>
      <c r="N603">
        <v>3</v>
      </c>
      <c r="O603">
        <v>7</v>
      </c>
      <c r="P603">
        <v>7</v>
      </c>
      <c r="Q603">
        <v>0</v>
      </c>
    </row>
    <row r="604" spans="1:17" x14ac:dyDescent="0.3">
      <c r="A604">
        <v>13</v>
      </c>
      <c r="B604" t="s">
        <v>13</v>
      </c>
      <c r="C604" t="str">
        <f>IF(Table1[[#This Row],[age]]&gt;18,"Adult","Teenage")</f>
        <v>Teenage</v>
      </c>
      <c r="D604">
        <v>7.1</v>
      </c>
      <c r="E604" t="s">
        <v>20</v>
      </c>
      <c r="F604">
        <v>5.7</v>
      </c>
      <c r="G604">
        <f>Table1[[#This Row],[sleep_hours]]-Table1[[#This Row],[daily_social_media_hours]]</f>
        <v>-1.3999999999999995</v>
      </c>
      <c r="H604">
        <v>2.1</v>
      </c>
      <c r="I604">
        <v>3.52</v>
      </c>
      <c r="J604" t="str" cm="1">
        <f t="array" ref="J604">_xlfn.IFS(Table1[[#This Row],[academic_performance]]&gt;1,"Need Improvement",Table1[[#This Row],[academic_performance]]&gt;2,"Good",Table1[[#This Row],[academic_performance]]&gt;3,"Very good",Table1[[#This Row],[academic_performance]]&gt;4,"Excellent")</f>
        <v>Need Improvement</v>
      </c>
      <c r="K604">
        <v>1.7</v>
      </c>
      <c r="L604" t="str">
        <f>IF(Table1[[#This Row],[physical_activity]]&gt;1.9,"better overall ","lower rate of depression")</f>
        <v>lower rate of depression</v>
      </c>
      <c r="M604" t="s">
        <v>15</v>
      </c>
      <c r="N604">
        <v>1</v>
      </c>
      <c r="O604">
        <v>1</v>
      </c>
      <c r="P604">
        <v>3</v>
      </c>
      <c r="Q604">
        <v>0</v>
      </c>
    </row>
    <row r="605" spans="1:17" x14ac:dyDescent="0.3">
      <c r="A605">
        <v>16</v>
      </c>
      <c r="B605" t="s">
        <v>13</v>
      </c>
      <c r="C605" t="str">
        <f>IF(Table1[[#This Row],[age]]&gt;18,"Adult","Teenage")</f>
        <v>Teenage</v>
      </c>
      <c r="D605">
        <v>6.9</v>
      </c>
      <c r="E605" t="s">
        <v>14</v>
      </c>
      <c r="F605">
        <v>6.8</v>
      </c>
      <c r="G605">
        <f>Table1[[#This Row],[sleep_hours]]-Table1[[#This Row],[daily_social_media_hours]]</f>
        <v>-0.10000000000000053</v>
      </c>
      <c r="H605">
        <v>1.1000000000000001</v>
      </c>
      <c r="I605">
        <v>3.33</v>
      </c>
      <c r="J605" t="str" cm="1">
        <f t="array" ref="J605">_xlfn.IFS(Table1[[#This Row],[academic_performance]]&gt;1,"Need Improvement",Table1[[#This Row],[academic_performance]]&gt;2,"Good",Table1[[#This Row],[academic_performance]]&gt;3,"Very good",Table1[[#This Row],[academic_performance]]&gt;4,"Excellent")</f>
        <v>Need Improvement</v>
      </c>
      <c r="K605">
        <v>1</v>
      </c>
      <c r="L605" t="str">
        <f>IF(Table1[[#This Row],[physical_activity]]&gt;1.9,"better overall ","lower rate of depression")</f>
        <v>lower rate of depression</v>
      </c>
      <c r="M605" t="s">
        <v>19</v>
      </c>
      <c r="N605">
        <v>7</v>
      </c>
      <c r="O605">
        <v>9</v>
      </c>
      <c r="P605">
        <v>4</v>
      </c>
      <c r="Q605">
        <v>0</v>
      </c>
    </row>
    <row r="606" spans="1:17" x14ac:dyDescent="0.3">
      <c r="A606">
        <v>16</v>
      </c>
      <c r="B606" t="s">
        <v>16</v>
      </c>
      <c r="C606" t="str">
        <f>IF(Table1[[#This Row],[age]]&gt;18,"Adult","Teenage")</f>
        <v>Teenage</v>
      </c>
      <c r="D606">
        <v>5.6</v>
      </c>
      <c r="E606" t="s">
        <v>17</v>
      </c>
      <c r="F606">
        <v>7.9</v>
      </c>
      <c r="G606">
        <f>Table1[[#This Row],[sleep_hours]]-Table1[[#This Row],[daily_social_media_hours]]</f>
        <v>2.3000000000000007</v>
      </c>
      <c r="H606">
        <v>2</v>
      </c>
      <c r="I606">
        <v>3.91</v>
      </c>
      <c r="J606" t="str" cm="1">
        <f t="array" ref="J606">_xlfn.IFS(Table1[[#This Row],[academic_performance]]&gt;1,"Need Improvement",Table1[[#This Row],[academic_performance]]&gt;2,"Good",Table1[[#This Row],[academic_performance]]&gt;3,"Very good",Table1[[#This Row],[academic_performance]]&gt;4,"Excellent")</f>
        <v>Need Improvement</v>
      </c>
      <c r="K606">
        <v>0.6</v>
      </c>
      <c r="L606" t="str">
        <f>IF(Table1[[#This Row],[physical_activity]]&gt;1.9,"better overall ","lower rate of depression")</f>
        <v>lower rate of depression</v>
      </c>
      <c r="M606" t="s">
        <v>19</v>
      </c>
      <c r="N606">
        <v>7</v>
      </c>
      <c r="O606">
        <v>3</v>
      </c>
      <c r="P606">
        <v>10</v>
      </c>
      <c r="Q606">
        <v>0</v>
      </c>
    </row>
    <row r="607" spans="1:17" x14ac:dyDescent="0.3">
      <c r="A607">
        <v>16</v>
      </c>
      <c r="B607" t="s">
        <v>16</v>
      </c>
      <c r="C607" t="str">
        <f>IF(Table1[[#This Row],[age]]&gt;18,"Adult","Teenage")</f>
        <v>Teenage</v>
      </c>
      <c r="D607">
        <v>5.2</v>
      </c>
      <c r="E607" t="s">
        <v>17</v>
      </c>
      <c r="F607">
        <v>8.1</v>
      </c>
      <c r="G607">
        <f>Table1[[#This Row],[sleep_hours]]-Table1[[#This Row],[daily_social_media_hours]]</f>
        <v>2.8999999999999995</v>
      </c>
      <c r="H607">
        <v>2.1</v>
      </c>
      <c r="I607">
        <v>2.67</v>
      </c>
      <c r="J607" t="str" cm="1">
        <f t="array" ref="J607">_xlfn.IFS(Table1[[#This Row],[academic_performance]]&gt;1,"Need Improvement",Table1[[#This Row],[academic_performance]]&gt;2,"Good",Table1[[#This Row],[academic_performance]]&gt;3,"Very good",Table1[[#This Row],[academic_performance]]&gt;4,"Excellent")</f>
        <v>Need Improvement</v>
      </c>
      <c r="K607">
        <v>1.7</v>
      </c>
      <c r="L607" t="str">
        <f>IF(Table1[[#This Row],[physical_activity]]&gt;1.9,"better overall ","lower rate of depression")</f>
        <v>lower rate of depression</v>
      </c>
      <c r="M607" t="s">
        <v>19</v>
      </c>
      <c r="N607">
        <v>9</v>
      </c>
      <c r="O607">
        <v>10</v>
      </c>
      <c r="P607">
        <v>10</v>
      </c>
      <c r="Q607">
        <v>0</v>
      </c>
    </row>
    <row r="608" spans="1:17" x14ac:dyDescent="0.3">
      <c r="A608">
        <v>17</v>
      </c>
      <c r="B608" t="s">
        <v>13</v>
      </c>
      <c r="C608" t="str">
        <f>IF(Table1[[#This Row],[age]]&gt;18,"Adult","Teenage")</f>
        <v>Teenage</v>
      </c>
      <c r="D608">
        <v>4.5</v>
      </c>
      <c r="E608" t="s">
        <v>20</v>
      </c>
      <c r="F608">
        <v>4.9000000000000004</v>
      </c>
      <c r="G608">
        <f>Table1[[#This Row],[sleep_hours]]-Table1[[#This Row],[daily_social_media_hours]]</f>
        <v>0.40000000000000036</v>
      </c>
      <c r="H608">
        <v>0.5</v>
      </c>
      <c r="I608">
        <v>3.44</v>
      </c>
      <c r="J608" t="str" cm="1">
        <f t="array" ref="J608">_xlfn.IFS(Table1[[#This Row],[academic_performance]]&gt;1,"Need Improvement",Table1[[#This Row],[academic_performance]]&gt;2,"Good",Table1[[#This Row],[academic_performance]]&gt;3,"Very good",Table1[[#This Row],[academic_performance]]&gt;4,"Excellent")</f>
        <v>Need Improvement</v>
      </c>
      <c r="K608">
        <v>1.2</v>
      </c>
      <c r="L608" t="str">
        <f>IF(Table1[[#This Row],[physical_activity]]&gt;1.9,"better overall ","lower rate of depression")</f>
        <v>lower rate of depression</v>
      </c>
      <c r="M608" t="s">
        <v>19</v>
      </c>
      <c r="N608">
        <v>5</v>
      </c>
      <c r="O608">
        <v>3</v>
      </c>
      <c r="P608">
        <v>1</v>
      </c>
      <c r="Q608">
        <v>0</v>
      </c>
    </row>
    <row r="609" spans="1:17" x14ac:dyDescent="0.3">
      <c r="A609">
        <v>14</v>
      </c>
      <c r="B609" t="s">
        <v>13</v>
      </c>
      <c r="C609" t="str">
        <f>IF(Table1[[#This Row],[age]]&gt;18,"Adult","Teenage")</f>
        <v>Teenage</v>
      </c>
      <c r="D609">
        <v>3.6</v>
      </c>
      <c r="E609" t="s">
        <v>17</v>
      </c>
      <c r="F609">
        <v>4</v>
      </c>
      <c r="G609">
        <f>Table1[[#This Row],[sleep_hours]]-Table1[[#This Row],[daily_social_media_hours]]</f>
        <v>0.39999999999999991</v>
      </c>
      <c r="H609">
        <v>1.4</v>
      </c>
      <c r="I609">
        <v>3.83</v>
      </c>
      <c r="J609" t="str" cm="1">
        <f t="array" ref="J609">_xlfn.IFS(Table1[[#This Row],[academic_performance]]&gt;1,"Need Improvement",Table1[[#This Row],[academic_performance]]&gt;2,"Good",Table1[[#This Row],[academic_performance]]&gt;3,"Very good",Table1[[#This Row],[academic_performance]]&gt;4,"Excellent")</f>
        <v>Need Improvement</v>
      </c>
      <c r="K609">
        <v>0.5</v>
      </c>
      <c r="L609" t="str">
        <f>IF(Table1[[#This Row],[physical_activity]]&gt;1.9,"better overall ","lower rate of depression")</f>
        <v>lower rate of depression</v>
      </c>
      <c r="M609" t="s">
        <v>19</v>
      </c>
      <c r="N609">
        <v>1</v>
      </c>
      <c r="O609">
        <v>5</v>
      </c>
      <c r="P609">
        <v>2</v>
      </c>
      <c r="Q609">
        <v>0</v>
      </c>
    </row>
    <row r="610" spans="1:17" x14ac:dyDescent="0.3">
      <c r="A610">
        <v>19</v>
      </c>
      <c r="B610" t="s">
        <v>13</v>
      </c>
      <c r="C610" t="str">
        <f>IF(Table1[[#This Row],[age]]&gt;18,"Adult","Teenage")</f>
        <v>Adult</v>
      </c>
      <c r="D610">
        <v>7.2</v>
      </c>
      <c r="E610" t="s">
        <v>14</v>
      </c>
      <c r="F610">
        <v>5</v>
      </c>
      <c r="G610">
        <f>Table1[[#This Row],[sleep_hours]]-Table1[[#This Row],[daily_social_media_hours]]</f>
        <v>-2.2000000000000002</v>
      </c>
      <c r="H610">
        <v>2.2000000000000002</v>
      </c>
      <c r="I610">
        <v>2.5</v>
      </c>
      <c r="J610" t="str" cm="1">
        <f t="array" ref="J610">_xlfn.IFS(Table1[[#This Row],[academic_performance]]&gt;1,"Need Improvement",Table1[[#This Row],[academic_performance]]&gt;2,"Good",Table1[[#This Row],[academic_performance]]&gt;3,"Very good",Table1[[#This Row],[academic_performance]]&gt;4,"Excellent")</f>
        <v>Need Improvement</v>
      </c>
      <c r="K610">
        <v>0.7</v>
      </c>
      <c r="L610" t="str">
        <f>IF(Table1[[#This Row],[physical_activity]]&gt;1.9,"better overall ","lower rate of depression")</f>
        <v>lower rate of depression</v>
      </c>
      <c r="M610" t="s">
        <v>18</v>
      </c>
      <c r="N610">
        <v>6</v>
      </c>
      <c r="O610">
        <v>9</v>
      </c>
      <c r="P610">
        <v>2</v>
      </c>
      <c r="Q610">
        <v>0</v>
      </c>
    </row>
    <row r="611" spans="1:17" x14ac:dyDescent="0.3">
      <c r="A611">
        <v>17</v>
      </c>
      <c r="B611" t="s">
        <v>13</v>
      </c>
      <c r="C611" t="str">
        <f>IF(Table1[[#This Row],[age]]&gt;18,"Adult","Teenage")</f>
        <v>Teenage</v>
      </c>
      <c r="D611">
        <v>6.4</v>
      </c>
      <c r="E611" t="s">
        <v>17</v>
      </c>
      <c r="F611">
        <v>8.6</v>
      </c>
      <c r="G611">
        <f>Table1[[#This Row],[sleep_hours]]-Table1[[#This Row],[daily_social_media_hours]]</f>
        <v>2.1999999999999993</v>
      </c>
      <c r="H611">
        <v>2.2999999999999998</v>
      </c>
      <c r="I611">
        <v>2.57</v>
      </c>
      <c r="J611" t="str" cm="1">
        <f t="array" ref="J611">_xlfn.IFS(Table1[[#This Row],[academic_performance]]&gt;1,"Need Improvement",Table1[[#This Row],[academic_performance]]&gt;2,"Good",Table1[[#This Row],[academic_performance]]&gt;3,"Very good",Table1[[#This Row],[academic_performance]]&gt;4,"Excellent")</f>
        <v>Need Improvement</v>
      </c>
      <c r="K611">
        <v>1.3</v>
      </c>
      <c r="L611" t="str">
        <f>IF(Table1[[#This Row],[physical_activity]]&gt;1.9,"better overall ","lower rate of depression")</f>
        <v>lower rate of depression</v>
      </c>
      <c r="M611" t="s">
        <v>15</v>
      </c>
      <c r="N611">
        <v>9</v>
      </c>
      <c r="O611">
        <v>10</v>
      </c>
      <c r="P611">
        <v>5</v>
      </c>
      <c r="Q611">
        <v>0</v>
      </c>
    </row>
    <row r="612" spans="1:17" x14ac:dyDescent="0.3">
      <c r="A612">
        <v>15</v>
      </c>
      <c r="B612" t="s">
        <v>13</v>
      </c>
      <c r="C612" t="str">
        <f>IF(Table1[[#This Row],[age]]&gt;18,"Adult","Teenage")</f>
        <v>Teenage</v>
      </c>
      <c r="D612">
        <v>7.1</v>
      </c>
      <c r="E612" t="s">
        <v>20</v>
      </c>
      <c r="F612">
        <v>6.5</v>
      </c>
      <c r="G612">
        <f>Table1[[#This Row],[sleep_hours]]-Table1[[#This Row],[daily_social_media_hours]]</f>
        <v>-0.59999999999999964</v>
      </c>
      <c r="H612">
        <v>0.7</v>
      </c>
      <c r="I612">
        <v>3.94</v>
      </c>
      <c r="J612" t="str" cm="1">
        <f t="array" ref="J612">_xlfn.IFS(Table1[[#This Row],[academic_performance]]&gt;1,"Need Improvement",Table1[[#This Row],[academic_performance]]&gt;2,"Good",Table1[[#This Row],[academic_performance]]&gt;3,"Very good",Table1[[#This Row],[academic_performance]]&gt;4,"Excellent")</f>
        <v>Need Improvement</v>
      </c>
      <c r="K612">
        <v>0.2</v>
      </c>
      <c r="L612" t="str">
        <f>IF(Table1[[#This Row],[physical_activity]]&gt;1.9,"better overall ","lower rate of depression")</f>
        <v>lower rate of depression</v>
      </c>
      <c r="M612" t="s">
        <v>19</v>
      </c>
      <c r="N612">
        <v>4</v>
      </c>
      <c r="O612">
        <v>7</v>
      </c>
      <c r="P612">
        <v>1</v>
      </c>
      <c r="Q612">
        <v>0</v>
      </c>
    </row>
    <row r="613" spans="1:17" x14ac:dyDescent="0.3">
      <c r="A613">
        <v>18</v>
      </c>
      <c r="B613" t="s">
        <v>13</v>
      </c>
      <c r="C613" t="str">
        <f>IF(Table1[[#This Row],[age]]&gt;18,"Adult","Teenage")</f>
        <v>Teenage</v>
      </c>
      <c r="D613">
        <v>1.2</v>
      </c>
      <c r="E613" t="s">
        <v>20</v>
      </c>
      <c r="F613">
        <v>4.0999999999999996</v>
      </c>
      <c r="G613">
        <f>Table1[[#This Row],[sleep_hours]]-Table1[[#This Row],[daily_social_media_hours]]</f>
        <v>2.8999999999999995</v>
      </c>
      <c r="H613">
        <v>1.1000000000000001</v>
      </c>
      <c r="I613">
        <v>3.04</v>
      </c>
      <c r="J613" t="str" cm="1">
        <f t="array" ref="J613">_xlfn.IFS(Table1[[#This Row],[academic_performance]]&gt;1,"Need Improvement",Table1[[#This Row],[academic_performance]]&gt;2,"Good",Table1[[#This Row],[academic_performance]]&gt;3,"Very good",Table1[[#This Row],[academic_performance]]&gt;4,"Excellent")</f>
        <v>Need Improvement</v>
      </c>
      <c r="K613">
        <v>1.6</v>
      </c>
      <c r="L613" t="str">
        <f>IF(Table1[[#This Row],[physical_activity]]&gt;1.9,"better overall ","lower rate of depression")</f>
        <v>lower rate of depression</v>
      </c>
      <c r="M613" t="s">
        <v>15</v>
      </c>
      <c r="N613">
        <v>1</v>
      </c>
      <c r="O613">
        <v>3</v>
      </c>
      <c r="P613">
        <v>6</v>
      </c>
      <c r="Q613">
        <v>0</v>
      </c>
    </row>
    <row r="614" spans="1:17" x14ac:dyDescent="0.3">
      <c r="A614">
        <v>19</v>
      </c>
      <c r="B614" t="s">
        <v>13</v>
      </c>
      <c r="C614" t="str">
        <f>IF(Table1[[#This Row],[age]]&gt;18,"Adult","Teenage")</f>
        <v>Adult</v>
      </c>
      <c r="D614">
        <v>6.6</v>
      </c>
      <c r="E614" t="s">
        <v>17</v>
      </c>
      <c r="F614">
        <v>8.8000000000000007</v>
      </c>
      <c r="G614">
        <f>Table1[[#This Row],[sleep_hours]]-Table1[[#This Row],[daily_social_media_hours]]</f>
        <v>2.2000000000000011</v>
      </c>
      <c r="H614">
        <v>0.9</v>
      </c>
      <c r="I614">
        <v>3.84</v>
      </c>
      <c r="J614" t="str" cm="1">
        <f t="array" ref="J614">_xlfn.IFS(Table1[[#This Row],[academic_performance]]&gt;1,"Need Improvement",Table1[[#This Row],[academic_performance]]&gt;2,"Good",Table1[[#This Row],[academic_performance]]&gt;3,"Very good",Table1[[#This Row],[academic_performance]]&gt;4,"Excellent")</f>
        <v>Need Improvement</v>
      </c>
      <c r="K614">
        <v>0.3</v>
      </c>
      <c r="L614" t="str">
        <f>IF(Table1[[#This Row],[physical_activity]]&gt;1.9,"better overall ","lower rate of depression")</f>
        <v>lower rate of depression</v>
      </c>
      <c r="M614" t="s">
        <v>18</v>
      </c>
      <c r="N614">
        <v>10</v>
      </c>
      <c r="O614">
        <v>10</v>
      </c>
      <c r="P614">
        <v>6</v>
      </c>
      <c r="Q614">
        <v>0</v>
      </c>
    </row>
    <row r="615" spans="1:17" x14ac:dyDescent="0.3">
      <c r="A615">
        <v>19</v>
      </c>
      <c r="B615" t="s">
        <v>16</v>
      </c>
      <c r="C615" t="str">
        <f>IF(Table1[[#This Row],[age]]&gt;18,"Adult","Teenage")</f>
        <v>Adult</v>
      </c>
      <c r="D615">
        <v>6.5</v>
      </c>
      <c r="E615" t="s">
        <v>17</v>
      </c>
      <c r="F615">
        <v>6.4</v>
      </c>
      <c r="G615">
        <f>Table1[[#This Row],[sleep_hours]]-Table1[[#This Row],[daily_social_media_hours]]</f>
        <v>-9.9999999999999645E-2</v>
      </c>
      <c r="H615">
        <v>1.1000000000000001</v>
      </c>
      <c r="I615">
        <v>3.71</v>
      </c>
      <c r="J615" t="str" cm="1">
        <f t="array" ref="J615">_xlfn.IFS(Table1[[#This Row],[academic_performance]]&gt;1,"Need Improvement",Table1[[#This Row],[academic_performance]]&gt;2,"Good",Table1[[#This Row],[academic_performance]]&gt;3,"Very good",Table1[[#This Row],[academic_performance]]&gt;4,"Excellent")</f>
        <v>Need Improvement</v>
      </c>
      <c r="K615">
        <v>1.2</v>
      </c>
      <c r="L615" t="str">
        <f>IF(Table1[[#This Row],[physical_activity]]&gt;1.9,"better overall ","lower rate of depression")</f>
        <v>lower rate of depression</v>
      </c>
      <c r="M615" t="s">
        <v>15</v>
      </c>
      <c r="N615">
        <v>8</v>
      </c>
      <c r="O615">
        <v>9</v>
      </c>
      <c r="P615">
        <v>8</v>
      </c>
      <c r="Q615">
        <v>0</v>
      </c>
    </row>
    <row r="616" spans="1:17" x14ac:dyDescent="0.3">
      <c r="A616">
        <v>16</v>
      </c>
      <c r="B616" t="s">
        <v>13</v>
      </c>
      <c r="C616" t="str">
        <f>IF(Table1[[#This Row],[age]]&gt;18,"Adult","Teenage")</f>
        <v>Teenage</v>
      </c>
      <c r="D616">
        <v>2</v>
      </c>
      <c r="E616" t="s">
        <v>17</v>
      </c>
      <c r="F616">
        <v>4.4000000000000004</v>
      </c>
      <c r="G616">
        <f>Table1[[#This Row],[sleep_hours]]-Table1[[#This Row],[daily_social_media_hours]]</f>
        <v>2.4000000000000004</v>
      </c>
      <c r="H616">
        <v>0.7</v>
      </c>
      <c r="I616">
        <v>2.68</v>
      </c>
      <c r="J616" t="str" cm="1">
        <f t="array" ref="J616">_xlfn.IFS(Table1[[#This Row],[academic_performance]]&gt;1,"Need Improvement",Table1[[#This Row],[academic_performance]]&gt;2,"Good",Table1[[#This Row],[academic_performance]]&gt;3,"Very good",Table1[[#This Row],[academic_performance]]&gt;4,"Excellent")</f>
        <v>Need Improvement</v>
      </c>
      <c r="K616">
        <v>0.8</v>
      </c>
      <c r="L616" t="str">
        <f>IF(Table1[[#This Row],[physical_activity]]&gt;1.9,"better overall ","lower rate of depression")</f>
        <v>lower rate of depression</v>
      </c>
      <c r="M616" t="s">
        <v>19</v>
      </c>
      <c r="N616">
        <v>1</v>
      </c>
      <c r="O616">
        <v>4</v>
      </c>
      <c r="P616">
        <v>10</v>
      </c>
      <c r="Q616">
        <v>0</v>
      </c>
    </row>
    <row r="617" spans="1:17" x14ac:dyDescent="0.3">
      <c r="A617">
        <v>13</v>
      </c>
      <c r="B617" t="s">
        <v>13</v>
      </c>
      <c r="C617" t="str">
        <f>IF(Table1[[#This Row],[age]]&gt;18,"Adult","Teenage")</f>
        <v>Teenage</v>
      </c>
      <c r="D617">
        <v>2.5</v>
      </c>
      <c r="E617" t="s">
        <v>14</v>
      </c>
      <c r="F617">
        <v>5.3</v>
      </c>
      <c r="G617">
        <f>Table1[[#This Row],[sleep_hours]]-Table1[[#This Row],[daily_social_media_hours]]</f>
        <v>2.8</v>
      </c>
      <c r="H617">
        <v>0.8</v>
      </c>
      <c r="I617">
        <v>3.12</v>
      </c>
      <c r="J617" t="str" cm="1">
        <f t="array" ref="J617">_xlfn.IFS(Table1[[#This Row],[academic_performance]]&gt;1,"Need Improvement",Table1[[#This Row],[academic_performance]]&gt;2,"Good",Table1[[#This Row],[academic_performance]]&gt;3,"Very good",Table1[[#This Row],[academic_performance]]&gt;4,"Excellent")</f>
        <v>Need Improvement</v>
      </c>
      <c r="K617">
        <v>0.4</v>
      </c>
      <c r="L617" t="str">
        <f>IF(Table1[[#This Row],[physical_activity]]&gt;1.9,"better overall ","lower rate of depression")</f>
        <v>lower rate of depression</v>
      </c>
      <c r="M617" t="s">
        <v>18</v>
      </c>
      <c r="N617">
        <v>3</v>
      </c>
      <c r="O617">
        <v>5</v>
      </c>
      <c r="P617">
        <v>3</v>
      </c>
      <c r="Q617">
        <v>0</v>
      </c>
    </row>
    <row r="618" spans="1:17" x14ac:dyDescent="0.3">
      <c r="A618">
        <v>19</v>
      </c>
      <c r="B618" t="s">
        <v>13</v>
      </c>
      <c r="C618" t="str">
        <f>IF(Table1[[#This Row],[age]]&gt;18,"Adult","Teenage")</f>
        <v>Adult</v>
      </c>
      <c r="D618">
        <v>2.1</v>
      </c>
      <c r="E618" t="s">
        <v>14</v>
      </c>
      <c r="F618">
        <v>8.8000000000000007</v>
      </c>
      <c r="G618">
        <f>Table1[[#This Row],[sleep_hours]]-Table1[[#This Row],[daily_social_media_hours]]</f>
        <v>6.7000000000000011</v>
      </c>
      <c r="H618">
        <v>2.2999999999999998</v>
      </c>
      <c r="I618">
        <v>2.2200000000000002</v>
      </c>
      <c r="J618" t="str" cm="1">
        <f t="array" ref="J618">_xlfn.IFS(Table1[[#This Row],[academic_performance]]&gt;1,"Need Improvement",Table1[[#This Row],[academic_performance]]&gt;2,"Good",Table1[[#This Row],[academic_performance]]&gt;3,"Very good",Table1[[#This Row],[academic_performance]]&gt;4,"Excellent")</f>
        <v>Need Improvement</v>
      </c>
      <c r="K618">
        <v>1.2</v>
      </c>
      <c r="L618" t="str">
        <f>IF(Table1[[#This Row],[physical_activity]]&gt;1.9,"better overall ","lower rate of depression")</f>
        <v>lower rate of depression</v>
      </c>
      <c r="M618" t="s">
        <v>18</v>
      </c>
      <c r="N618">
        <v>5</v>
      </c>
      <c r="O618">
        <v>5</v>
      </c>
      <c r="P618">
        <v>3</v>
      </c>
      <c r="Q618">
        <v>0</v>
      </c>
    </row>
    <row r="619" spans="1:17" x14ac:dyDescent="0.3">
      <c r="A619">
        <v>16</v>
      </c>
      <c r="B619" t="s">
        <v>16</v>
      </c>
      <c r="C619" t="str">
        <f>IF(Table1[[#This Row],[age]]&gt;18,"Adult","Teenage")</f>
        <v>Teenage</v>
      </c>
      <c r="D619">
        <v>7.1</v>
      </c>
      <c r="E619" t="s">
        <v>17</v>
      </c>
      <c r="F619">
        <v>8.8000000000000007</v>
      </c>
      <c r="G619">
        <f>Table1[[#This Row],[sleep_hours]]-Table1[[#This Row],[daily_social_media_hours]]</f>
        <v>1.7000000000000011</v>
      </c>
      <c r="H619">
        <v>1.8</v>
      </c>
      <c r="I619">
        <v>3.99</v>
      </c>
      <c r="J619" t="str" cm="1">
        <f t="array" ref="J619">_xlfn.IFS(Table1[[#This Row],[academic_performance]]&gt;1,"Need Improvement",Table1[[#This Row],[academic_performance]]&gt;2,"Good",Table1[[#This Row],[academic_performance]]&gt;3,"Very good",Table1[[#This Row],[academic_performance]]&gt;4,"Excellent")</f>
        <v>Need Improvement</v>
      </c>
      <c r="K619">
        <v>0.8</v>
      </c>
      <c r="L619" t="str">
        <f>IF(Table1[[#This Row],[physical_activity]]&gt;1.9,"better overall ","lower rate of depression")</f>
        <v>lower rate of depression</v>
      </c>
      <c r="M619" t="s">
        <v>15</v>
      </c>
      <c r="N619">
        <v>6</v>
      </c>
      <c r="O619">
        <v>10</v>
      </c>
      <c r="P619">
        <v>8</v>
      </c>
      <c r="Q619">
        <v>0</v>
      </c>
    </row>
    <row r="620" spans="1:17" x14ac:dyDescent="0.3">
      <c r="A620">
        <v>19</v>
      </c>
      <c r="B620" t="s">
        <v>16</v>
      </c>
      <c r="C620" t="str">
        <f>IF(Table1[[#This Row],[age]]&gt;18,"Adult","Teenage")</f>
        <v>Adult</v>
      </c>
      <c r="D620">
        <v>6.8</v>
      </c>
      <c r="E620" t="s">
        <v>20</v>
      </c>
      <c r="F620">
        <v>4.4000000000000004</v>
      </c>
      <c r="G620">
        <f>Table1[[#This Row],[sleep_hours]]-Table1[[#This Row],[daily_social_media_hours]]</f>
        <v>-2.3999999999999995</v>
      </c>
      <c r="H620">
        <v>2.1</v>
      </c>
      <c r="I620">
        <v>3.69</v>
      </c>
      <c r="J620" t="str" cm="1">
        <f t="array" ref="J620">_xlfn.IFS(Table1[[#This Row],[academic_performance]]&gt;1,"Need Improvement",Table1[[#This Row],[academic_performance]]&gt;2,"Good",Table1[[#This Row],[academic_performance]]&gt;3,"Very good",Table1[[#This Row],[academic_performance]]&gt;4,"Excellent")</f>
        <v>Need Improvement</v>
      </c>
      <c r="K620">
        <v>0.4</v>
      </c>
      <c r="L620" t="str">
        <f>IF(Table1[[#This Row],[physical_activity]]&gt;1.9,"better overall ","lower rate of depression")</f>
        <v>lower rate of depression</v>
      </c>
      <c r="M620" t="s">
        <v>18</v>
      </c>
      <c r="N620">
        <v>3</v>
      </c>
      <c r="O620">
        <v>2</v>
      </c>
      <c r="P620">
        <v>8</v>
      </c>
      <c r="Q620">
        <v>0</v>
      </c>
    </row>
    <row r="621" spans="1:17" x14ac:dyDescent="0.3">
      <c r="A621">
        <v>13</v>
      </c>
      <c r="B621" t="s">
        <v>13</v>
      </c>
      <c r="C621" t="str">
        <f>IF(Table1[[#This Row],[age]]&gt;18,"Adult","Teenage")</f>
        <v>Teenage</v>
      </c>
      <c r="D621">
        <v>5.2</v>
      </c>
      <c r="E621" t="s">
        <v>20</v>
      </c>
      <c r="F621">
        <v>5.4</v>
      </c>
      <c r="G621">
        <f>Table1[[#This Row],[sleep_hours]]-Table1[[#This Row],[daily_social_media_hours]]</f>
        <v>0.20000000000000018</v>
      </c>
      <c r="H621">
        <v>0.8</v>
      </c>
      <c r="I621">
        <v>2.39</v>
      </c>
      <c r="J621" t="str" cm="1">
        <f t="array" ref="J621">_xlfn.IFS(Table1[[#This Row],[academic_performance]]&gt;1,"Need Improvement",Table1[[#This Row],[academic_performance]]&gt;2,"Good",Table1[[#This Row],[academic_performance]]&gt;3,"Very good",Table1[[#This Row],[academic_performance]]&gt;4,"Excellent")</f>
        <v>Need Improvement</v>
      </c>
      <c r="K621">
        <v>2</v>
      </c>
      <c r="L621" t="str">
        <f>IF(Table1[[#This Row],[physical_activity]]&gt;1.9,"better overall ","lower rate of depression")</f>
        <v xml:space="preserve">better overall </v>
      </c>
      <c r="M621" t="s">
        <v>15</v>
      </c>
      <c r="N621">
        <v>8</v>
      </c>
      <c r="O621">
        <v>3</v>
      </c>
      <c r="P621">
        <v>10</v>
      </c>
      <c r="Q621">
        <v>0</v>
      </c>
    </row>
    <row r="622" spans="1:17" x14ac:dyDescent="0.3">
      <c r="A622">
        <v>19</v>
      </c>
      <c r="B622" t="s">
        <v>13</v>
      </c>
      <c r="C622" t="str">
        <f>IF(Table1[[#This Row],[age]]&gt;18,"Adult","Teenage")</f>
        <v>Adult</v>
      </c>
      <c r="D622">
        <v>7</v>
      </c>
      <c r="E622" t="s">
        <v>17</v>
      </c>
      <c r="F622">
        <v>4.5</v>
      </c>
      <c r="G622">
        <f>Table1[[#This Row],[sleep_hours]]-Table1[[#This Row],[daily_social_media_hours]]</f>
        <v>-2.5</v>
      </c>
      <c r="H622">
        <v>2.2999999999999998</v>
      </c>
      <c r="I622">
        <v>3.26</v>
      </c>
      <c r="J622" t="str" cm="1">
        <f t="array" ref="J622">_xlfn.IFS(Table1[[#This Row],[academic_performance]]&gt;1,"Need Improvement",Table1[[#This Row],[academic_performance]]&gt;2,"Good",Table1[[#This Row],[academic_performance]]&gt;3,"Very good",Table1[[#This Row],[academic_performance]]&gt;4,"Excellent")</f>
        <v>Need Improvement</v>
      </c>
      <c r="K622">
        <v>1.7</v>
      </c>
      <c r="L622" t="str">
        <f>IF(Table1[[#This Row],[physical_activity]]&gt;1.9,"better overall ","lower rate of depression")</f>
        <v>lower rate of depression</v>
      </c>
      <c r="M622" t="s">
        <v>18</v>
      </c>
      <c r="N622">
        <v>9</v>
      </c>
      <c r="O622">
        <v>10</v>
      </c>
      <c r="P622">
        <v>3</v>
      </c>
      <c r="Q622">
        <v>1</v>
      </c>
    </row>
    <row r="623" spans="1:17" x14ac:dyDescent="0.3">
      <c r="A623">
        <v>19</v>
      </c>
      <c r="B623" t="s">
        <v>13</v>
      </c>
      <c r="C623" t="str">
        <f>IF(Table1[[#This Row],[age]]&gt;18,"Adult","Teenage")</f>
        <v>Adult</v>
      </c>
      <c r="D623">
        <v>6.8</v>
      </c>
      <c r="E623" t="s">
        <v>17</v>
      </c>
      <c r="F623">
        <v>8.4</v>
      </c>
      <c r="G623">
        <f>Table1[[#This Row],[sleep_hours]]-Table1[[#This Row],[daily_social_media_hours]]</f>
        <v>1.6000000000000005</v>
      </c>
      <c r="H623">
        <v>2</v>
      </c>
      <c r="I623">
        <v>2.6</v>
      </c>
      <c r="J623" t="str" cm="1">
        <f t="array" ref="J623">_xlfn.IFS(Table1[[#This Row],[academic_performance]]&gt;1,"Need Improvement",Table1[[#This Row],[academic_performance]]&gt;2,"Good",Table1[[#This Row],[academic_performance]]&gt;3,"Very good",Table1[[#This Row],[academic_performance]]&gt;4,"Excellent")</f>
        <v>Need Improvement</v>
      </c>
      <c r="K623">
        <v>1.5</v>
      </c>
      <c r="L623" t="str">
        <f>IF(Table1[[#This Row],[physical_activity]]&gt;1.9,"better overall ","lower rate of depression")</f>
        <v>lower rate of depression</v>
      </c>
      <c r="M623" t="s">
        <v>15</v>
      </c>
      <c r="N623">
        <v>7</v>
      </c>
      <c r="O623">
        <v>2</v>
      </c>
      <c r="P623">
        <v>2</v>
      </c>
      <c r="Q623">
        <v>0</v>
      </c>
    </row>
    <row r="624" spans="1:17" x14ac:dyDescent="0.3">
      <c r="A624">
        <v>16</v>
      </c>
      <c r="B624" t="s">
        <v>16</v>
      </c>
      <c r="C624" t="str">
        <f>IF(Table1[[#This Row],[age]]&gt;18,"Adult","Teenage")</f>
        <v>Teenage</v>
      </c>
      <c r="D624">
        <v>3.8</v>
      </c>
      <c r="E624" t="s">
        <v>17</v>
      </c>
      <c r="F624">
        <v>5.3</v>
      </c>
      <c r="G624">
        <f>Table1[[#This Row],[sleep_hours]]-Table1[[#This Row],[daily_social_media_hours]]</f>
        <v>1.5</v>
      </c>
      <c r="H624">
        <v>1.5</v>
      </c>
      <c r="I624">
        <v>2.04</v>
      </c>
      <c r="J624" t="str" cm="1">
        <f t="array" ref="J624">_xlfn.IFS(Table1[[#This Row],[academic_performance]]&gt;1,"Need Improvement",Table1[[#This Row],[academic_performance]]&gt;2,"Good",Table1[[#This Row],[academic_performance]]&gt;3,"Very good",Table1[[#This Row],[academic_performance]]&gt;4,"Excellent")</f>
        <v>Need Improvement</v>
      </c>
      <c r="K624">
        <v>1.5</v>
      </c>
      <c r="L624" t="str">
        <f>IF(Table1[[#This Row],[physical_activity]]&gt;1.9,"better overall ","lower rate of depression")</f>
        <v>lower rate of depression</v>
      </c>
      <c r="M624" t="s">
        <v>18</v>
      </c>
      <c r="N624">
        <v>5</v>
      </c>
      <c r="O624">
        <v>10</v>
      </c>
      <c r="P624">
        <v>5</v>
      </c>
      <c r="Q624">
        <v>0</v>
      </c>
    </row>
    <row r="625" spans="1:17" x14ac:dyDescent="0.3">
      <c r="A625">
        <v>14</v>
      </c>
      <c r="B625" t="s">
        <v>13</v>
      </c>
      <c r="C625" t="str">
        <f>IF(Table1[[#This Row],[age]]&gt;18,"Adult","Teenage")</f>
        <v>Teenage</v>
      </c>
      <c r="D625">
        <v>2.9</v>
      </c>
      <c r="E625" t="s">
        <v>14</v>
      </c>
      <c r="F625">
        <v>7.2</v>
      </c>
      <c r="G625">
        <f>Table1[[#This Row],[sleep_hours]]-Table1[[#This Row],[daily_social_media_hours]]</f>
        <v>4.3000000000000007</v>
      </c>
      <c r="H625">
        <v>2</v>
      </c>
      <c r="I625">
        <v>3.96</v>
      </c>
      <c r="J625" t="str" cm="1">
        <f t="array" ref="J625">_xlfn.IFS(Table1[[#This Row],[academic_performance]]&gt;1,"Need Improvement",Table1[[#This Row],[academic_performance]]&gt;2,"Good",Table1[[#This Row],[academic_performance]]&gt;3,"Very good",Table1[[#This Row],[academic_performance]]&gt;4,"Excellent")</f>
        <v>Need Improvement</v>
      </c>
      <c r="K625">
        <v>1.5</v>
      </c>
      <c r="L625" t="str">
        <f>IF(Table1[[#This Row],[physical_activity]]&gt;1.9,"better overall ","lower rate of depression")</f>
        <v>lower rate of depression</v>
      </c>
      <c r="M625" t="s">
        <v>19</v>
      </c>
      <c r="N625">
        <v>9</v>
      </c>
      <c r="O625">
        <v>10</v>
      </c>
      <c r="P625">
        <v>4</v>
      </c>
      <c r="Q625">
        <v>0</v>
      </c>
    </row>
    <row r="626" spans="1:17" x14ac:dyDescent="0.3">
      <c r="A626">
        <v>16</v>
      </c>
      <c r="B626" t="s">
        <v>13</v>
      </c>
      <c r="C626" t="str">
        <f>IF(Table1[[#This Row],[age]]&gt;18,"Adult","Teenage")</f>
        <v>Teenage</v>
      </c>
      <c r="D626">
        <v>3.6</v>
      </c>
      <c r="E626" t="s">
        <v>14</v>
      </c>
      <c r="F626">
        <v>6.6</v>
      </c>
      <c r="G626">
        <f>Table1[[#This Row],[sleep_hours]]-Table1[[#This Row],[daily_social_media_hours]]</f>
        <v>2.9999999999999996</v>
      </c>
      <c r="H626">
        <v>0.7</v>
      </c>
      <c r="I626">
        <v>2.25</v>
      </c>
      <c r="J626" t="str" cm="1">
        <f t="array" ref="J626">_xlfn.IFS(Table1[[#This Row],[academic_performance]]&gt;1,"Need Improvement",Table1[[#This Row],[academic_performance]]&gt;2,"Good",Table1[[#This Row],[academic_performance]]&gt;3,"Very good",Table1[[#This Row],[academic_performance]]&gt;4,"Excellent")</f>
        <v>Need Improvement</v>
      </c>
      <c r="K626">
        <v>1.9</v>
      </c>
      <c r="L626" t="str">
        <f>IF(Table1[[#This Row],[physical_activity]]&gt;1.9,"better overall ","lower rate of depression")</f>
        <v>lower rate of depression</v>
      </c>
      <c r="M626" t="s">
        <v>15</v>
      </c>
      <c r="N626">
        <v>4</v>
      </c>
      <c r="O626">
        <v>1</v>
      </c>
      <c r="P626">
        <v>8</v>
      </c>
      <c r="Q626">
        <v>0</v>
      </c>
    </row>
    <row r="627" spans="1:17" x14ac:dyDescent="0.3">
      <c r="A627">
        <v>13</v>
      </c>
      <c r="B627" t="s">
        <v>13</v>
      </c>
      <c r="C627" t="str">
        <f>IF(Table1[[#This Row],[age]]&gt;18,"Adult","Teenage")</f>
        <v>Teenage</v>
      </c>
      <c r="D627">
        <v>4</v>
      </c>
      <c r="E627" t="s">
        <v>20</v>
      </c>
      <c r="F627">
        <v>8.3000000000000007</v>
      </c>
      <c r="G627">
        <f>Table1[[#This Row],[sleep_hours]]-Table1[[#This Row],[daily_social_media_hours]]</f>
        <v>4.3000000000000007</v>
      </c>
      <c r="H627">
        <v>0.6</v>
      </c>
      <c r="I627">
        <v>3.71</v>
      </c>
      <c r="J627" t="str" cm="1">
        <f t="array" ref="J627">_xlfn.IFS(Table1[[#This Row],[academic_performance]]&gt;1,"Need Improvement",Table1[[#This Row],[academic_performance]]&gt;2,"Good",Table1[[#This Row],[academic_performance]]&gt;3,"Very good",Table1[[#This Row],[academic_performance]]&gt;4,"Excellent")</f>
        <v>Need Improvement</v>
      </c>
      <c r="K627">
        <v>0.1</v>
      </c>
      <c r="L627" t="str">
        <f>IF(Table1[[#This Row],[physical_activity]]&gt;1.9,"better overall ","lower rate of depression")</f>
        <v>lower rate of depression</v>
      </c>
      <c r="M627" t="s">
        <v>15</v>
      </c>
      <c r="N627">
        <v>2</v>
      </c>
      <c r="O627">
        <v>6</v>
      </c>
      <c r="P627">
        <v>1</v>
      </c>
      <c r="Q627">
        <v>0</v>
      </c>
    </row>
    <row r="628" spans="1:17" x14ac:dyDescent="0.3">
      <c r="A628">
        <v>17</v>
      </c>
      <c r="B628" t="s">
        <v>16</v>
      </c>
      <c r="C628" t="str">
        <f>IF(Table1[[#This Row],[age]]&gt;18,"Adult","Teenage")</f>
        <v>Teenage</v>
      </c>
      <c r="D628">
        <v>7.5</v>
      </c>
      <c r="E628" t="s">
        <v>20</v>
      </c>
      <c r="F628">
        <v>4.7</v>
      </c>
      <c r="G628">
        <f>Table1[[#This Row],[sleep_hours]]-Table1[[#This Row],[daily_social_media_hours]]</f>
        <v>-2.8</v>
      </c>
      <c r="H628">
        <v>2.1</v>
      </c>
      <c r="I628">
        <v>2.5499999999999998</v>
      </c>
      <c r="J628" t="str" cm="1">
        <f t="array" ref="J628">_xlfn.IFS(Table1[[#This Row],[academic_performance]]&gt;1,"Need Improvement",Table1[[#This Row],[academic_performance]]&gt;2,"Good",Table1[[#This Row],[academic_performance]]&gt;3,"Very good",Table1[[#This Row],[academic_performance]]&gt;4,"Excellent")</f>
        <v>Need Improvement</v>
      </c>
      <c r="K628">
        <v>0.1</v>
      </c>
      <c r="L628" t="str">
        <f>IF(Table1[[#This Row],[physical_activity]]&gt;1.9,"better overall ","lower rate of depression")</f>
        <v>lower rate of depression</v>
      </c>
      <c r="M628" t="s">
        <v>18</v>
      </c>
      <c r="N628">
        <v>3</v>
      </c>
      <c r="O628">
        <v>9</v>
      </c>
      <c r="P628">
        <v>1</v>
      </c>
      <c r="Q628">
        <v>0</v>
      </c>
    </row>
    <row r="629" spans="1:17" x14ac:dyDescent="0.3">
      <c r="A629">
        <v>16</v>
      </c>
      <c r="B629" t="s">
        <v>16</v>
      </c>
      <c r="C629" t="str">
        <f>IF(Table1[[#This Row],[age]]&gt;18,"Adult","Teenage")</f>
        <v>Teenage</v>
      </c>
      <c r="D629">
        <v>6</v>
      </c>
      <c r="E629" t="s">
        <v>20</v>
      </c>
      <c r="F629">
        <v>8.6999999999999993</v>
      </c>
      <c r="G629">
        <f>Table1[[#This Row],[sleep_hours]]-Table1[[#This Row],[daily_social_media_hours]]</f>
        <v>2.6999999999999993</v>
      </c>
      <c r="H629">
        <v>1.5</v>
      </c>
      <c r="I629">
        <v>3.76</v>
      </c>
      <c r="J629" t="str" cm="1">
        <f t="array" ref="J629">_xlfn.IFS(Table1[[#This Row],[academic_performance]]&gt;1,"Need Improvement",Table1[[#This Row],[academic_performance]]&gt;2,"Good",Table1[[#This Row],[academic_performance]]&gt;3,"Very good",Table1[[#This Row],[academic_performance]]&gt;4,"Excellent")</f>
        <v>Need Improvement</v>
      </c>
      <c r="K629">
        <v>0.1</v>
      </c>
      <c r="L629" t="str">
        <f>IF(Table1[[#This Row],[physical_activity]]&gt;1.9,"better overall ","lower rate of depression")</f>
        <v>lower rate of depression</v>
      </c>
      <c r="M629" t="s">
        <v>19</v>
      </c>
      <c r="N629">
        <v>2</v>
      </c>
      <c r="O629">
        <v>5</v>
      </c>
      <c r="P629">
        <v>4</v>
      </c>
      <c r="Q629">
        <v>0</v>
      </c>
    </row>
    <row r="630" spans="1:17" x14ac:dyDescent="0.3">
      <c r="A630">
        <v>16</v>
      </c>
      <c r="B630" t="s">
        <v>16</v>
      </c>
      <c r="C630" t="str">
        <f>IF(Table1[[#This Row],[age]]&gt;18,"Adult","Teenage")</f>
        <v>Teenage</v>
      </c>
      <c r="D630">
        <v>3.6</v>
      </c>
      <c r="E630" t="s">
        <v>14</v>
      </c>
      <c r="F630">
        <v>6.1</v>
      </c>
      <c r="G630">
        <f>Table1[[#This Row],[sleep_hours]]-Table1[[#This Row],[daily_social_media_hours]]</f>
        <v>2.4999999999999996</v>
      </c>
      <c r="H630">
        <v>2.8</v>
      </c>
      <c r="I630">
        <v>3.8</v>
      </c>
      <c r="J630" t="str" cm="1">
        <f t="array" ref="J630">_xlfn.IFS(Table1[[#This Row],[academic_performance]]&gt;1,"Need Improvement",Table1[[#This Row],[academic_performance]]&gt;2,"Good",Table1[[#This Row],[academic_performance]]&gt;3,"Very good",Table1[[#This Row],[academic_performance]]&gt;4,"Excellent")</f>
        <v>Need Improvement</v>
      </c>
      <c r="K630">
        <v>0.1</v>
      </c>
      <c r="L630" t="str">
        <f>IF(Table1[[#This Row],[physical_activity]]&gt;1.9,"better overall ","lower rate of depression")</f>
        <v>lower rate of depression</v>
      </c>
      <c r="M630" t="s">
        <v>18</v>
      </c>
      <c r="N630">
        <v>2</v>
      </c>
      <c r="O630">
        <v>1</v>
      </c>
      <c r="P630">
        <v>7</v>
      </c>
      <c r="Q630">
        <v>0</v>
      </c>
    </row>
    <row r="631" spans="1:17" x14ac:dyDescent="0.3">
      <c r="A631">
        <v>19</v>
      </c>
      <c r="B631" t="s">
        <v>13</v>
      </c>
      <c r="C631" t="str">
        <f>IF(Table1[[#This Row],[age]]&gt;18,"Adult","Teenage")</f>
        <v>Adult</v>
      </c>
      <c r="D631">
        <v>4.7</v>
      </c>
      <c r="E631" t="s">
        <v>20</v>
      </c>
      <c r="F631">
        <v>8.1999999999999993</v>
      </c>
      <c r="G631">
        <f>Table1[[#This Row],[sleep_hours]]-Table1[[#This Row],[daily_social_media_hours]]</f>
        <v>3.4999999999999991</v>
      </c>
      <c r="H631">
        <v>1.2</v>
      </c>
      <c r="I631">
        <v>2.83</v>
      </c>
      <c r="J631" t="str" cm="1">
        <f t="array" ref="J631">_xlfn.IFS(Table1[[#This Row],[academic_performance]]&gt;1,"Need Improvement",Table1[[#This Row],[academic_performance]]&gt;2,"Good",Table1[[#This Row],[academic_performance]]&gt;3,"Very good",Table1[[#This Row],[academic_performance]]&gt;4,"Excellent")</f>
        <v>Need Improvement</v>
      </c>
      <c r="K631">
        <v>1.2</v>
      </c>
      <c r="L631" t="str">
        <f>IF(Table1[[#This Row],[physical_activity]]&gt;1.9,"better overall ","lower rate of depression")</f>
        <v>lower rate of depression</v>
      </c>
      <c r="M631" t="s">
        <v>18</v>
      </c>
      <c r="N631">
        <v>5</v>
      </c>
      <c r="O631">
        <v>9</v>
      </c>
      <c r="P631">
        <v>9</v>
      </c>
      <c r="Q631">
        <v>0</v>
      </c>
    </row>
    <row r="632" spans="1:17" x14ac:dyDescent="0.3">
      <c r="A632">
        <v>13</v>
      </c>
      <c r="B632" t="s">
        <v>13</v>
      </c>
      <c r="C632" t="str">
        <f>IF(Table1[[#This Row],[age]]&gt;18,"Adult","Teenage")</f>
        <v>Teenage</v>
      </c>
      <c r="D632">
        <v>2</v>
      </c>
      <c r="E632" t="s">
        <v>14</v>
      </c>
      <c r="F632">
        <v>6.6</v>
      </c>
      <c r="G632">
        <f>Table1[[#This Row],[sleep_hours]]-Table1[[#This Row],[daily_social_media_hours]]</f>
        <v>4.5999999999999996</v>
      </c>
      <c r="H632">
        <v>0.9</v>
      </c>
      <c r="I632">
        <v>3.34</v>
      </c>
      <c r="J632" t="str" cm="1">
        <f t="array" ref="J632">_xlfn.IFS(Table1[[#This Row],[academic_performance]]&gt;1,"Need Improvement",Table1[[#This Row],[academic_performance]]&gt;2,"Good",Table1[[#This Row],[academic_performance]]&gt;3,"Very good",Table1[[#This Row],[academic_performance]]&gt;4,"Excellent")</f>
        <v>Need Improvement</v>
      </c>
      <c r="K632">
        <v>1.5</v>
      </c>
      <c r="L632" t="str">
        <f>IF(Table1[[#This Row],[physical_activity]]&gt;1.9,"better overall ","lower rate of depression")</f>
        <v>lower rate of depression</v>
      </c>
      <c r="M632" t="s">
        <v>18</v>
      </c>
      <c r="N632">
        <v>5</v>
      </c>
      <c r="O632">
        <v>9</v>
      </c>
      <c r="P632">
        <v>4</v>
      </c>
      <c r="Q632">
        <v>0</v>
      </c>
    </row>
    <row r="633" spans="1:17" x14ac:dyDescent="0.3">
      <c r="A633">
        <v>13</v>
      </c>
      <c r="B633" t="s">
        <v>13</v>
      </c>
      <c r="C633" t="str">
        <f>IF(Table1[[#This Row],[age]]&gt;18,"Adult","Teenage")</f>
        <v>Teenage</v>
      </c>
      <c r="D633">
        <v>7.8</v>
      </c>
      <c r="E633" t="s">
        <v>17</v>
      </c>
      <c r="F633">
        <v>7.2</v>
      </c>
      <c r="G633">
        <f>Table1[[#This Row],[sleep_hours]]-Table1[[#This Row],[daily_social_media_hours]]</f>
        <v>-0.59999999999999964</v>
      </c>
      <c r="H633">
        <v>1.3</v>
      </c>
      <c r="I633">
        <v>3.31</v>
      </c>
      <c r="J633" t="str" cm="1">
        <f t="array" ref="J633">_xlfn.IFS(Table1[[#This Row],[academic_performance]]&gt;1,"Need Improvement",Table1[[#This Row],[academic_performance]]&gt;2,"Good",Table1[[#This Row],[academic_performance]]&gt;3,"Very good",Table1[[#This Row],[academic_performance]]&gt;4,"Excellent")</f>
        <v>Need Improvement</v>
      </c>
      <c r="K633">
        <v>0.8</v>
      </c>
      <c r="L633" t="str">
        <f>IF(Table1[[#This Row],[physical_activity]]&gt;1.9,"better overall ","lower rate of depression")</f>
        <v>lower rate of depression</v>
      </c>
      <c r="M633" t="s">
        <v>18</v>
      </c>
      <c r="N633">
        <v>9</v>
      </c>
      <c r="O633">
        <v>2</v>
      </c>
      <c r="P633">
        <v>4</v>
      </c>
      <c r="Q633">
        <v>0</v>
      </c>
    </row>
    <row r="634" spans="1:17" x14ac:dyDescent="0.3">
      <c r="A634">
        <v>19</v>
      </c>
      <c r="B634" t="s">
        <v>13</v>
      </c>
      <c r="C634" t="str">
        <f>IF(Table1[[#This Row],[age]]&gt;18,"Adult","Teenage")</f>
        <v>Adult</v>
      </c>
      <c r="D634">
        <v>5.9</v>
      </c>
      <c r="E634" t="s">
        <v>17</v>
      </c>
      <c r="F634">
        <v>7.4</v>
      </c>
      <c r="G634">
        <f>Table1[[#This Row],[sleep_hours]]-Table1[[#This Row],[daily_social_media_hours]]</f>
        <v>1.5</v>
      </c>
      <c r="H634">
        <v>0.7</v>
      </c>
      <c r="I634">
        <v>3.27</v>
      </c>
      <c r="J634" t="str" cm="1">
        <f t="array" ref="J634">_xlfn.IFS(Table1[[#This Row],[academic_performance]]&gt;1,"Need Improvement",Table1[[#This Row],[academic_performance]]&gt;2,"Good",Table1[[#This Row],[academic_performance]]&gt;3,"Very good",Table1[[#This Row],[academic_performance]]&gt;4,"Excellent")</f>
        <v>Need Improvement</v>
      </c>
      <c r="K634">
        <v>1.7</v>
      </c>
      <c r="L634" t="str">
        <f>IF(Table1[[#This Row],[physical_activity]]&gt;1.9,"better overall ","lower rate of depression")</f>
        <v>lower rate of depression</v>
      </c>
      <c r="M634" t="s">
        <v>18</v>
      </c>
      <c r="N634">
        <v>1</v>
      </c>
      <c r="O634">
        <v>9</v>
      </c>
      <c r="P634">
        <v>9</v>
      </c>
      <c r="Q634">
        <v>0</v>
      </c>
    </row>
    <row r="635" spans="1:17" x14ac:dyDescent="0.3">
      <c r="A635">
        <v>19</v>
      </c>
      <c r="B635" t="s">
        <v>13</v>
      </c>
      <c r="C635" t="str">
        <f>IF(Table1[[#This Row],[age]]&gt;18,"Adult","Teenage")</f>
        <v>Adult</v>
      </c>
      <c r="D635">
        <v>7.7</v>
      </c>
      <c r="E635" t="s">
        <v>17</v>
      </c>
      <c r="F635">
        <v>8.4</v>
      </c>
      <c r="G635">
        <f>Table1[[#This Row],[sleep_hours]]-Table1[[#This Row],[daily_social_media_hours]]</f>
        <v>0.70000000000000018</v>
      </c>
      <c r="H635">
        <v>2.8</v>
      </c>
      <c r="I635">
        <v>3.43</v>
      </c>
      <c r="J635" t="str" cm="1">
        <f t="array" ref="J635">_xlfn.IFS(Table1[[#This Row],[academic_performance]]&gt;1,"Need Improvement",Table1[[#This Row],[academic_performance]]&gt;2,"Good",Table1[[#This Row],[academic_performance]]&gt;3,"Very good",Table1[[#This Row],[academic_performance]]&gt;4,"Excellent")</f>
        <v>Need Improvement</v>
      </c>
      <c r="K635">
        <v>0.2</v>
      </c>
      <c r="L635" t="str">
        <f>IF(Table1[[#This Row],[physical_activity]]&gt;1.9,"better overall ","lower rate of depression")</f>
        <v>lower rate of depression</v>
      </c>
      <c r="M635" t="s">
        <v>19</v>
      </c>
      <c r="N635">
        <v>7</v>
      </c>
      <c r="O635">
        <v>6</v>
      </c>
      <c r="P635">
        <v>6</v>
      </c>
      <c r="Q635">
        <v>0</v>
      </c>
    </row>
    <row r="636" spans="1:17" x14ac:dyDescent="0.3">
      <c r="A636">
        <v>13</v>
      </c>
      <c r="B636" t="s">
        <v>13</v>
      </c>
      <c r="C636" t="str">
        <f>IF(Table1[[#This Row],[age]]&gt;18,"Adult","Teenage")</f>
        <v>Teenage</v>
      </c>
      <c r="D636">
        <v>2.2000000000000002</v>
      </c>
      <c r="E636" t="s">
        <v>17</v>
      </c>
      <c r="F636">
        <v>5.4</v>
      </c>
      <c r="G636">
        <f>Table1[[#This Row],[sleep_hours]]-Table1[[#This Row],[daily_social_media_hours]]</f>
        <v>3.2</v>
      </c>
      <c r="H636">
        <v>1.2</v>
      </c>
      <c r="I636">
        <v>2.33</v>
      </c>
      <c r="J636" t="str" cm="1">
        <f t="array" ref="J636">_xlfn.IFS(Table1[[#This Row],[academic_performance]]&gt;1,"Need Improvement",Table1[[#This Row],[academic_performance]]&gt;2,"Good",Table1[[#This Row],[academic_performance]]&gt;3,"Very good",Table1[[#This Row],[academic_performance]]&gt;4,"Excellent")</f>
        <v>Need Improvement</v>
      </c>
      <c r="K636">
        <v>0.8</v>
      </c>
      <c r="L636" t="str">
        <f>IF(Table1[[#This Row],[physical_activity]]&gt;1.9,"better overall ","lower rate of depression")</f>
        <v>lower rate of depression</v>
      </c>
      <c r="M636" t="s">
        <v>19</v>
      </c>
      <c r="N636">
        <v>10</v>
      </c>
      <c r="O636">
        <v>3</v>
      </c>
      <c r="P636">
        <v>4</v>
      </c>
      <c r="Q636">
        <v>0</v>
      </c>
    </row>
    <row r="637" spans="1:17" x14ac:dyDescent="0.3">
      <c r="A637">
        <v>18</v>
      </c>
      <c r="B637" t="s">
        <v>16</v>
      </c>
      <c r="C637" t="str">
        <f>IF(Table1[[#This Row],[age]]&gt;18,"Adult","Teenage")</f>
        <v>Teenage</v>
      </c>
      <c r="D637">
        <v>7.7</v>
      </c>
      <c r="E637" t="s">
        <v>17</v>
      </c>
      <c r="F637">
        <v>7.6</v>
      </c>
      <c r="G637">
        <f>Table1[[#This Row],[sleep_hours]]-Table1[[#This Row],[daily_social_media_hours]]</f>
        <v>-0.10000000000000053</v>
      </c>
      <c r="H637">
        <v>2.9</v>
      </c>
      <c r="I637">
        <v>3.81</v>
      </c>
      <c r="J637" t="str" cm="1">
        <f t="array" ref="J637">_xlfn.IFS(Table1[[#This Row],[academic_performance]]&gt;1,"Need Improvement",Table1[[#This Row],[academic_performance]]&gt;2,"Good",Table1[[#This Row],[academic_performance]]&gt;3,"Very good",Table1[[#This Row],[academic_performance]]&gt;4,"Excellent")</f>
        <v>Need Improvement</v>
      </c>
      <c r="K637">
        <v>0.5</v>
      </c>
      <c r="L637" t="str">
        <f>IF(Table1[[#This Row],[physical_activity]]&gt;1.9,"better overall ","lower rate of depression")</f>
        <v>lower rate of depression</v>
      </c>
      <c r="M637" t="s">
        <v>18</v>
      </c>
      <c r="N637">
        <v>10</v>
      </c>
      <c r="O637">
        <v>3</v>
      </c>
      <c r="P637">
        <v>6</v>
      </c>
      <c r="Q637">
        <v>0</v>
      </c>
    </row>
    <row r="638" spans="1:17" x14ac:dyDescent="0.3">
      <c r="A638">
        <v>18</v>
      </c>
      <c r="B638" t="s">
        <v>13</v>
      </c>
      <c r="C638" t="str">
        <f>IF(Table1[[#This Row],[age]]&gt;18,"Adult","Teenage")</f>
        <v>Teenage</v>
      </c>
      <c r="D638">
        <v>3.2</v>
      </c>
      <c r="E638" t="s">
        <v>14</v>
      </c>
      <c r="F638">
        <v>6</v>
      </c>
      <c r="G638">
        <f>Table1[[#This Row],[sleep_hours]]-Table1[[#This Row],[daily_social_media_hours]]</f>
        <v>2.8</v>
      </c>
      <c r="H638">
        <v>1.5</v>
      </c>
      <c r="I638">
        <v>3.36</v>
      </c>
      <c r="J638" t="str" cm="1">
        <f t="array" ref="J638">_xlfn.IFS(Table1[[#This Row],[academic_performance]]&gt;1,"Need Improvement",Table1[[#This Row],[academic_performance]]&gt;2,"Good",Table1[[#This Row],[academic_performance]]&gt;3,"Very good",Table1[[#This Row],[academic_performance]]&gt;4,"Excellent")</f>
        <v>Need Improvement</v>
      </c>
      <c r="K638">
        <v>1.5</v>
      </c>
      <c r="L638" t="str">
        <f>IF(Table1[[#This Row],[physical_activity]]&gt;1.9,"better overall ","lower rate of depression")</f>
        <v>lower rate of depression</v>
      </c>
      <c r="M638" t="s">
        <v>18</v>
      </c>
      <c r="N638">
        <v>9</v>
      </c>
      <c r="O638">
        <v>7</v>
      </c>
      <c r="P638">
        <v>10</v>
      </c>
      <c r="Q638">
        <v>0</v>
      </c>
    </row>
    <row r="639" spans="1:17" x14ac:dyDescent="0.3">
      <c r="A639">
        <v>16</v>
      </c>
      <c r="B639" t="s">
        <v>13</v>
      </c>
      <c r="C639" t="str">
        <f>IF(Table1[[#This Row],[age]]&gt;18,"Adult","Teenage")</f>
        <v>Teenage</v>
      </c>
      <c r="D639">
        <v>2</v>
      </c>
      <c r="E639" t="s">
        <v>17</v>
      </c>
      <c r="F639">
        <v>7.8</v>
      </c>
      <c r="G639">
        <f>Table1[[#This Row],[sleep_hours]]-Table1[[#This Row],[daily_social_media_hours]]</f>
        <v>5.8</v>
      </c>
      <c r="H639">
        <v>0.5</v>
      </c>
      <c r="I639">
        <v>2.81</v>
      </c>
      <c r="J639" t="str" cm="1">
        <f t="array" ref="J639">_xlfn.IFS(Table1[[#This Row],[academic_performance]]&gt;1,"Need Improvement",Table1[[#This Row],[academic_performance]]&gt;2,"Good",Table1[[#This Row],[academic_performance]]&gt;3,"Very good",Table1[[#This Row],[academic_performance]]&gt;4,"Excellent")</f>
        <v>Need Improvement</v>
      </c>
      <c r="K639">
        <v>1.4</v>
      </c>
      <c r="L639" t="str">
        <f>IF(Table1[[#This Row],[physical_activity]]&gt;1.9,"better overall ","lower rate of depression")</f>
        <v>lower rate of depression</v>
      </c>
      <c r="M639" t="s">
        <v>18</v>
      </c>
      <c r="N639">
        <v>10</v>
      </c>
      <c r="O639">
        <v>2</v>
      </c>
      <c r="P639">
        <v>4</v>
      </c>
      <c r="Q639">
        <v>0</v>
      </c>
    </row>
    <row r="640" spans="1:17" x14ac:dyDescent="0.3">
      <c r="A640">
        <v>15</v>
      </c>
      <c r="B640" t="s">
        <v>16</v>
      </c>
      <c r="C640" t="str">
        <f>IF(Table1[[#This Row],[age]]&gt;18,"Adult","Teenage")</f>
        <v>Teenage</v>
      </c>
      <c r="D640">
        <v>6.2</v>
      </c>
      <c r="E640" t="s">
        <v>20</v>
      </c>
      <c r="F640">
        <v>5.2</v>
      </c>
      <c r="G640">
        <f>Table1[[#This Row],[sleep_hours]]-Table1[[#This Row],[daily_social_media_hours]]</f>
        <v>-1</v>
      </c>
      <c r="H640">
        <v>1</v>
      </c>
      <c r="I640">
        <v>3.94</v>
      </c>
      <c r="J640" t="str" cm="1">
        <f t="array" ref="J640">_xlfn.IFS(Table1[[#This Row],[academic_performance]]&gt;1,"Need Improvement",Table1[[#This Row],[academic_performance]]&gt;2,"Good",Table1[[#This Row],[academic_performance]]&gt;3,"Very good",Table1[[#This Row],[academic_performance]]&gt;4,"Excellent")</f>
        <v>Need Improvement</v>
      </c>
      <c r="K640">
        <v>1.4</v>
      </c>
      <c r="L640" t="str">
        <f>IF(Table1[[#This Row],[physical_activity]]&gt;1.9,"better overall ","lower rate of depression")</f>
        <v>lower rate of depression</v>
      </c>
      <c r="M640" t="s">
        <v>15</v>
      </c>
      <c r="N640">
        <v>5</v>
      </c>
      <c r="O640">
        <v>2</v>
      </c>
      <c r="P640">
        <v>7</v>
      </c>
      <c r="Q640">
        <v>0</v>
      </c>
    </row>
    <row r="641" spans="1:17" x14ac:dyDescent="0.3">
      <c r="A641">
        <v>19</v>
      </c>
      <c r="B641" t="s">
        <v>16</v>
      </c>
      <c r="C641" t="str">
        <f>IF(Table1[[#This Row],[age]]&gt;18,"Adult","Teenage")</f>
        <v>Adult</v>
      </c>
      <c r="D641">
        <v>2.4</v>
      </c>
      <c r="E641" t="s">
        <v>14</v>
      </c>
      <c r="F641">
        <v>8.6999999999999993</v>
      </c>
      <c r="G641">
        <f>Table1[[#This Row],[sleep_hours]]-Table1[[#This Row],[daily_social_media_hours]]</f>
        <v>6.2999999999999989</v>
      </c>
      <c r="H641">
        <v>1.6</v>
      </c>
      <c r="I641">
        <v>2.4</v>
      </c>
      <c r="J641" t="str" cm="1">
        <f t="array" ref="J641">_xlfn.IFS(Table1[[#This Row],[academic_performance]]&gt;1,"Need Improvement",Table1[[#This Row],[academic_performance]]&gt;2,"Good",Table1[[#This Row],[academic_performance]]&gt;3,"Very good",Table1[[#This Row],[academic_performance]]&gt;4,"Excellent")</f>
        <v>Need Improvement</v>
      </c>
      <c r="K641">
        <v>0.1</v>
      </c>
      <c r="L641" t="str">
        <f>IF(Table1[[#This Row],[physical_activity]]&gt;1.9,"better overall ","lower rate of depression")</f>
        <v>lower rate of depression</v>
      </c>
      <c r="M641" t="s">
        <v>19</v>
      </c>
      <c r="N641">
        <v>2</v>
      </c>
      <c r="O641">
        <v>9</v>
      </c>
      <c r="P641">
        <v>7</v>
      </c>
      <c r="Q641">
        <v>0</v>
      </c>
    </row>
    <row r="642" spans="1:17" x14ac:dyDescent="0.3">
      <c r="A642">
        <v>15</v>
      </c>
      <c r="B642" t="s">
        <v>13</v>
      </c>
      <c r="C642" t="str">
        <f>IF(Table1[[#This Row],[age]]&gt;18,"Adult","Teenage")</f>
        <v>Teenage</v>
      </c>
      <c r="D642">
        <v>3.4</v>
      </c>
      <c r="E642" t="s">
        <v>20</v>
      </c>
      <c r="F642">
        <v>8</v>
      </c>
      <c r="G642">
        <f>Table1[[#This Row],[sleep_hours]]-Table1[[#This Row],[daily_social_media_hours]]</f>
        <v>4.5999999999999996</v>
      </c>
      <c r="H642">
        <v>1</v>
      </c>
      <c r="I642">
        <v>2.31</v>
      </c>
      <c r="J642" t="str" cm="1">
        <f t="array" ref="J642">_xlfn.IFS(Table1[[#This Row],[academic_performance]]&gt;1,"Need Improvement",Table1[[#This Row],[academic_performance]]&gt;2,"Good",Table1[[#This Row],[academic_performance]]&gt;3,"Very good",Table1[[#This Row],[academic_performance]]&gt;4,"Excellent")</f>
        <v>Need Improvement</v>
      </c>
      <c r="K642">
        <v>1</v>
      </c>
      <c r="L642" t="str">
        <f>IF(Table1[[#This Row],[physical_activity]]&gt;1.9,"better overall ","lower rate of depression")</f>
        <v>lower rate of depression</v>
      </c>
      <c r="M642" t="s">
        <v>18</v>
      </c>
      <c r="N642">
        <v>4</v>
      </c>
      <c r="O642">
        <v>7</v>
      </c>
      <c r="P642">
        <v>6</v>
      </c>
      <c r="Q642">
        <v>0</v>
      </c>
    </row>
    <row r="643" spans="1:17" x14ac:dyDescent="0.3">
      <c r="A643">
        <v>19</v>
      </c>
      <c r="B643" t="s">
        <v>13</v>
      </c>
      <c r="C643" t="str">
        <f>IF(Table1[[#This Row],[age]]&gt;18,"Adult","Teenage")</f>
        <v>Adult</v>
      </c>
      <c r="D643">
        <v>6</v>
      </c>
      <c r="E643" t="s">
        <v>14</v>
      </c>
      <c r="F643">
        <v>4.2</v>
      </c>
      <c r="G643">
        <f>Table1[[#This Row],[sleep_hours]]-Table1[[#This Row],[daily_social_media_hours]]</f>
        <v>-1.7999999999999998</v>
      </c>
      <c r="H643">
        <v>0.9</v>
      </c>
      <c r="I643">
        <v>2.41</v>
      </c>
      <c r="J643" t="str" cm="1">
        <f t="array" ref="J643">_xlfn.IFS(Table1[[#This Row],[academic_performance]]&gt;1,"Need Improvement",Table1[[#This Row],[academic_performance]]&gt;2,"Good",Table1[[#This Row],[academic_performance]]&gt;3,"Very good",Table1[[#This Row],[academic_performance]]&gt;4,"Excellent")</f>
        <v>Need Improvement</v>
      </c>
      <c r="K643">
        <v>0.8</v>
      </c>
      <c r="L643" t="str">
        <f>IF(Table1[[#This Row],[physical_activity]]&gt;1.9,"better overall ","lower rate of depression")</f>
        <v>lower rate of depression</v>
      </c>
      <c r="M643" t="s">
        <v>19</v>
      </c>
      <c r="N643">
        <v>7</v>
      </c>
      <c r="O643">
        <v>9</v>
      </c>
      <c r="P643">
        <v>9</v>
      </c>
      <c r="Q643">
        <v>1</v>
      </c>
    </row>
    <row r="644" spans="1:17" x14ac:dyDescent="0.3">
      <c r="A644">
        <v>16</v>
      </c>
      <c r="B644" t="s">
        <v>16</v>
      </c>
      <c r="C644" t="str">
        <f>IF(Table1[[#This Row],[age]]&gt;18,"Adult","Teenage")</f>
        <v>Teenage</v>
      </c>
      <c r="D644">
        <v>5.3</v>
      </c>
      <c r="E644" t="s">
        <v>20</v>
      </c>
      <c r="F644">
        <v>5.6</v>
      </c>
      <c r="G644">
        <f>Table1[[#This Row],[sleep_hours]]-Table1[[#This Row],[daily_social_media_hours]]</f>
        <v>0.29999999999999982</v>
      </c>
      <c r="H644">
        <v>2.5</v>
      </c>
      <c r="I644">
        <v>2.73</v>
      </c>
      <c r="J644" t="str" cm="1">
        <f t="array" ref="J644">_xlfn.IFS(Table1[[#This Row],[academic_performance]]&gt;1,"Need Improvement",Table1[[#This Row],[academic_performance]]&gt;2,"Good",Table1[[#This Row],[academic_performance]]&gt;3,"Very good",Table1[[#This Row],[academic_performance]]&gt;4,"Excellent")</f>
        <v>Need Improvement</v>
      </c>
      <c r="K644">
        <v>1.3</v>
      </c>
      <c r="L644" t="str">
        <f>IF(Table1[[#This Row],[physical_activity]]&gt;1.9,"better overall ","lower rate of depression")</f>
        <v>lower rate of depression</v>
      </c>
      <c r="M644" t="s">
        <v>19</v>
      </c>
      <c r="N644">
        <v>7</v>
      </c>
      <c r="O644">
        <v>10</v>
      </c>
      <c r="P644">
        <v>4</v>
      </c>
      <c r="Q644">
        <v>1</v>
      </c>
    </row>
    <row r="645" spans="1:17" x14ac:dyDescent="0.3">
      <c r="A645">
        <v>17</v>
      </c>
      <c r="B645" t="s">
        <v>16</v>
      </c>
      <c r="C645" t="str">
        <f>IF(Table1[[#This Row],[age]]&gt;18,"Adult","Teenage")</f>
        <v>Teenage</v>
      </c>
      <c r="D645">
        <v>5.5</v>
      </c>
      <c r="E645" t="s">
        <v>14</v>
      </c>
      <c r="F645">
        <v>6.3</v>
      </c>
      <c r="G645">
        <f>Table1[[#This Row],[sleep_hours]]-Table1[[#This Row],[daily_social_media_hours]]</f>
        <v>0.79999999999999982</v>
      </c>
      <c r="H645">
        <v>0.8</v>
      </c>
      <c r="I645">
        <v>2.59</v>
      </c>
      <c r="J645" t="str" cm="1">
        <f t="array" ref="J645">_xlfn.IFS(Table1[[#This Row],[academic_performance]]&gt;1,"Need Improvement",Table1[[#This Row],[academic_performance]]&gt;2,"Good",Table1[[#This Row],[academic_performance]]&gt;3,"Very good",Table1[[#This Row],[academic_performance]]&gt;4,"Excellent")</f>
        <v>Need Improvement</v>
      </c>
      <c r="K645">
        <v>1.6</v>
      </c>
      <c r="L645" t="str">
        <f>IF(Table1[[#This Row],[physical_activity]]&gt;1.9,"better overall ","lower rate of depression")</f>
        <v>lower rate of depression</v>
      </c>
      <c r="M645" t="s">
        <v>18</v>
      </c>
      <c r="N645">
        <v>6</v>
      </c>
      <c r="O645">
        <v>8</v>
      </c>
      <c r="P645">
        <v>7</v>
      </c>
      <c r="Q645">
        <v>0</v>
      </c>
    </row>
    <row r="646" spans="1:17" x14ac:dyDescent="0.3">
      <c r="A646">
        <v>17</v>
      </c>
      <c r="B646" t="s">
        <v>13</v>
      </c>
      <c r="C646" t="str">
        <f>IF(Table1[[#This Row],[age]]&gt;18,"Adult","Teenage")</f>
        <v>Teenage</v>
      </c>
      <c r="D646">
        <v>3.6</v>
      </c>
      <c r="E646" t="s">
        <v>20</v>
      </c>
      <c r="F646">
        <v>6.1</v>
      </c>
      <c r="G646">
        <f>Table1[[#This Row],[sleep_hours]]-Table1[[#This Row],[daily_social_media_hours]]</f>
        <v>2.4999999999999996</v>
      </c>
      <c r="H646">
        <v>2.8</v>
      </c>
      <c r="I646">
        <v>2.39</v>
      </c>
      <c r="J646" t="str" cm="1">
        <f t="array" ref="J646">_xlfn.IFS(Table1[[#This Row],[academic_performance]]&gt;1,"Need Improvement",Table1[[#This Row],[academic_performance]]&gt;2,"Good",Table1[[#This Row],[academic_performance]]&gt;3,"Very good",Table1[[#This Row],[academic_performance]]&gt;4,"Excellent")</f>
        <v>Need Improvement</v>
      </c>
      <c r="K646">
        <v>0.6</v>
      </c>
      <c r="L646" t="str">
        <f>IF(Table1[[#This Row],[physical_activity]]&gt;1.9,"better overall ","lower rate of depression")</f>
        <v>lower rate of depression</v>
      </c>
      <c r="M646" t="s">
        <v>15</v>
      </c>
      <c r="N646">
        <v>6</v>
      </c>
      <c r="O646">
        <v>8</v>
      </c>
      <c r="P646">
        <v>5</v>
      </c>
      <c r="Q646">
        <v>0</v>
      </c>
    </row>
    <row r="647" spans="1:17" x14ac:dyDescent="0.3">
      <c r="A647">
        <v>17</v>
      </c>
      <c r="B647" t="s">
        <v>16</v>
      </c>
      <c r="C647" t="str">
        <f>IF(Table1[[#This Row],[age]]&gt;18,"Adult","Teenage")</f>
        <v>Teenage</v>
      </c>
      <c r="D647">
        <v>3.7</v>
      </c>
      <c r="E647" t="s">
        <v>14</v>
      </c>
      <c r="F647">
        <v>6.3</v>
      </c>
      <c r="G647">
        <f>Table1[[#This Row],[sleep_hours]]-Table1[[#This Row],[daily_social_media_hours]]</f>
        <v>2.5999999999999996</v>
      </c>
      <c r="H647">
        <v>1.3</v>
      </c>
      <c r="I647">
        <v>2.7</v>
      </c>
      <c r="J647" t="str" cm="1">
        <f t="array" ref="J647">_xlfn.IFS(Table1[[#This Row],[academic_performance]]&gt;1,"Need Improvement",Table1[[#This Row],[academic_performance]]&gt;2,"Good",Table1[[#This Row],[academic_performance]]&gt;3,"Very good",Table1[[#This Row],[academic_performance]]&gt;4,"Excellent")</f>
        <v>Need Improvement</v>
      </c>
      <c r="K647">
        <v>1.1000000000000001</v>
      </c>
      <c r="L647" t="str">
        <f>IF(Table1[[#This Row],[physical_activity]]&gt;1.9,"better overall ","lower rate of depression")</f>
        <v>lower rate of depression</v>
      </c>
      <c r="M647" t="s">
        <v>19</v>
      </c>
      <c r="N647">
        <v>2</v>
      </c>
      <c r="O647">
        <v>6</v>
      </c>
      <c r="P647">
        <v>9</v>
      </c>
      <c r="Q647">
        <v>0</v>
      </c>
    </row>
    <row r="648" spans="1:17" x14ac:dyDescent="0.3">
      <c r="A648">
        <v>16</v>
      </c>
      <c r="B648" t="s">
        <v>16</v>
      </c>
      <c r="C648" t="str">
        <f>IF(Table1[[#This Row],[age]]&gt;18,"Adult","Teenage")</f>
        <v>Teenage</v>
      </c>
      <c r="D648">
        <v>7.4</v>
      </c>
      <c r="E648" t="s">
        <v>14</v>
      </c>
      <c r="F648">
        <v>7.4</v>
      </c>
      <c r="G648">
        <f>Table1[[#This Row],[sleep_hours]]-Table1[[#This Row],[daily_social_media_hours]]</f>
        <v>0</v>
      </c>
      <c r="H648">
        <v>0.9</v>
      </c>
      <c r="I648">
        <v>3.7</v>
      </c>
      <c r="J648" t="str" cm="1">
        <f t="array" ref="J648">_xlfn.IFS(Table1[[#This Row],[academic_performance]]&gt;1,"Need Improvement",Table1[[#This Row],[academic_performance]]&gt;2,"Good",Table1[[#This Row],[academic_performance]]&gt;3,"Very good",Table1[[#This Row],[academic_performance]]&gt;4,"Excellent")</f>
        <v>Need Improvement</v>
      </c>
      <c r="K648">
        <v>1.3</v>
      </c>
      <c r="L648" t="str">
        <f>IF(Table1[[#This Row],[physical_activity]]&gt;1.9,"better overall ","lower rate of depression")</f>
        <v>lower rate of depression</v>
      </c>
      <c r="M648" t="s">
        <v>19</v>
      </c>
      <c r="N648">
        <v>10</v>
      </c>
      <c r="O648">
        <v>6</v>
      </c>
      <c r="P648">
        <v>2</v>
      </c>
      <c r="Q648">
        <v>0</v>
      </c>
    </row>
    <row r="649" spans="1:17" x14ac:dyDescent="0.3">
      <c r="A649">
        <v>13</v>
      </c>
      <c r="B649" t="s">
        <v>13</v>
      </c>
      <c r="C649" t="str">
        <f>IF(Table1[[#This Row],[age]]&gt;18,"Adult","Teenage")</f>
        <v>Teenage</v>
      </c>
      <c r="D649">
        <v>5.3</v>
      </c>
      <c r="E649" t="s">
        <v>14</v>
      </c>
      <c r="F649">
        <v>6</v>
      </c>
      <c r="G649">
        <f>Table1[[#This Row],[sleep_hours]]-Table1[[#This Row],[daily_social_media_hours]]</f>
        <v>0.70000000000000018</v>
      </c>
      <c r="H649">
        <v>1</v>
      </c>
      <c r="I649">
        <v>2.92</v>
      </c>
      <c r="J649" t="str" cm="1">
        <f t="array" ref="J649">_xlfn.IFS(Table1[[#This Row],[academic_performance]]&gt;1,"Need Improvement",Table1[[#This Row],[academic_performance]]&gt;2,"Good",Table1[[#This Row],[academic_performance]]&gt;3,"Very good",Table1[[#This Row],[academic_performance]]&gt;4,"Excellent")</f>
        <v>Need Improvement</v>
      </c>
      <c r="K649">
        <v>0.7</v>
      </c>
      <c r="L649" t="str">
        <f>IF(Table1[[#This Row],[physical_activity]]&gt;1.9,"better overall ","lower rate of depression")</f>
        <v>lower rate of depression</v>
      </c>
      <c r="M649" t="s">
        <v>18</v>
      </c>
      <c r="N649">
        <v>3</v>
      </c>
      <c r="O649">
        <v>8</v>
      </c>
      <c r="P649">
        <v>5</v>
      </c>
      <c r="Q649">
        <v>0</v>
      </c>
    </row>
    <row r="650" spans="1:17" x14ac:dyDescent="0.3">
      <c r="A650">
        <v>18</v>
      </c>
      <c r="B650" t="s">
        <v>16</v>
      </c>
      <c r="C650" t="str">
        <f>IF(Table1[[#This Row],[age]]&gt;18,"Adult","Teenage")</f>
        <v>Teenage</v>
      </c>
      <c r="D650">
        <v>4.8</v>
      </c>
      <c r="E650" t="s">
        <v>14</v>
      </c>
      <c r="F650">
        <v>5.5</v>
      </c>
      <c r="G650">
        <f>Table1[[#This Row],[sleep_hours]]-Table1[[#This Row],[daily_social_media_hours]]</f>
        <v>0.70000000000000018</v>
      </c>
      <c r="H650">
        <v>1.8</v>
      </c>
      <c r="I650">
        <v>2.9</v>
      </c>
      <c r="J650" t="str" cm="1">
        <f t="array" ref="J650">_xlfn.IFS(Table1[[#This Row],[academic_performance]]&gt;1,"Need Improvement",Table1[[#This Row],[academic_performance]]&gt;2,"Good",Table1[[#This Row],[academic_performance]]&gt;3,"Very good",Table1[[#This Row],[academic_performance]]&gt;4,"Excellent")</f>
        <v>Need Improvement</v>
      </c>
      <c r="K650">
        <v>0.6</v>
      </c>
      <c r="L650" t="str">
        <f>IF(Table1[[#This Row],[physical_activity]]&gt;1.9,"better overall ","lower rate of depression")</f>
        <v>lower rate of depression</v>
      </c>
      <c r="M650" t="s">
        <v>15</v>
      </c>
      <c r="N650">
        <v>6</v>
      </c>
      <c r="O650">
        <v>2</v>
      </c>
      <c r="P650">
        <v>5</v>
      </c>
      <c r="Q650">
        <v>0</v>
      </c>
    </row>
    <row r="651" spans="1:17" x14ac:dyDescent="0.3">
      <c r="A651">
        <v>13</v>
      </c>
      <c r="B651" t="s">
        <v>13</v>
      </c>
      <c r="C651" t="str">
        <f>IF(Table1[[#This Row],[age]]&gt;18,"Adult","Teenage")</f>
        <v>Teenage</v>
      </c>
      <c r="D651">
        <v>3.4</v>
      </c>
      <c r="E651" t="s">
        <v>17</v>
      </c>
      <c r="F651">
        <v>4.5</v>
      </c>
      <c r="G651">
        <f>Table1[[#This Row],[sleep_hours]]-Table1[[#This Row],[daily_social_media_hours]]</f>
        <v>1.1000000000000001</v>
      </c>
      <c r="H651">
        <v>0.5</v>
      </c>
      <c r="I651">
        <v>3.71</v>
      </c>
      <c r="J651" t="str" cm="1">
        <f t="array" ref="J651">_xlfn.IFS(Table1[[#This Row],[academic_performance]]&gt;1,"Need Improvement",Table1[[#This Row],[academic_performance]]&gt;2,"Good",Table1[[#This Row],[academic_performance]]&gt;3,"Very good",Table1[[#This Row],[academic_performance]]&gt;4,"Excellent")</f>
        <v>Need Improvement</v>
      </c>
      <c r="K651">
        <v>1</v>
      </c>
      <c r="L651" t="str">
        <f>IF(Table1[[#This Row],[physical_activity]]&gt;1.9,"better overall ","lower rate of depression")</f>
        <v>lower rate of depression</v>
      </c>
      <c r="M651" t="s">
        <v>19</v>
      </c>
      <c r="N651">
        <v>1</v>
      </c>
      <c r="O651">
        <v>10</v>
      </c>
      <c r="P651">
        <v>1</v>
      </c>
      <c r="Q651">
        <v>0</v>
      </c>
    </row>
    <row r="652" spans="1:17" x14ac:dyDescent="0.3">
      <c r="A652">
        <v>17</v>
      </c>
      <c r="B652" t="s">
        <v>16</v>
      </c>
      <c r="C652" t="str">
        <f>IF(Table1[[#This Row],[age]]&gt;18,"Adult","Teenage")</f>
        <v>Teenage</v>
      </c>
      <c r="D652">
        <v>7</v>
      </c>
      <c r="E652" t="s">
        <v>17</v>
      </c>
      <c r="F652">
        <v>8.9</v>
      </c>
      <c r="G652">
        <f>Table1[[#This Row],[sleep_hours]]-Table1[[#This Row],[daily_social_media_hours]]</f>
        <v>1.9000000000000004</v>
      </c>
      <c r="H652">
        <v>0.6</v>
      </c>
      <c r="I652">
        <v>3.67</v>
      </c>
      <c r="J652" t="str" cm="1">
        <f t="array" ref="J652">_xlfn.IFS(Table1[[#This Row],[academic_performance]]&gt;1,"Need Improvement",Table1[[#This Row],[academic_performance]]&gt;2,"Good",Table1[[#This Row],[academic_performance]]&gt;3,"Very good",Table1[[#This Row],[academic_performance]]&gt;4,"Excellent")</f>
        <v>Need Improvement</v>
      </c>
      <c r="K652">
        <v>0.2</v>
      </c>
      <c r="L652" t="str">
        <f>IF(Table1[[#This Row],[physical_activity]]&gt;1.9,"better overall ","lower rate of depression")</f>
        <v>lower rate of depression</v>
      </c>
      <c r="M652" t="s">
        <v>19</v>
      </c>
      <c r="N652">
        <v>9</v>
      </c>
      <c r="O652">
        <v>2</v>
      </c>
      <c r="P652">
        <v>4</v>
      </c>
      <c r="Q652">
        <v>0</v>
      </c>
    </row>
    <row r="653" spans="1:17" x14ac:dyDescent="0.3">
      <c r="A653">
        <v>15</v>
      </c>
      <c r="B653" t="s">
        <v>13</v>
      </c>
      <c r="C653" t="str">
        <f>IF(Table1[[#This Row],[age]]&gt;18,"Adult","Teenage")</f>
        <v>Teenage</v>
      </c>
      <c r="D653">
        <v>5.4</v>
      </c>
      <c r="E653" t="s">
        <v>14</v>
      </c>
      <c r="F653">
        <v>7.2</v>
      </c>
      <c r="G653">
        <f>Table1[[#This Row],[sleep_hours]]-Table1[[#This Row],[daily_social_media_hours]]</f>
        <v>1.7999999999999998</v>
      </c>
      <c r="H653">
        <v>1.2</v>
      </c>
      <c r="I653">
        <v>3.32</v>
      </c>
      <c r="J653" t="str" cm="1">
        <f t="array" ref="J653">_xlfn.IFS(Table1[[#This Row],[academic_performance]]&gt;1,"Need Improvement",Table1[[#This Row],[academic_performance]]&gt;2,"Good",Table1[[#This Row],[academic_performance]]&gt;3,"Very good",Table1[[#This Row],[academic_performance]]&gt;4,"Excellent")</f>
        <v>Need Improvement</v>
      </c>
      <c r="K653">
        <v>1.3</v>
      </c>
      <c r="L653" t="str">
        <f>IF(Table1[[#This Row],[physical_activity]]&gt;1.9,"better overall ","lower rate of depression")</f>
        <v>lower rate of depression</v>
      </c>
      <c r="M653" t="s">
        <v>18</v>
      </c>
      <c r="N653">
        <v>7</v>
      </c>
      <c r="O653">
        <v>8</v>
      </c>
      <c r="P653">
        <v>1</v>
      </c>
      <c r="Q653">
        <v>0</v>
      </c>
    </row>
    <row r="654" spans="1:17" x14ac:dyDescent="0.3">
      <c r="A654">
        <v>17</v>
      </c>
      <c r="B654" t="s">
        <v>13</v>
      </c>
      <c r="C654" t="str">
        <f>IF(Table1[[#This Row],[age]]&gt;18,"Adult","Teenage")</f>
        <v>Teenage</v>
      </c>
      <c r="D654">
        <v>5.3</v>
      </c>
      <c r="E654" t="s">
        <v>14</v>
      </c>
      <c r="F654">
        <v>6.4</v>
      </c>
      <c r="G654">
        <f>Table1[[#This Row],[sleep_hours]]-Table1[[#This Row],[daily_social_media_hours]]</f>
        <v>1.1000000000000005</v>
      </c>
      <c r="H654">
        <v>2.9</v>
      </c>
      <c r="I654">
        <v>2.42</v>
      </c>
      <c r="J654" t="str" cm="1">
        <f t="array" ref="J654">_xlfn.IFS(Table1[[#This Row],[academic_performance]]&gt;1,"Need Improvement",Table1[[#This Row],[academic_performance]]&gt;2,"Good",Table1[[#This Row],[academic_performance]]&gt;3,"Very good",Table1[[#This Row],[academic_performance]]&gt;4,"Excellent")</f>
        <v>Need Improvement</v>
      </c>
      <c r="K654">
        <v>1.1000000000000001</v>
      </c>
      <c r="L654" t="str">
        <f>IF(Table1[[#This Row],[physical_activity]]&gt;1.9,"better overall ","lower rate of depression")</f>
        <v>lower rate of depression</v>
      </c>
      <c r="M654" t="s">
        <v>15</v>
      </c>
      <c r="N654">
        <v>3</v>
      </c>
      <c r="O654">
        <v>8</v>
      </c>
      <c r="P654">
        <v>3</v>
      </c>
      <c r="Q654">
        <v>0</v>
      </c>
    </row>
    <row r="655" spans="1:17" x14ac:dyDescent="0.3">
      <c r="A655">
        <v>14</v>
      </c>
      <c r="B655" t="s">
        <v>13</v>
      </c>
      <c r="C655" t="str">
        <f>IF(Table1[[#This Row],[age]]&gt;18,"Adult","Teenage")</f>
        <v>Teenage</v>
      </c>
      <c r="D655">
        <v>1.8</v>
      </c>
      <c r="E655" t="s">
        <v>20</v>
      </c>
      <c r="F655">
        <v>5.0999999999999996</v>
      </c>
      <c r="G655">
        <f>Table1[[#This Row],[sleep_hours]]-Table1[[#This Row],[daily_social_media_hours]]</f>
        <v>3.3</v>
      </c>
      <c r="H655">
        <v>2.7</v>
      </c>
      <c r="I655">
        <v>3.47</v>
      </c>
      <c r="J655" t="str" cm="1">
        <f t="array" ref="J655">_xlfn.IFS(Table1[[#This Row],[academic_performance]]&gt;1,"Need Improvement",Table1[[#This Row],[academic_performance]]&gt;2,"Good",Table1[[#This Row],[academic_performance]]&gt;3,"Very good",Table1[[#This Row],[academic_performance]]&gt;4,"Excellent")</f>
        <v>Need Improvement</v>
      </c>
      <c r="K655">
        <v>0.2</v>
      </c>
      <c r="L655" t="str">
        <f>IF(Table1[[#This Row],[physical_activity]]&gt;1.9,"better overall ","lower rate of depression")</f>
        <v>lower rate of depression</v>
      </c>
      <c r="M655" t="s">
        <v>15</v>
      </c>
      <c r="N655">
        <v>8</v>
      </c>
      <c r="O655">
        <v>4</v>
      </c>
      <c r="P655">
        <v>6</v>
      </c>
      <c r="Q655">
        <v>0</v>
      </c>
    </row>
    <row r="656" spans="1:17" x14ac:dyDescent="0.3">
      <c r="A656">
        <v>15</v>
      </c>
      <c r="B656" t="s">
        <v>13</v>
      </c>
      <c r="C656" t="str">
        <f>IF(Table1[[#This Row],[age]]&gt;18,"Adult","Teenage")</f>
        <v>Teenage</v>
      </c>
      <c r="D656">
        <v>4.5</v>
      </c>
      <c r="E656" t="s">
        <v>17</v>
      </c>
      <c r="F656">
        <v>6.2</v>
      </c>
      <c r="G656">
        <f>Table1[[#This Row],[sleep_hours]]-Table1[[#This Row],[daily_social_media_hours]]</f>
        <v>1.7000000000000002</v>
      </c>
      <c r="H656">
        <v>2.8</v>
      </c>
      <c r="I656">
        <v>2.74</v>
      </c>
      <c r="J656" t="str" cm="1">
        <f t="array" ref="J656">_xlfn.IFS(Table1[[#This Row],[academic_performance]]&gt;1,"Need Improvement",Table1[[#This Row],[academic_performance]]&gt;2,"Good",Table1[[#This Row],[academic_performance]]&gt;3,"Very good",Table1[[#This Row],[academic_performance]]&gt;4,"Excellent")</f>
        <v>Need Improvement</v>
      </c>
      <c r="K656">
        <v>0.1</v>
      </c>
      <c r="L656" t="str">
        <f>IF(Table1[[#This Row],[physical_activity]]&gt;1.9,"better overall ","lower rate of depression")</f>
        <v>lower rate of depression</v>
      </c>
      <c r="M656" t="s">
        <v>18</v>
      </c>
      <c r="N656">
        <v>2</v>
      </c>
      <c r="O656">
        <v>3</v>
      </c>
      <c r="P656">
        <v>5</v>
      </c>
      <c r="Q656">
        <v>0</v>
      </c>
    </row>
    <row r="657" spans="1:17" x14ac:dyDescent="0.3">
      <c r="A657">
        <v>17</v>
      </c>
      <c r="B657" t="s">
        <v>16</v>
      </c>
      <c r="C657" t="str">
        <f>IF(Table1[[#This Row],[age]]&gt;18,"Adult","Teenage")</f>
        <v>Teenage</v>
      </c>
      <c r="D657">
        <v>5.4</v>
      </c>
      <c r="E657" t="s">
        <v>17</v>
      </c>
      <c r="F657">
        <v>7.1</v>
      </c>
      <c r="G657">
        <f>Table1[[#This Row],[sleep_hours]]-Table1[[#This Row],[daily_social_media_hours]]</f>
        <v>1.6999999999999993</v>
      </c>
      <c r="H657">
        <v>2.5</v>
      </c>
      <c r="I657">
        <v>2.68</v>
      </c>
      <c r="J657" t="str" cm="1">
        <f t="array" ref="J657">_xlfn.IFS(Table1[[#This Row],[academic_performance]]&gt;1,"Need Improvement",Table1[[#This Row],[academic_performance]]&gt;2,"Good",Table1[[#This Row],[academic_performance]]&gt;3,"Very good",Table1[[#This Row],[academic_performance]]&gt;4,"Excellent")</f>
        <v>Need Improvement</v>
      </c>
      <c r="K657">
        <v>1.6</v>
      </c>
      <c r="L657" t="str">
        <f>IF(Table1[[#This Row],[physical_activity]]&gt;1.9,"better overall ","lower rate of depression")</f>
        <v>lower rate of depression</v>
      </c>
      <c r="M657" t="s">
        <v>15</v>
      </c>
      <c r="N657">
        <v>3</v>
      </c>
      <c r="O657">
        <v>5</v>
      </c>
      <c r="P657">
        <v>7</v>
      </c>
      <c r="Q657">
        <v>0</v>
      </c>
    </row>
    <row r="658" spans="1:17" x14ac:dyDescent="0.3">
      <c r="A658">
        <v>13</v>
      </c>
      <c r="B658" t="s">
        <v>13</v>
      </c>
      <c r="C658" t="str">
        <f>IF(Table1[[#This Row],[age]]&gt;18,"Adult","Teenage")</f>
        <v>Teenage</v>
      </c>
      <c r="D658">
        <v>3.6</v>
      </c>
      <c r="E658" t="s">
        <v>14</v>
      </c>
      <c r="F658">
        <v>8.6</v>
      </c>
      <c r="G658">
        <f>Table1[[#This Row],[sleep_hours]]-Table1[[#This Row],[daily_social_media_hours]]</f>
        <v>5</v>
      </c>
      <c r="H658">
        <v>0.7</v>
      </c>
      <c r="I658">
        <v>2.42</v>
      </c>
      <c r="J658" t="str" cm="1">
        <f t="array" ref="J658">_xlfn.IFS(Table1[[#This Row],[academic_performance]]&gt;1,"Need Improvement",Table1[[#This Row],[academic_performance]]&gt;2,"Good",Table1[[#This Row],[academic_performance]]&gt;3,"Very good",Table1[[#This Row],[academic_performance]]&gt;4,"Excellent")</f>
        <v>Need Improvement</v>
      </c>
      <c r="K658">
        <v>0.2</v>
      </c>
      <c r="L658" t="str">
        <f>IF(Table1[[#This Row],[physical_activity]]&gt;1.9,"better overall ","lower rate of depression")</f>
        <v>lower rate of depression</v>
      </c>
      <c r="M658" t="s">
        <v>19</v>
      </c>
      <c r="N658">
        <v>2</v>
      </c>
      <c r="O658">
        <v>6</v>
      </c>
      <c r="P658">
        <v>8</v>
      </c>
      <c r="Q658">
        <v>0</v>
      </c>
    </row>
    <row r="659" spans="1:17" x14ac:dyDescent="0.3">
      <c r="A659">
        <v>14</v>
      </c>
      <c r="B659" t="s">
        <v>16</v>
      </c>
      <c r="C659" t="str">
        <f>IF(Table1[[#This Row],[age]]&gt;18,"Adult","Teenage")</f>
        <v>Teenage</v>
      </c>
      <c r="D659">
        <v>5.7</v>
      </c>
      <c r="E659" t="s">
        <v>14</v>
      </c>
      <c r="F659">
        <v>8.9</v>
      </c>
      <c r="G659">
        <f>Table1[[#This Row],[sleep_hours]]-Table1[[#This Row],[daily_social_media_hours]]</f>
        <v>3.2</v>
      </c>
      <c r="H659">
        <v>0.7</v>
      </c>
      <c r="I659">
        <v>2.17</v>
      </c>
      <c r="J659" t="str" cm="1">
        <f t="array" ref="J659">_xlfn.IFS(Table1[[#This Row],[academic_performance]]&gt;1,"Need Improvement",Table1[[#This Row],[academic_performance]]&gt;2,"Good",Table1[[#This Row],[academic_performance]]&gt;3,"Very good",Table1[[#This Row],[academic_performance]]&gt;4,"Excellent")</f>
        <v>Need Improvement</v>
      </c>
      <c r="K659">
        <v>1.3</v>
      </c>
      <c r="L659" t="str">
        <f>IF(Table1[[#This Row],[physical_activity]]&gt;1.9,"better overall ","lower rate of depression")</f>
        <v>lower rate of depression</v>
      </c>
      <c r="M659" t="s">
        <v>18</v>
      </c>
      <c r="N659">
        <v>10</v>
      </c>
      <c r="O659">
        <v>4</v>
      </c>
      <c r="P659">
        <v>3</v>
      </c>
      <c r="Q659">
        <v>0</v>
      </c>
    </row>
    <row r="660" spans="1:17" x14ac:dyDescent="0.3">
      <c r="A660">
        <v>15</v>
      </c>
      <c r="B660" t="s">
        <v>16</v>
      </c>
      <c r="C660" t="str">
        <f>IF(Table1[[#This Row],[age]]&gt;18,"Adult","Teenage")</f>
        <v>Teenage</v>
      </c>
      <c r="D660">
        <v>5.5</v>
      </c>
      <c r="E660" t="s">
        <v>20</v>
      </c>
      <c r="F660">
        <v>7.3</v>
      </c>
      <c r="G660">
        <f>Table1[[#This Row],[sleep_hours]]-Table1[[#This Row],[daily_social_media_hours]]</f>
        <v>1.7999999999999998</v>
      </c>
      <c r="H660">
        <v>2.5</v>
      </c>
      <c r="I660">
        <v>3.67</v>
      </c>
      <c r="J660" t="str" cm="1">
        <f t="array" ref="J660">_xlfn.IFS(Table1[[#This Row],[academic_performance]]&gt;1,"Need Improvement",Table1[[#This Row],[academic_performance]]&gt;2,"Good",Table1[[#This Row],[academic_performance]]&gt;3,"Very good",Table1[[#This Row],[academic_performance]]&gt;4,"Excellent")</f>
        <v>Need Improvement</v>
      </c>
      <c r="K660">
        <v>0.5</v>
      </c>
      <c r="L660" t="str">
        <f>IF(Table1[[#This Row],[physical_activity]]&gt;1.9,"better overall ","lower rate of depression")</f>
        <v>lower rate of depression</v>
      </c>
      <c r="M660" t="s">
        <v>15</v>
      </c>
      <c r="N660">
        <v>4</v>
      </c>
      <c r="O660">
        <v>3</v>
      </c>
      <c r="P660">
        <v>6</v>
      </c>
      <c r="Q660">
        <v>0</v>
      </c>
    </row>
    <row r="661" spans="1:17" x14ac:dyDescent="0.3">
      <c r="A661">
        <v>14</v>
      </c>
      <c r="B661" t="s">
        <v>16</v>
      </c>
      <c r="C661" t="str">
        <f>IF(Table1[[#This Row],[age]]&gt;18,"Adult","Teenage")</f>
        <v>Teenage</v>
      </c>
      <c r="D661">
        <v>5.3</v>
      </c>
      <c r="E661" t="s">
        <v>20</v>
      </c>
      <c r="F661">
        <v>4.7</v>
      </c>
      <c r="G661">
        <f>Table1[[#This Row],[sleep_hours]]-Table1[[#This Row],[daily_social_media_hours]]</f>
        <v>-0.59999999999999964</v>
      </c>
      <c r="H661">
        <v>1.1000000000000001</v>
      </c>
      <c r="I661">
        <v>3.68</v>
      </c>
      <c r="J661" t="str" cm="1">
        <f t="array" ref="J661">_xlfn.IFS(Table1[[#This Row],[academic_performance]]&gt;1,"Need Improvement",Table1[[#This Row],[academic_performance]]&gt;2,"Good",Table1[[#This Row],[academic_performance]]&gt;3,"Very good",Table1[[#This Row],[academic_performance]]&gt;4,"Excellent")</f>
        <v>Need Improvement</v>
      </c>
      <c r="K661">
        <v>1.8</v>
      </c>
      <c r="L661" t="str">
        <f>IF(Table1[[#This Row],[physical_activity]]&gt;1.9,"better overall ","lower rate of depression")</f>
        <v>lower rate of depression</v>
      </c>
      <c r="M661" t="s">
        <v>18</v>
      </c>
      <c r="N661">
        <v>10</v>
      </c>
      <c r="O661">
        <v>8</v>
      </c>
      <c r="P661">
        <v>10</v>
      </c>
      <c r="Q661">
        <v>1</v>
      </c>
    </row>
    <row r="662" spans="1:17" x14ac:dyDescent="0.3">
      <c r="A662">
        <v>15</v>
      </c>
      <c r="B662" t="s">
        <v>13</v>
      </c>
      <c r="C662" t="str">
        <f>IF(Table1[[#This Row],[age]]&gt;18,"Adult","Teenage")</f>
        <v>Teenage</v>
      </c>
      <c r="D662">
        <v>2.7</v>
      </c>
      <c r="E662" t="s">
        <v>14</v>
      </c>
      <c r="F662">
        <v>5.4</v>
      </c>
      <c r="G662">
        <f>Table1[[#This Row],[sleep_hours]]-Table1[[#This Row],[daily_social_media_hours]]</f>
        <v>2.7</v>
      </c>
      <c r="H662">
        <v>1.6</v>
      </c>
      <c r="I662">
        <v>2.34</v>
      </c>
      <c r="J662" t="str" cm="1">
        <f t="array" ref="J662">_xlfn.IFS(Table1[[#This Row],[academic_performance]]&gt;1,"Need Improvement",Table1[[#This Row],[academic_performance]]&gt;2,"Good",Table1[[#This Row],[academic_performance]]&gt;3,"Very good",Table1[[#This Row],[academic_performance]]&gt;4,"Excellent")</f>
        <v>Need Improvement</v>
      </c>
      <c r="K662">
        <v>0.3</v>
      </c>
      <c r="L662" t="str">
        <f>IF(Table1[[#This Row],[physical_activity]]&gt;1.9,"better overall ","lower rate of depression")</f>
        <v>lower rate of depression</v>
      </c>
      <c r="M662" t="s">
        <v>18</v>
      </c>
      <c r="N662">
        <v>2</v>
      </c>
      <c r="O662">
        <v>6</v>
      </c>
      <c r="P662">
        <v>8</v>
      </c>
      <c r="Q662">
        <v>0</v>
      </c>
    </row>
    <row r="663" spans="1:17" x14ac:dyDescent="0.3">
      <c r="A663">
        <v>14</v>
      </c>
      <c r="B663" t="s">
        <v>13</v>
      </c>
      <c r="C663" t="str">
        <f>IF(Table1[[#This Row],[age]]&gt;18,"Adult","Teenage")</f>
        <v>Teenage</v>
      </c>
      <c r="D663">
        <v>6.4</v>
      </c>
      <c r="E663" t="s">
        <v>14</v>
      </c>
      <c r="F663">
        <v>5.6</v>
      </c>
      <c r="G663">
        <f>Table1[[#This Row],[sleep_hours]]-Table1[[#This Row],[daily_social_media_hours]]</f>
        <v>-0.80000000000000071</v>
      </c>
      <c r="H663">
        <v>0.8</v>
      </c>
      <c r="I663">
        <v>4</v>
      </c>
      <c r="J663" t="str" cm="1">
        <f t="array" ref="J663">_xlfn.IFS(Table1[[#This Row],[academic_performance]]&gt;1,"Need Improvement",Table1[[#This Row],[academic_performance]]&gt;2,"Good",Table1[[#This Row],[academic_performance]]&gt;3,"Very good",Table1[[#This Row],[academic_performance]]&gt;4,"Excellent")</f>
        <v>Need Improvement</v>
      </c>
      <c r="K663">
        <v>1.9</v>
      </c>
      <c r="L663" t="str">
        <f>IF(Table1[[#This Row],[physical_activity]]&gt;1.9,"better overall ","lower rate of depression")</f>
        <v>lower rate of depression</v>
      </c>
      <c r="M663" t="s">
        <v>19</v>
      </c>
      <c r="N663">
        <v>5</v>
      </c>
      <c r="O663">
        <v>1</v>
      </c>
      <c r="P663">
        <v>3</v>
      </c>
      <c r="Q663">
        <v>0</v>
      </c>
    </row>
    <row r="664" spans="1:17" x14ac:dyDescent="0.3">
      <c r="A664">
        <v>16</v>
      </c>
      <c r="B664" t="s">
        <v>13</v>
      </c>
      <c r="C664" t="str">
        <f>IF(Table1[[#This Row],[age]]&gt;18,"Adult","Teenage")</f>
        <v>Teenage</v>
      </c>
      <c r="D664">
        <v>5</v>
      </c>
      <c r="E664" t="s">
        <v>17</v>
      </c>
      <c r="F664">
        <v>6.3</v>
      </c>
      <c r="G664">
        <f>Table1[[#This Row],[sleep_hours]]-Table1[[#This Row],[daily_social_media_hours]]</f>
        <v>1.2999999999999998</v>
      </c>
      <c r="H664">
        <v>3</v>
      </c>
      <c r="I664">
        <v>3.72</v>
      </c>
      <c r="J664" t="str" cm="1">
        <f t="array" ref="J664">_xlfn.IFS(Table1[[#This Row],[academic_performance]]&gt;1,"Need Improvement",Table1[[#This Row],[academic_performance]]&gt;2,"Good",Table1[[#This Row],[academic_performance]]&gt;3,"Very good",Table1[[#This Row],[academic_performance]]&gt;4,"Excellent")</f>
        <v>Need Improvement</v>
      </c>
      <c r="K664">
        <v>1.6</v>
      </c>
      <c r="L664" t="str">
        <f>IF(Table1[[#This Row],[physical_activity]]&gt;1.9,"better overall ","lower rate of depression")</f>
        <v>lower rate of depression</v>
      </c>
      <c r="M664" t="s">
        <v>19</v>
      </c>
      <c r="N664">
        <v>5</v>
      </c>
      <c r="O664">
        <v>10</v>
      </c>
      <c r="P664">
        <v>3</v>
      </c>
      <c r="Q664">
        <v>0</v>
      </c>
    </row>
    <row r="665" spans="1:17" x14ac:dyDescent="0.3">
      <c r="A665">
        <v>13</v>
      </c>
      <c r="B665" t="s">
        <v>16</v>
      </c>
      <c r="C665" t="str">
        <f>IF(Table1[[#This Row],[age]]&gt;18,"Adult","Teenage")</f>
        <v>Teenage</v>
      </c>
      <c r="D665">
        <v>2.5</v>
      </c>
      <c r="E665" t="s">
        <v>14</v>
      </c>
      <c r="F665">
        <v>4.5999999999999996</v>
      </c>
      <c r="G665">
        <f>Table1[[#This Row],[sleep_hours]]-Table1[[#This Row],[daily_social_media_hours]]</f>
        <v>2.0999999999999996</v>
      </c>
      <c r="H665">
        <v>1.6</v>
      </c>
      <c r="I665">
        <v>3.22</v>
      </c>
      <c r="J665" t="str" cm="1">
        <f t="array" ref="J665">_xlfn.IFS(Table1[[#This Row],[academic_performance]]&gt;1,"Need Improvement",Table1[[#This Row],[academic_performance]]&gt;2,"Good",Table1[[#This Row],[academic_performance]]&gt;3,"Very good",Table1[[#This Row],[academic_performance]]&gt;4,"Excellent")</f>
        <v>Need Improvement</v>
      </c>
      <c r="K665">
        <v>0.9</v>
      </c>
      <c r="L665" t="str">
        <f>IF(Table1[[#This Row],[physical_activity]]&gt;1.9,"better overall ","lower rate of depression")</f>
        <v>lower rate of depression</v>
      </c>
      <c r="M665" t="s">
        <v>19</v>
      </c>
      <c r="N665">
        <v>6</v>
      </c>
      <c r="O665">
        <v>4</v>
      </c>
      <c r="P665">
        <v>3</v>
      </c>
      <c r="Q665">
        <v>0</v>
      </c>
    </row>
    <row r="666" spans="1:17" x14ac:dyDescent="0.3">
      <c r="A666">
        <v>18</v>
      </c>
      <c r="B666" t="s">
        <v>13</v>
      </c>
      <c r="C666" t="str">
        <f>IF(Table1[[#This Row],[age]]&gt;18,"Adult","Teenage")</f>
        <v>Teenage</v>
      </c>
      <c r="D666">
        <v>2.2000000000000002</v>
      </c>
      <c r="E666" t="s">
        <v>20</v>
      </c>
      <c r="F666">
        <v>4.5</v>
      </c>
      <c r="G666">
        <f>Table1[[#This Row],[sleep_hours]]-Table1[[#This Row],[daily_social_media_hours]]</f>
        <v>2.2999999999999998</v>
      </c>
      <c r="H666">
        <v>2</v>
      </c>
      <c r="I666">
        <v>2.4900000000000002</v>
      </c>
      <c r="J666" t="str" cm="1">
        <f t="array" ref="J666">_xlfn.IFS(Table1[[#This Row],[academic_performance]]&gt;1,"Need Improvement",Table1[[#This Row],[academic_performance]]&gt;2,"Good",Table1[[#This Row],[academic_performance]]&gt;3,"Very good",Table1[[#This Row],[academic_performance]]&gt;4,"Excellent")</f>
        <v>Need Improvement</v>
      </c>
      <c r="K666">
        <v>0.8</v>
      </c>
      <c r="L666" t="str">
        <f>IF(Table1[[#This Row],[physical_activity]]&gt;1.9,"better overall ","lower rate of depression")</f>
        <v>lower rate of depression</v>
      </c>
      <c r="M666" t="s">
        <v>18</v>
      </c>
      <c r="N666">
        <v>1</v>
      </c>
      <c r="O666">
        <v>7</v>
      </c>
      <c r="P666">
        <v>6</v>
      </c>
      <c r="Q666">
        <v>0</v>
      </c>
    </row>
    <row r="667" spans="1:17" x14ac:dyDescent="0.3">
      <c r="A667">
        <v>16</v>
      </c>
      <c r="B667" t="s">
        <v>13</v>
      </c>
      <c r="C667" t="str">
        <f>IF(Table1[[#This Row],[age]]&gt;18,"Adult","Teenage")</f>
        <v>Teenage</v>
      </c>
      <c r="D667">
        <v>4.0999999999999996</v>
      </c>
      <c r="E667" t="s">
        <v>20</v>
      </c>
      <c r="F667">
        <v>5.5</v>
      </c>
      <c r="G667">
        <f>Table1[[#This Row],[sleep_hours]]-Table1[[#This Row],[daily_social_media_hours]]</f>
        <v>1.4000000000000004</v>
      </c>
      <c r="H667">
        <v>1.9</v>
      </c>
      <c r="I667">
        <v>2.65</v>
      </c>
      <c r="J667" t="str" cm="1">
        <f t="array" ref="J667">_xlfn.IFS(Table1[[#This Row],[academic_performance]]&gt;1,"Need Improvement",Table1[[#This Row],[academic_performance]]&gt;2,"Good",Table1[[#This Row],[academic_performance]]&gt;3,"Very good",Table1[[#This Row],[academic_performance]]&gt;4,"Excellent")</f>
        <v>Need Improvement</v>
      </c>
      <c r="K667">
        <v>1.5</v>
      </c>
      <c r="L667" t="str">
        <f>IF(Table1[[#This Row],[physical_activity]]&gt;1.9,"better overall ","lower rate of depression")</f>
        <v>lower rate of depression</v>
      </c>
      <c r="M667" t="s">
        <v>15</v>
      </c>
      <c r="N667">
        <v>5</v>
      </c>
      <c r="O667">
        <v>7</v>
      </c>
      <c r="P667">
        <v>9</v>
      </c>
      <c r="Q667">
        <v>0</v>
      </c>
    </row>
    <row r="668" spans="1:17" x14ac:dyDescent="0.3">
      <c r="A668">
        <v>16</v>
      </c>
      <c r="B668" t="s">
        <v>16</v>
      </c>
      <c r="C668" t="str">
        <f>IF(Table1[[#This Row],[age]]&gt;18,"Adult","Teenage")</f>
        <v>Teenage</v>
      </c>
      <c r="D668">
        <v>2.8</v>
      </c>
      <c r="E668" t="s">
        <v>17</v>
      </c>
      <c r="F668">
        <v>7.4</v>
      </c>
      <c r="G668">
        <f>Table1[[#This Row],[sleep_hours]]-Table1[[#This Row],[daily_social_media_hours]]</f>
        <v>4.6000000000000005</v>
      </c>
      <c r="H668">
        <v>2</v>
      </c>
      <c r="I668">
        <v>3.4</v>
      </c>
      <c r="J668" t="str" cm="1">
        <f t="array" ref="J668">_xlfn.IFS(Table1[[#This Row],[academic_performance]]&gt;1,"Need Improvement",Table1[[#This Row],[academic_performance]]&gt;2,"Good",Table1[[#This Row],[academic_performance]]&gt;3,"Very good",Table1[[#This Row],[academic_performance]]&gt;4,"Excellent")</f>
        <v>Need Improvement</v>
      </c>
      <c r="K668">
        <v>1.6</v>
      </c>
      <c r="L668" t="str">
        <f>IF(Table1[[#This Row],[physical_activity]]&gt;1.9,"better overall ","lower rate of depression")</f>
        <v>lower rate of depression</v>
      </c>
      <c r="M668" t="s">
        <v>15</v>
      </c>
      <c r="N668">
        <v>4</v>
      </c>
      <c r="O668">
        <v>1</v>
      </c>
      <c r="P668">
        <v>1</v>
      </c>
      <c r="Q668">
        <v>0</v>
      </c>
    </row>
    <row r="669" spans="1:17" x14ac:dyDescent="0.3">
      <c r="A669">
        <v>17</v>
      </c>
      <c r="B669" t="s">
        <v>16</v>
      </c>
      <c r="C669" t="str">
        <f>IF(Table1[[#This Row],[age]]&gt;18,"Adult","Teenage")</f>
        <v>Teenage</v>
      </c>
      <c r="D669">
        <v>1.1000000000000001</v>
      </c>
      <c r="E669" t="s">
        <v>17</v>
      </c>
      <c r="F669">
        <v>8.1999999999999993</v>
      </c>
      <c r="G669">
        <f>Table1[[#This Row],[sleep_hours]]-Table1[[#This Row],[daily_social_media_hours]]</f>
        <v>7.1</v>
      </c>
      <c r="H669">
        <v>2.7</v>
      </c>
      <c r="I669">
        <v>2.84</v>
      </c>
      <c r="J669" t="str" cm="1">
        <f t="array" ref="J669">_xlfn.IFS(Table1[[#This Row],[academic_performance]]&gt;1,"Need Improvement",Table1[[#This Row],[academic_performance]]&gt;2,"Good",Table1[[#This Row],[academic_performance]]&gt;3,"Very good",Table1[[#This Row],[academic_performance]]&gt;4,"Excellent")</f>
        <v>Need Improvement</v>
      </c>
      <c r="K669">
        <v>0.2</v>
      </c>
      <c r="L669" t="str">
        <f>IF(Table1[[#This Row],[physical_activity]]&gt;1.9,"better overall ","lower rate of depression")</f>
        <v>lower rate of depression</v>
      </c>
      <c r="M669" t="s">
        <v>18</v>
      </c>
      <c r="N669">
        <v>2</v>
      </c>
      <c r="O669">
        <v>4</v>
      </c>
      <c r="P669">
        <v>1</v>
      </c>
      <c r="Q669">
        <v>0</v>
      </c>
    </row>
    <row r="670" spans="1:17" x14ac:dyDescent="0.3">
      <c r="A670">
        <v>13</v>
      </c>
      <c r="B670" t="s">
        <v>13</v>
      </c>
      <c r="C670" t="str">
        <f>IF(Table1[[#This Row],[age]]&gt;18,"Adult","Teenage")</f>
        <v>Teenage</v>
      </c>
      <c r="D670">
        <v>7</v>
      </c>
      <c r="E670" t="s">
        <v>20</v>
      </c>
      <c r="F670">
        <v>5.7</v>
      </c>
      <c r="G670">
        <f>Table1[[#This Row],[sleep_hours]]-Table1[[#This Row],[daily_social_media_hours]]</f>
        <v>-1.2999999999999998</v>
      </c>
      <c r="H670">
        <v>1.6</v>
      </c>
      <c r="I670">
        <v>3.45</v>
      </c>
      <c r="J670" t="str" cm="1">
        <f t="array" ref="J670">_xlfn.IFS(Table1[[#This Row],[academic_performance]]&gt;1,"Need Improvement",Table1[[#This Row],[academic_performance]]&gt;2,"Good",Table1[[#This Row],[academic_performance]]&gt;3,"Very good",Table1[[#This Row],[academic_performance]]&gt;4,"Excellent")</f>
        <v>Need Improvement</v>
      </c>
      <c r="K670">
        <v>1.2</v>
      </c>
      <c r="L670" t="str">
        <f>IF(Table1[[#This Row],[physical_activity]]&gt;1.9,"better overall ","lower rate of depression")</f>
        <v>lower rate of depression</v>
      </c>
      <c r="M670" t="s">
        <v>19</v>
      </c>
      <c r="N670">
        <v>7</v>
      </c>
      <c r="O670">
        <v>1</v>
      </c>
      <c r="P670">
        <v>10</v>
      </c>
      <c r="Q670">
        <v>0</v>
      </c>
    </row>
    <row r="671" spans="1:17" x14ac:dyDescent="0.3">
      <c r="A671">
        <v>18</v>
      </c>
      <c r="B671" t="s">
        <v>13</v>
      </c>
      <c r="C671" t="str">
        <f>IF(Table1[[#This Row],[age]]&gt;18,"Adult","Teenage")</f>
        <v>Teenage</v>
      </c>
      <c r="D671">
        <v>2.6</v>
      </c>
      <c r="E671" t="s">
        <v>17</v>
      </c>
      <c r="F671">
        <v>7.9</v>
      </c>
      <c r="G671">
        <f>Table1[[#This Row],[sleep_hours]]-Table1[[#This Row],[daily_social_media_hours]]</f>
        <v>5.3000000000000007</v>
      </c>
      <c r="H671">
        <v>2.2999999999999998</v>
      </c>
      <c r="I671">
        <v>2.4300000000000002</v>
      </c>
      <c r="J671" t="str" cm="1">
        <f t="array" ref="J671">_xlfn.IFS(Table1[[#This Row],[academic_performance]]&gt;1,"Need Improvement",Table1[[#This Row],[academic_performance]]&gt;2,"Good",Table1[[#This Row],[academic_performance]]&gt;3,"Very good",Table1[[#This Row],[academic_performance]]&gt;4,"Excellent")</f>
        <v>Need Improvement</v>
      </c>
      <c r="K671">
        <v>0.1</v>
      </c>
      <c r="L671" t="str">
        <f>IF(Table1[[#This Row],[physical_activity]]&gt;1.9,"better overall ","lower rate of depression")</f>
        <v>lower rate of depression</v>
      </c>
      <c r="M671" t="s">
        <v>18</v>
      </c>
      <c r="N671">
        <v>5</v>
      </c>
      <c r="O671">
        <v>1</v>
      </c>
      <c r="P671">
        <v>6</v>
      </c>
      <c r="Q671">
        <v>0</v>
      </c>
    </row>
    <row r="672" spans="1:17" x14ac:dyDescent="0.3">
      <c r="A672">
        <v>13</v>
      </c>
      <c r="B672" t="s">
        <v>16</v>
      </c>
      <c r="C672" t="str">
        <f>IF(Table1[[#This Row],[age]]&gt;18,"Adult","Teenage")</f>
        <v>Teenage</v>
      </c>
      <c r="D672">
        <v>2.6</v>
      </c>
      <c r="E672" t="s">
        <v>17</v>
      </c>
      <c r="F672">
        <v>6.1</v>
      </c>
      <c r="G672">
        <f>Table1[[#This Row],[sleep_hours]]-Table1[[#This Row],[daily_social_media_hours]]</f>
        <v>3.4999999999999996</v>
      </c>
      <c r="H672">
        <v>1.4</v>
      </c>
      <c r="I672">
        <v>2.11</v>
      </c>
      <c r="J672" t="str" cm="1">
        <f t="array" ref="J672">_xlfn.IFS(Table1[[#This Row],[academic_performance]]&gt;1,"Need Improvement",Table1[[#This Row],[academic_performance]]&gt;2,"Good",Table1[[#This Row],[academic_performance]]&gt;3,"Very good",Table1[[#This Row],[academic_performance]]&gt;4,"Excellent")</f>
        <v>Need Improvement</v>
      </c>
      <c r="K672">
        <v>0.4</v>
      </c>
      <c r="L672" t="str">
        <f>IF(Table1[[#This Row],[physical_activity]]&gt;1.9,"better overall ","lower rate of depression")</f>
        <v>lower rate of depression</v>
      </c>
      <c r="M672" t="s">
        <v>18</v>
      </c>
      <c r="N672">
        <v>7</v>
      </c>
      <c r="O672">
        <v>5</v>
      </c>
      <c r="P672">
        <v>10</v>
      </c>
      <c r="Q672">
        <v>0</v>
      </c>
    </row>
    <row r="673" spans="1:17" x14ac:dyDescent="0.3">
      <c r="A673">
        <v>14</v>
      </c>
      <c r="B673" t="s">
        <v>13</v>
      </c>
      <c r="C673" t="str">
        <f>IF(Table1[[#This Row],[age]]&gt;18,"Adult","Teenage")</f>
        <v>Teenage</v>
      </c>
      <c r="D673">
        <v>3.4</v>
      </c>
      <c r="E673" t="s">
        <v>14</v>
      </c>
      <c r="F673">
        <v>4.5999999999999996</v>
      </c>
      <c r="G673">
        <f>Table1[[#This Row],[sleep_hours]]-Table1[[#This Row],[daily_social_media_hours]]</f>
        <v>1.1999999999999997</v>
      </c>
      <c r="H673">
        <v>2</v>
      </c>
      <c r="I673">
        <v>2.27</v>
      </c>
      <c r="J673" t="str" cm="1">
        <f t="array" ref="J673">_xlfn.IFS(Table1[[#This Row],[academic_performance]]&gt;1,"Need Improvement",Table1[[#This Row],[academic_performance]]&gt;2,"Good",Table1[[#This Row],[academic_performance]]&gt;3,"Very good",Table1[[#This Row],[academic_performance]]&gt;4,"Excellent")</f>
        <v>Need Improvement</v>
      </c>
      <c r="K673">
        <v>1.9</v>
      </c>
      <c r="L673" t="str">
        <f>IF(Table1[[#This Row],[physical_activity]]&gt;1.9,"better overall ","lower rate of depression")</f>
        <v>lower rate of depression</v>
      </c>
      <c r="M673" t="s">
        <v>18</v>
      </c>
      <c r="N673">
        <v>7</v>
      </c>
      <c r="O673">
        <v>10</v>
      </c>
      <c r="P673">
        <v>6</v>
      </c>
      <c r="Q673">
        <v>0</v>
      </c>
    </row>
    <row r="674" spans="1:17" x14ac:dyDescent="0.3">
      <c r="A674">
        <v>14</v>
      </c>
      <c r="B674" t="s">
        <v>13</v>
      </c>
      <c r="C674" t="str">
        <f>IF(Table1[[#This Row],[age]]&gt;18,"Adult","Teenage")</f>
        <v>Teenage</v>
      </c>
      <c r="D674">
        <v>7.9</v>
      </c>
      <c r="E674" t="s">
        <v>14</v>
      </c>
      <c r="F674">
        <v>5.7</v>
      </c>
      <c r="G674">
        <f>Table1[[#This Row],[sleep_hours]]-Table1[[#This Row],[daily_social_media_hours]]</f>
        <v>-2.2000000000000002</v>
      </c>
      <c r="H674">
        <v>1.6</v>
      </c>
      <c r="I674">
        <v>3.67</v>
      </c>
      <c r="J674" t="str" cm="1">
        <f t="array" ref="J674">_xlfn.IFS(Table1[[#This Row],[academic_performance]]&gt;1,"Need Improvement",Table1[[#This Row],[academic_performance]]&gt;2,"Good",Table1[[#This Row],[academic_performance]]&gt;3,"Very good",Table1[[#This Row],[academic_performance]]&gt;4,"Excellent")</f>
        <v>Need Improvement</v>
      </c>
      <c r="K674">
        <v>0.6</v>
      </c>
      <c r="L674" t="str">
        <f>IF(Table1[[#This Row],[physical_activity]]&gt;1.9,"better overall ","lower rate of depression")</f>
        <v>lower rate of depression</v>
      </c>
      <c r="M674" t="s">
        <v>19</v>
      </c>
      <c r="N674">
        <v>4</v>
      </c>
      <c r="O674">
        <v>3</v>
      </c>
      <c r="P674">
        <v>4</v>
      </c>
      <c r="Q674">
        <v>0</v>
      </c>
    </row>
    <row r="675" spans="1:17" x14ac:dyDescent="0.3">
      <c r="A675">
        <v>13</v>
      </c>
      <c r="B675" t="s">
        <v>13</v>
      </c>
      <c r="C675" t="str">
        <f>IF(Table1[[#This Row],[age]]&gt;18,"Adult","Teenage")</f>
        <v>Teenage</v>
      </c>
      <c r="D675">
        <v>5.0999999999999996</v>
      </c>
      <c r="E675" t="s">
        <v>17</v>
      </c>
      <c r="F675">
        <v>5.3</v>
      </c>
      <c r="G675">
        <f>Table1[[#This Row],[sleep_hours]]-Table1[[#This Row],[daily_social_media_hours]]</f>
        <v>0.20000000000000018</v>
      </c>
      <c r="H675">
        <v>2.6</v>
      </c>
      <c r="I675">
        <v>2.95</v>
      </c>
      <c r="J675" t="str" cm="1">
        <f t="array" ref="J675">_xlfn.IFS(Table1[[#This Row],[academic_performance]]&gt;1,"Need Improvement",Table1[[#This Row],[academic_performance]]&gt;2,"Good",Table1[[#This Row],[academic_performance]]&gt;3,"Very good",Table1[[#This Row],[academic_performance]]&gt;4,"Excellent")</f>
        <v>Need Improvement</v>
      </c>
      <c r="K675">
        <v>1.2</v>
      </c>
      <c r="L675" t="str">
        <f>IF(Table1[[#This Row],[physical_activity]]&gt;1.9,"better overall ","lower rate of depression")</f>
        <v>lower rate of depression</v>
      </c>
      <c r="M675" t="s">
        <v>19</v>
      </c>
      <c r="N675">
        <v>2</v>
      </c>
      <c r="O675">
        <v>6</v>
      </c>
      <c r="P675">
        <v>10</v>
      </c>
      <c r="Q675">
        <v>0</v>
      </c>
    </row>
    <row r="676" spans="1:17" x14ac:dyDescent="0.3">
      <c r="A676">
        <v>13</v>
      </c>
      <c r="B676" t="s">
        <v>16</v>
      </c>
      <c r="C676" t="str">
        <f>IF(Table1[[#This Row],[age]]&gt;18,"Adult","Teenage")</f>
        <v>Teenage</v>
      </c>
      <c r="D676">
        <v>2.8</v>
      </c>
      <c r="E676" t="s">
        <v>20</v>
      </c>
      <c r="F676">
        <v>6.4</v>
      </c>
      <c r="G676">
        <f>Table1[[#This Row],[sleep_hours]]-Table1[[#This Row],[daily_social_media_hours]]</f>
        <v>3.6000000000000005</v>
      </c>
      <c r="H676">
        <v>1.4</v>
      </c>
      <c r="I676">
        <v>2.38</v>
      </c>
      <c r="J676" t="str" cm="1">
        <f t="array" ref="J676">_xlfn.IFS(Table1[[#This Row],[academic_performance]]&gt;1,"Need Improvement",Table1[[#This Row],[academic_performance]]&gt;2,"Good",Table1[[#This Row],[academic_performance]]&gt;3,"Very good",Table1[[#This Row],[academic_performance]]&gt;4,"Excellent")</f>
        <v>Need Improvement</v>
      </c>
      <c r="K676">
        <v>1.4</v>
      </c>
      <c r="L676" t="str">
        <f>IF(Table1[[#This Row],[physical_activity]]&gt;1.9,"better overall ","lower rate of depression")</f>
        <v>lower rate of depression</v>
      </c>
      <c r="M676" t="s">
        <v>19</v>
      </c>
      <c r="N676">
        <v>4</v>
      </c>
      <c r="O676">
        <v>8</v>
      </c>
      <c r="P676">
        <v>10</v>
      </c>
      <c r="Q676">
        <v>0</v>
      </c>
    </row>
    <row r="677" spans="1:17" x14ac:dyDescent="0.3">
      <c r="A677">
        <v>19</v>
      </c>
      <c r="B677" t="s">
        <v>16</v>
      </c>
      <c r="C677" t="str">
        <f>IF(Table1[[#This Row],[age]]&gt;18,"Adult","Teenage")</f>
        <v>Adult</v>
      </c>
      <c r="D677">
        <v>3.4</v>
      </c>
      <c r="E677" t="s">
        <v>17</v>
      </c>
      <c r="F677">
        <v>4.3</v>
      </c>
      <c r="G677">
        <f>Table1[[#This Row],[sleep_hours]]-Table1[[#This Row],[daily_social_media_hours]]</f>
        <v>0.89999999999999991</v>
      </c>
      <c r="H677">
        <v>0.7</v>
      </c>
      <c r="I677">
        <v>2.17</v>
      </c>
      <c r="J677" t="str" cm="1">
        <f t="array" ref="J677">_xlfn.IFS(Table1[[#This Row],[academic_performance]]&gt;1,"Need Improvement",Table1[[#This Row],[academic_performance]]&gt;2,"Good",Table1[[#This Row],[academic_performance]]&gt;3,"Very good",Table1[[#This Row],[academic_performance]]&gt;4,"Excellent")</f>
        <v>Need Improvement</v>
      </c>
      <c r="K677">
        <v>0.7</v>
      </c>
      <c r="L677" t="str">
        <f>IF(Table1[[#This Row],[physical_activity]]&gt;1.9,"better overall ","lower rate of depression")</f>
        <v>lower rate of depression</v>
      </c>
      <c r="M677" t="s">
        <v>18</v>
      </c>
      <c r="N677">
        <v>3</v>
      </c>
      <c r="O677">
        <v>1</v>
      </c>
      <c r="P677">
        <v>4</v>
      </c>
      <c r="Q677">
        <v>0</v>
      </c>
    </row>
    <row r="678" spans="1:17" x14ac:dyDescent="0.3">
      <c r="A678">
        <v>18</v>
      </c>
      <c r="B678" t="s">
        <v>13</v>
      </c>
      <c r="C678" t="str">
        <f>IF(Table1[[#This Row],[age]]&gt;18,"Adult","Teenage")</f>
        <v>Teenage</v>
      </c>
      <c r="D678">
        <v>6.3</v>
      </c>
      <c r="E678" t="s">
        <v>20</v>
      </c>
      <c r="F678">
        <v>6.9</v>
      </c>
      <c r="G678">
        <f>Table1[[#This Row],[sleep_hours]]-Table1[[#This Row],[daily_social_media_hours]]</f>
        <v>0.60000000000000053</v>
      </c>
      <c r="H678">
        <v>1</v>
      </c>
      <c r="I678">
        <v>3.22</v>
      </c>
      <c r="J678" t="str" cm="1">
        <f t="array" ref="J678">_xlfn.IFS(Table1[[#This Row],[academic_performance]]&gt;1,"Need Improvement",Table1[[#This Row],[academic_performance]]&gt;2,"Good",Table1[[#This Row],[academic_performance]]&gt;3,"Very good",Table1[[#This Row],[academic_performance]]&gt;4,"Excellent")</f>
        <v>Need Improvement</v>
      </c>
      <c r="K678">
        <v>0.8</v>
      </c>
      <c r="L678" t="str">
        <f>IF(Table1[[#This Row],[physical_activity]]&gt;1.9,"better overall ","lower rate of depression")</f>
        <v>lower rate of depression</v>
      </c>
      <c r="M678" t="s">
        <v>19</v>
      </c>
      <c r="N678">
        <v>4</v>
      </c>
      <c r="O678">
        <v>6</v>
      </c>
      <c r="P678">
        <v>1</v>
      </c>
      <c r="Q678">
        <v>0</v>
      </c>
    </row>
    <row r="679" spans="1:17" x14ac:dyDescent="0.3">
      <c r="A679">
        <v>17</v>
      </c>
      <c r="B679" t="s">
        <v>16</v>
      </c>
      <c r="C679" t="str">
        <f>IF(Table1[[#This Row],[age]]&gt;18,"Adult","Teenage")</f>
        <v>Teenage</v>
      </c>
      <c r="D679">
        <v>1.1000000000000001</v>
      </c>
      <c r="E679" t="s">
        <v>17</v>
      </c>
      <c r="F679">
        <v>4.5999999999999996</v>
      </c>
      <c r="G679">
        <f>Table1[[#This Row],[sleep_hours]]-Table1[[#This Row],[daily_social_media_hours]]</f>
        <v>3.4999999999999996</v>
      </c>
      <c r="H679">
        <v>2.5</v>
      </c>
      <c r="I679">
        <v>3.93</v>
      </c>
      <c r="J679" t="str" cm="1">
        <f t="array" ref="J679">_xlfn.IFS(Table1[[#This Row],[academic_performance]]&gt;1,"Need Improvement",Table1[[#This Row],[academic_performance]]&gt;2,"Good",Table1[[#This Row],[academic_performance]]&gt;3,"Very good",Table1[[#This Row],[academic_performance]]&gt;4,"Excellent")</f>
        <v>Need Improvement</v>
      </c>
      <c r="K679">
        <v>0.3</v>
      </c>
      <c r="L679" t="str">
        <f>IF(Table1[[#This Row],[physical_activity]]&gt;1.9,"better overall ","lower rate of depression")</f>
        <v>lower rate of depression</v>
      </c>
      <c r="M679" t="s">
        <v>18</v>
      </c>
      <c r="N679">
        <v>10</v>
      </c>
      <c r="O679">
        <v>6</v>
      </c>
      <c r="P679">
        <v>2</v>
      </c>
      <c r="Q679">
        <v>0</v>
      </c>
    </row>
    <row r="680" spans="1:17" x14ac:dyDescent="0.3">
      <c r="A680">
        <v>19</v>
      </c>
      <c r="B680" t="s">
        <v>13</v>
      </c>
      <c r="C680" t="str">
        <f>IF(Table1[[#This Row],[age]]&gt;18,"Adult","Teenage")</f>
        <v>Adult</v>
      </c>
      <c r="D680">
        <v>3.8</v>
      </c>
      <c r="E680" t="s">
        <v>14</v>
      </c>
      <c r="F680">
        <v>7.1</v>
      </c>
      <c r="G680">
        <f>Table1[[#This Row],[sleep_hours]]-Table1[[#This Row],[daily_social_media_hours]]</f>
        <v>3.3</v>
      </c>
      <c r="H680">
        <v>2.5</v>
      </c>
      <c r="I680">
        <v>3.81</v>
      </c>
      <c r="J680" t="str" cm="1">
        <f t="array" ref="J680">_xlfn.IFS(Table1[[#This Row],[academic_performance]]&gt;1,"Need Improvement",Table1[[#This Row],[academic_performance]]&gt;2,"Good",Table1[[#This Row],[academic_performance]]&gt;3,"Very good",Table1[[#This Row],[academic_performance]]&gt;4,"Excellent")</f>
        <v>Need Improvement</v>
      </c>
      <c r="K680">
        <v>0.9</v>
      </c>
      <c r="L680" t="str">
        <f>IF(Table1[[#This Row],[physical_activity]]&gt;1.9,"better overall ","lower rate of depression")</f>
        <v>lower rate of depression</v>
      </c>
      <c r="M680" t="s">
        <v>15</v>
      </c>
      <c r="N680">
        <v>6</v>
      </c>
      <c r="O680">
        <v>9</v>
      </c>
      <c r="P680">
        <v>4</v>
      </c>
      <c r="Q680">
        <v>0</v>
      </c>
    </row>
    <row r="681" spans="1:17" x14ac:dyDescent="0.3">
      <c r="A681">
        <v>13</v>
      </c>
      <c r="B681" t="s">
        <v>13</v>
      </c>
      <c r="C681" t="str">
        <f>IF(Table1[[#This Row],[age]]&gt;18,"Adult","Teenage")</f>
        <v>Teenage</v>
      </c>
      <c r="D681">
        <v>2.1</v>
      </c>
      <c r="E681" t="s">
        <v>14</v>
      </c>
      <c r="F681">
        <v>4.0999999999999996</v>
      </c>
      <c r="G681">
        <f>Table1[[#This Row],[sleep_hours]]-Table1[[#This Row],[daily_social_media_hours]]</f>
        <v>1.9999999999999996</v>
      </c>
      <c r="H681">
        <v>1.6</v>
      </c>
      <c r="I681">
        <v>2.12</v>
      </c>
      <c r="J681" t="str" cm="1">
        <f t="array" ref="J681">_xlfn.IFS(Table1[[#This Row],[academic_performance]]&gt;1,"Need Improvement",Table1[[#This Row],[academic_performance]]&gt;2,"Good",Table1[[#This Row],[academic_performance]]&gt;3,"Very good",Table1[[#This Row],[academic_performance]]&gt;4,"Excellent")</f>
        <v>Need Improvement</v>
      </c>
      <c r="K681">
        <v>1.8</v>
      </c>
      <c r="L681" t="str">
        <f>IF(Table1[[#This Row],[physical_activity]]&gt;1.9,"better overall ","lower rate of depression")</f>
        <v>lower rate of depression</v>
      </c>
      <c r="M681" t="s">
        <v>18</v>
      </c>
      <c r="N681">
        <v>10</v>
      </c>
      <c r="O681">
        <v>9</v>
      </c>
      <c r="P681">
        <v>6</v>
      </c>
      <c r="Q681">
        <v>0</v>
      </c>
    </row>
    <row r="682" spans="1:17" x14ac:dyDescent="0.3">
      <c r="A682">
        <v>17</v>
      </c>
      <c r="B682" t="s">
        <v>16</v>
      </c>
      <c r="C682" t="str">
        <f>IF(Table1[[#This Row],[age]]&gt;18,"Adult","Teenage")</f>
        <v>Teenage</v>
      </c>
      <c r="D682">
        <v>6.2</v>
      </c>
      <c r="E682" t="s">
        <v>20</v>
      </c>
      <c r="F682">
        <v>6.1</v>
      </c>
      <c r="G682">
        <f>Table1[[#This Row],[sleep_hours]]-Table1[[#This Row],[daily_social_media_hours]]</f>
        <v>-0.10000000000000053</v>
      </c>
      <c r="H682">
        <v>2.4</v>
      </c>
      <c r="I682">
        <v>3.05</v>
      </c>
      <c r="J682" t="str" cm="1">
        <f t="array" ref="J682">_xlfn.IFS(Table1[[#This Row],[academic_performance]]&gt;1,"Need Improvement",Table1[[#This Row],[academic_performance]]&gt;2,"Good",Table1[[#This Row],[academic_performance]]&gt;3,"Very good",Table1[[#This Row],[academic_performance]]&gt;4,"Excellent")</f>
        <v>Need Improvement</v>
      </c>
      <c r="K682">
        <v>1.8</v>
      </c>
      <c r="L682" t="str">
        <f>IF(Table1[[#This Row],[physical_activity]]&gt;1.9,"better overall ","lower rate of depression")</f>
        <v>lower rate of depression</v>
      </c>
      <c r="M682" t="s">
        <v>18</v>
      </c>
      <c r="N682">
        <v>3</v>
      </c>
      <c r="O682">
        <v>6</v>
      </c>
      <c r="P682">
        <v>8</v>
      </c>
      <c r="Q682">
        <v>0</v>
      </c>
    </row>
    <row r="683" spans="1:17" x14ac:dyDescent="0.3">
      <c r="A683">
        <v>19</v>
      </c>
      <c r="B683" t="s">
        <v>13</v>
      </c>
      <c r="C683" t="str">
        <f>IF(Table1[[#This Row],[age]]&gt;18,"Adult","Teenage")</f>
        <v>Adult</v>
      </c>
      <c r="D683">
        <v>6.8</v>
      </c>
      <c r="E683" t="s">
        <v>14</v>
      </c>
      <c r="F683">
        <v>8.4</v>
      </c>
      <c r="G683">
        <f>Table1[[#This Row],[sleep_hours]]-Table1[[#This Row],[daily_social_media_hours]]</f>
        <v>1.6000000000000005</v>
      </c>
      <c r="H683">
        <v>2.1</v>
      </c>
      <c r="I683">
        <v>3.15</v>
      </c>
      <c r="J683" t="str" cm="1">
        <f t="array" ref="J683">_xlfn.IFS(Table1[[#This Row],[academic_performance]]&gt;1,"Need Improvement",Table1[[#This Row],[academic_performance]]&gt;2,"Good",Table1[[#This Row],[academic_performance]]&gt;3,"Very good",Table1[[#This Row],[academic_performance]]&gt;4,"Excellent")</f>
        <v>Need Improvement</v>
      </c>
      <c r="K683">
        <v>2</v>
      </c>
      <c r="L683" t="str">
        <f>IF(Table1[[#This Row],[physical_activity]]&gt;1.9,"better overall ","lower rate of depression")</f>
        <v xml:space="preserve">better overall </v>
      </c>
      <c r="M683" t="s">
        <v>19</v>
      </c>
      <c r="N683">
        <v>4</v>
      </c>
      <c r="O683">
        <v>10</v>
      </c>
      <c r="P683">
        <v>1</v>
      </c>
      <c r="Q683">
        <v>0</v>
      </c>
    </row>
    <row r="684" spans="1:17" x14ac:dyDescent="0.3">
      <c r="A684">
        <v>14</v>
      </c>
      <c r="B684" t="s">
        <v>13</v>
      </c>
      <c r="C684" t="str">
        <f>IF(Table1[[#This Row],[age]]&gt;18,"Adult","Teenage")</f>
        <v>Teenage</v>
      </c>
      <c r="D684">
        <v>5.2</v>
      </c>
      <c r="E684" t="s">
        <v>14</v>
      </c>
      <c r="F684">
        <v>5.5</v>
      </c>
      <c r="G684">
        <f>Table1[[#This Row],[sleep_hours]]-Table1[[#This Row],[daily_social_media_hours]]</f>
        <v>0.29999999999999982</v>
      </c>
      <c r="H684">
        <v>1.6</v>
      </c>
      <c r="I684">
        <v>3.08</v>
      </c>
      <c r="J684" t="str" cm="1">
        <f t="array" ref="J684">_xlfn.IFS(Table1[[#This Row],[academic_performance]]&gt;1,"Need Improvement",Table1[[#This Row],[academic_performance]]&gt;2,"Good",Table1[[#This Row],[academic_performance]]&gt;3,"Very good",Table1[[#This Row],[academic_performance]]&gt;4,"Excellent")</f>
        <v>Need Improvement</v>
      </c>
      <c r="K684">
        <v>0.5</v>
      </c>
      <c r="L684" t="str">
        <f>IF(Table1[[#This Row],[physical_activity]]&gt;1.9,"better overall ","lower rate of depression")</f>
        <v>lower rate of depression</v>
      </c>
      <c r="M684" t="s">
        <v>19</v>
      </c>
      <c r="N684">
        <v>3</v>
      </c>
      <c r="O684">
        <v>8</v>
      </c>
      <c r="P684">
        <v>1</v>
      </c>
      <c r="Q684">
        <v>0</v>
      </c>
    </row>
    <row r="685" spans="1:17" x14ac:dyDescent="0.3">
      <c r="A685">
        <v>15</v>
      </c>
      <c r="B685" t="s">
        <v>13</v>
      </c>
      <c r="C685" t="str">
        <f>IF(Table1[[#This Row],[age]]&gt;18,"Adult","Teenage")</f>
        <v>Teenage</v>
      </c>
      <c r="D685">
        <v>3.7</v>
      </c>
      <c r="E685" t="s">
        <v>20</v>
      </c>
      <c r="F685">
        <v>4</v>
      </c>
      <c r="G685">
        <f>Table1[[#This Row],[sleep_hours]]-Table1[[#This Row],[daily_social_media_hours]]</f>
        <v>0.29999999999999982</v>
      </c>
      <c r="H685">
        <v>0.9</v>
      </c>
      <c r="I685">
        <v>3</v>
      </c>
      <c r="J685" t="str" cm="1">
        <f t="array" ref="J685">_xlfn.IFS(Table1[[#This Row],[academic_performance]]&gt;1,"Need Improvement",Table1[[#This Row],[academic_performance]]&gt;2,"Good",Table1[[#This Row],[academic_performance]]&gt;3,"Very good",Table1[[#This Row],[academic_performance]]&gt;4,"Excellent")</f>
        <v>Need Improvement</v>
      </c>
      <c r="K685">
        <v>1.4</v>
      </c>
      <c r="L685" t="str">
        <f>IF(Table1[[#This Row],[physical_activity]]&gt;1.9,"better overall ","lower rate of depression")</f>
        <v>lower rate of depression</v>
      </c>
      <c r="M685" t="s">
        <v>19</v>
      </c>
      <c r="N685">
        <v>1</v>
      </c>
      <c r="O685">
        <v>8</v>
      </c>
      <c r="P685">
        <v>10</v>
      </c>
      <c r="Q685">
        <v>0</v>
      </c>
    </row>
    <row r="686" spans="1:17" x14ac:dyDescent="0.3">
      <c r="A686">
        <v>19</v>
      </c>
      <c r="B686" t="s">
        <v>13</v>
      </c>
      <c r="C686" t="str">
        <f>IF(Table1[[#This Row],[age]]&gt;18,"Adult","Teenage")</f>
        <v>Adult</v>
      </c>
      <c r="D686">
        <v>2.4</v>
      </c>
      <c r="E686" t="s">
        <v>20</v>
      </c>
      <c r="F686">
        <v>7.5</v>
      </c>
      <c r="G686">
        <f>Table1[[#This Row],[sleep_hours]]-Table1[[#This Row],[daily_social_media_hours]]</f>
        <v>5.0999999999999996</v>
      </c>
      <c r="H686">
        <v>1.8</v>
      </c>
      <c r="I686">
        <v>2.35</v>
      </c>
      <c r="J686" t="str" cm="1">
        <f t="array" ref="J686">_xlfn.IFS(Table1[[#This Row],[academic_performance]]&gt;1,"Need Improvement",Table1[[#This Row],[academic_performance]]&gt;2,"Good",Table1[[#This Row],[academic_performance]]&gt;3,"Very good",Table1[[#This Row],[academic_performance]]&gt;4,"Excellent")</f>
        <v>Need Improvement</v>
      </c>
      <c r="K686">
        <v>1.4</v>
      </c>
      <c r="L686" t="str">
        <f>IF(Table1[[#This Row],[physical_activity]]&gt;1.9,"better overall ","lower rate of depression")</f>
        <v>lower rate of depression</v>
      </c>
      <c r="M686" t="s">
        <v>15</v>
      </c>
      <c r="N686">
        <v>3</v>
      </c>
      <c r="O686">
        <v>8</v>
      </c>
      <c r="P686">
        <v>6</v>
      </c>
      <c r="Q686">
        <v>0</v>
      </c>
    </row>
    <row r="687" spans="1:17" x14ac:dyDescent="0.3">
      <c r="A687">
        <v>13</v>
      </c>
      <c r="B687" t="s">
        <v>13</v>
      </c>
      <c r="C687" t="str">
        <f>IF(Table1[[#This Row],[age]]&gt;18,"Adult","Teenage")</f>
        <v>Teenage</v>
      </c>
      <c r="D687">
        <v>2.1</v>
      </c>
      <c r="E687" t="s">
        <v>17</v>
      </c>
      <c r="F687">
        <v>5.8</v>
      </c>
      <c r="G687">
        <f>Table1[[#This Row],[sleep_hours]]-Table1[[#This Row],[daily_social_media_hours]]</f>
        <v>3.6999999999999997</v>
      </c>
      <c r="H687">
        <v>2.7</v>
      </c>
      <c r="I687">
        <v>3.83</v>
      </c>
      <c r="J687" t="str" cm="1">
        <f t="array" ref="J687">_xlfn.IFS(Table1[[#This Row],[academic_performance]]&gt;1,"Need Improvement",Table1[[#This Row],[academic_performance]]&gt;2,"Good",Table1[[#This Row],[academic_performance]]&gt;3,"Very good",Table1[[#This Row],[academic_performance]]&gt;4,"Excellent")</f>
        <v>Need Improvement</v>
      </c>
      <c r="K687">
        <v>1.9</v>
      </c>
      <c r="L687" t="str">
        <f>IF(Table1[[#This Row],[physical_activity]]&gt;1.9,"better overall ","lower rate of depression")</f>
        <v>lower rate of depression</v>
      </c>
      <c r="M687" t="s">
        <v>15</v>
      </c>
      <c r="N687">
        <v>4</v>
      </c>
      <c r="O687">
        <v>6</v>
      </c>
      <c r="P687">
        <v>6</v>
      </c>
      <c r="Q687">
        <v>0</v>
      </c>
    </row>
    <row r="688" spans="1:17" x14ac:dyDescent="0.3">
      <c r="A688">
        <v>17</v>
      </c>
      <c r="B688" t="s">
        <v>16</v>
      </c>
      <c r="C688" t="str">
        <f>IF(Table1[[#This Row],[age]]&gt;18,"Adult","Teenage")</f>
        <v>Teenage</v>
      </c>
      <c r="D688">
        <v>2.6</v>
      </c>
      <c r="E688" t="s">
        <v>17</v>
      </c>
      <c r="F688">
        <v>4.2</v>
      </c>
      <c r="G688">
        <f>Table1[[#This Row],[sleep_hours]]-Table1[[#This Row],[daily_social_media_hours]]</f>
        <v>1.6</v>
      </c>
      <c r="H688">
        <v>0.7</v>
      </c>
      <c r="I688">
        <v>3.02</v>
      </c>
      <c r="J688" t="str" cm="1">
        <f t="array" ref="J688">_xlfn.IFS(Table1[[#This Row],[academic_performance]]&gt;1,"Need Improvement",Table1[[#This Row],[academic_performance]]&gt;2,"Good",Table1[[#This Row],[academic_performance]]&gt;3,"Very good",Table1[[#This Row],[academic_performance]]&gt;4,"Excellent")</f>
        <v>Need Improvement</v>
      </c>
      <c r="K688">
        <v>1.6</v>
      </c>
      <c r="L688" t="str">
        <f>IF(Table1[[#This Row],[physical_activity]]&gt;1.9,"better overall ","lower rate of depression")</f>
        <v>lower rate of depression</v>
      </c>
      <c r="M688" t="s">
        <v>15</v>
      </c>
      <c r="N688">
        <v>7</v>
      </c>
      <c r="O688">
        <v>4</v>
      </c>
      <c r="P688">
        <v>7</v>
      </c>
      <c r="Q688">
        <v>0</v>
      </c>
    </row>
    <row r="689" spans="1:17" x14ac:dyDescent="0.3">
      <c r="A689">
        <v>19</v>
      </c>
      <c r="B689" t="s">
        <v>13</v>
      </c>
      <c r="C689" t="str">
        <f>IF(Table1[[#This Row],[age]]&gt;18,"Adult","Teenage")</f>
        <v>Adult</v>
      </c>
      <c r="D689">
        <v>6.5</v>
      </c>
      <c r="E689" t="s">
        <v>14</v>
      </c>
      <c r="F689">
        <v>6</v>
      </c>
      <c r="G689">
        <f>Table1[[#This Row],[sleep_hours]]-Table1[[#This Row],[daily_social_media_hours]]</f>
        <v>-0.5</v>
      </c>
      <c r="H689">
        <v>1.5</v>
      </c>
      <c r="I689">
        <v>2.12</v>
      </c>
      <c r="J689" t="str" cm="1">
        <f t="array" ref="J689">_xlfn.IFS(Table1[[#This Row],[academic_performance]]&gt;1,"Need Improvement",Table1[[#This Row],[academic_performance]]&gt;2,"Good",Table1[[#This Row],[academic_performance]]&gt;3,"Very good",Table1[[#This Row],[academic_performance]]&gt;4,"Excellent")</f>
        <v>Need Improvement</v>
      </c>
      <c r="K689">
        <v>1.7</v>
      </c>
      <c r="L689" t="str">
        <f>IF(Table1[[#This Row],[physical_activity]]&gt;1.9,"better overall ","lower rate of depression")</f>
        <v>lower rate of depression</v>
      </c>
      <c r="M689" t="s">
        <v>19</v>
      </c>
      <c r="N689">
        <v>8</v>
      </c>
      <c r="O689">
        <v>5</v>
      </c>
      <c r="P689">
        <v>7</v>
      </c>
      <c r="Q689">
        <v>0</v>
      </c>
    </row>
    <row r="690" spans="1:17" x14ac:dyDescent="0.3">
      <c r="A690">
        <v>16</v>
      </c>
      <c r="B690" t="s">
        <v>16</v>
      </c>
      <c r="C690" t="str">
        <f>IF(Table1[[#This Row],[age]]&gt;18,"Adult","Teenage")</f>
        <v>Teenage</v>
      </c>
      <c r="D690">
        <v>3.4</v>
      </c>
      <c r="E690" t="s">
        <v>14</v>
      </c>
      <c r="F690">
        <v>5.3</v>
      </c>
      <c r="G690">
        <f>Table1[[#This Row],[sleep_hours]]-Table1[[#This Row],[daily_social_media_hours]]</f>
        <v>1.9</v>
      </c>
      <c r="H690">
        <v>1.8</v>
      </c>
      <c r="I690">
        <v>3.33</v>
      </c>
      <c r="J690" t="str" cm="1">
        <f t="array" ref="J690">_xlfn.IFS(Table1[[#This Row],[academic_performance]]&gt;1,"Need Improvement",Table1[[#This Row],[academic_performance]]&gt;2,"Good",Table1[[#This Row],[academic_performance]]&gt;3,"Very good",Table1[[#This Row],[academic_performance]]&gt;4,"Excellent")</f>
        <v>Need Improvement</v>
      </c>
      <c r="K690">
        <v>0.3</v>
      </c>
      <c r="L690" t="str">
        <f>IF(Table1[[#This Row],[physical_activity]]&gt;1.9,"better overall ","lower rate of depression")</f>
        <v>lower rate of depression</v>
      </c>
      <c r="M690" t="s">
        <v>15</v>
      </c>
      <c r="N690">
        <v>9</v>
      </c>
      <c r="O690">
        <v>2</v>
      </c>
      <c r="P690">
        <v>4</v>
      </c>
      <c r="Q690">
        <v>0</v>
      </c>
    </row>
    <row r="691" spans="1:17" x14ac:dyDescent="0.3">
      <c r="A691">
        <v>16</v>
      </c>
      <c r="B691" t="s">
        <v>13</v>
      </c>
      <c r="C691" t="str">
        <f>IF(Table1[[#This Row],[age]]&gt;18,"Adult","Teenage")</f>
        <v>Teenage</v>
      </c>
      <c r="D691">
        <v>1.7</v>
      </c>
      <c r="E691" t="s">
        <v>20</v>
      </c>
      <c r="F691">
        <v>4.3</v>
      </c>
      <c r="G691">
        <f>Table1[[#This Row],[sleep_hours]]-Table1[[#This Row],[daily_social_media_hours]]</f>
        <v>2.5999999999999996</v>
      </c>
      <c r="H691">
        <v>1.4</v>
      </c>
      <c r="I691">
        <v>3.27</v>
      </c>
      <c r="J691" t="str" cm="1">
        <f t="array" ref="J691">_xlfn.IFS(Table1[[#This Row],[academic_performance]]&gt;1,"Need Improvement",Table1[[#This Row],[academic_performance]]&gt;2,"Good",Table1[[#This Row],[academic_performance]]&gt;3,"Very good",Table1[[#This Row],[academic_performance]]&gt;4,"Excellent")</f>
        <v>Need Improvement</v>
      </c>
      <c r="K691">
        <v>1.2</v>
      </c>
      <c r="L691" t="str">
        <f>IF(Table1[[#This Row],[physical_activity]]&gt;1.9,"better overall ","lower rate of depression")</f>
        <v>lower rate of depression</v>
      </c>
      <c r="M691" t="s">
        <v>19</v>
      </c>
      <c r="N691">
        <v>10</v>
      </c>
      <c r="O691">
        <v>4</v>
      </c>
      <c r="P691">
        <v>10</v>
      </c>
      <c r="Q691">
        <v>0</v>
      </c>
    </row>
    <row r="692" spans="1:17" x14ac:dyDescent="0.3">
      <c r="A692">
        <v>13</v>
      </c>
      <c r="B692" t="s">
        <v>13</v>
      </c>
      <c r="C692" t="str">
        <f>IF(Table1[[#This Row],[age]]&gt;18,"Adult","Teenage")</f>
        <v>Teenage</v>
      </c>
      <c r="D692">
        <v>5.6</v>
      </c>
      <c r="E692" t="s">
        <v>20</v>
      </c>
      <c r="F692">
        <v>4.4000000000000004</v>
      </c>
      <c r="G692">
        <f>Table1[[#This Row],[sleep_hours]]-Table1[[#This Row],[daily_social_media_hours]]</f>
        <v>-1.1999999999999993</v>
      </c>
      <c r="H692">
        <v>2.9</v>
      </c>
      <c r="I692">
        <v>3.19</v>
      </c>
      <c r="J692" t="str" cm="1">
        <f t="array" ref="J692">_xlfn.IFS(Table1[[#This Row],[academic_performance]]&gt;1,"Need Improvement",Table1[[#This Row],[academic_performance]]&gt;2,"Good",Table1[[#This Row],[academic_performance]]&gt;3,"Very good",Table1[[#This Row],[academic_performance]]&gt;4,"Excellent")</f>
        <v>Need Improvement</v>
      </c>
      <c r="K692">
        <v>0.9</v>
      </c>
      <c r="L692" t="str">
        <f>IF(Table1[[#This Row],[physical_activity]]&gt;1.9,"better overall ","lower rate of depression")</f>
        <v>lower rate of depression</v>
      </c>
      <c r="M692" t="s">
        <v>19</v>
      </c>
      <c r="N692">
        <v>6</v>
      </c>
      <c r="O692">
        <v>3</v>
      </c>
      <c r="P692">
        <v>4</v>
      </c>
      <c r="Q692">
        <v>0</v>
      </c>
    </row>
    <row r="693" spans="1:17" x14ac:dyDescent="0.3">
      <c r="A693">
        <v>15</v>
      </c>
      <c r="B693" t="s">
        <v>16</v>
      </c>
      <c r="C693" t="str">
        <f>IF(Table1[[#This Row],[age]]&gt;18,"Adult","Teenage")</f>
        <v>Teenage</v>
      </c>
      <c r="D693">
        <v>8</v>
      </c>
      <c r="E693" t="s">
        <v>20</v>
      </c>
      <c r="F693">
        <v>5.7</v>
      </c>
      <c r="G693">
        <f>Table1[[#This Row],[sleep_hours]]-Table1[[#This Row],[daily_social_media_hours]]</f>
        <v>-2.2999999999999998</v>
      </c>
      <c r="H693">
        <v>1.3</v>
      </c>
      <c r="I693">
        <v>3.54</v>
      </c>
      <c r="J693" t="str" cm="1">
        <f t="array" ref="J693">_xlfn.IFS(Table1[[#This Row],[academic_performance]]&gt;1,"Need Improvement",Table1[[#This Row],[academic_performance]]&gt;2,"Good",Table1[[#This Row],[academic_performance]]&gt;3,"Very good",Table1[[#This Row],[academic_performance]]&gt;4,"Excellent")</f>
        <v>Need Improvement</v>
      </c>
      <c r="K693">
        <v>0.1</v>
      </c>
      <c r="L693" t="str">
        <f>IF(Table1[[#This Row],[physical_activity]]&gt;1.9,"better overall ","lower rate of depression")</f>
        <v>lower rate of depression</v>
      </c>
      <c r="M693" t="s">
        <v>18</v>
      </c>
      <c r="N693">
        <v>9</v>
      </c>
      <c r="O693">
        <v>7</v>
      </c>
      <c r="P693">
        <v>5</v>
      </c>
      <c r="Q693">
        <v>1</v>
      </c>
    </row>
    <row r="694" spans="1:17" x14ac:dyDescent="0.3">
      <c r="A694">
        <v>15</v>
      </c>
      <c r="B694" t="s">
        <v>16</v>
      </c>
      <c r="C694" t="str">
        <f>IF(Table1[[#This Row],[age]]&gt;18,"Adult","Teenage")</f>
        <v>Teenage</v>
      </c>
      <c r="D694">
        <v>5.7</v>
      </c>
      <c r="E694" t="s">
        <v>14</v>
      </c>
      <c r="F694">
        <v>8.4</v>
      </c>
      <c r="G694">
        <f>Table1[[#This Row],[sleep_hours]]-Table1[[#This Row],[daily_social_media_hours]]</f>
        <v>2.7</v>
      </c>
      <c r="H694">
        <v>1.3</v>
      </c>
      <c r="I694">
        <v>2.48</v>
      </c>
      <c r="J694" t="str" cm="1">
        <f t="array" ref="J694">_xlfn.IFS(Table1[[#This Row],[academic_performance]]&gt;1,"Need Improvement",Table1[[#This Row],[academic_performance]]&gt;2,"Good",Table1[[#This Row],[academic_performance]]&gt;3,"Very good",Table1[[#This Row],[academic_performance]]&gt;4,"Excellent")</f>
        <v>Need Improvement</v>
      </c>
      <c r="K694">
        <v>0.9</v>
      </c>
      <c r="L694" t="str">
        <f>IF(Table1[[#This Row],[physical_activity]]&gt;1.9,"better overall ","lower rate of depression")</f>
        <v>lower rate of depression</v>
      </c>
      <c r="M694" t="s">
        <v>18</v>
      </c>
      <c r="N694">
        <v>5</v>
      </c>
      <c r="O694">
        <v>2</v>
      </c>
      <c r="P694">
        <v>4</v>
      </c>
      <c r="Q694">
        <v>0</v>
      </c>
    </row>
    <row r="695" spans="1:17" x14ac:dyDescent="0.3">
      <c r="A695">
        <v>16</v>
      </c>
      <c r="B695" t="s">
        <v>16</v>
      </c>
      <c r="C695" t="str">
        <f>IF(Table1[[#This Row],[age]]&gt;18,"Adult","Teenage")</f>
        <v>Teenage</v>
      </c>
      <c r="D695">
        <v>4</v>
      </c>
      <c r="E695" t="s">
        <v>17</v>
      </c>
      <c r="F695">
        <v>5.4</v>
      </c>
      <c r="G695">
        <f>Table1[[#This Row],[sleep_hours]]-Table1[[#This Row],[daily_social_media_hours]]</f>
        <v>1.4000000000000004</v>
      </c>
      <c r="H695">
        <v>2.7</v>
      </c>
      <c r="I695">
        <v>2.88</v>
      </c>
      <c r="J695" t="str" cm="1">
        <f t="array" ref="J695">_xlfn.IFS(Table1[[#This Row],[academic_performance]]&gt;1,"Need Improvement",Table1[[#This Row],[academic_performance]]&gt;2,"Good",Table1[[#This Row],[academic_performance]]&gt;3,"Very good",Table1[[#This Row],[academic_performance]]&gt;4,"Excellent")</f>
        <v>Need Improvement</v>
      </c>
      <c r="K695">
        <v>1.2</v>
      </c>
      <c r="L695" t="str">
        <f>IF(Table1[[#This Row],[physical_activity]]&gt;1.9,"better overall ","lower rate of depression")</f>
        <v>lower rate of depression</v>
      </c>
      <c r="M695" t="s">
        <v>19</v>
      </c>
      <c r="N695">
        <v>4</v>
      </c>
      <c r="O695">
        <v>10</v>
      </c>
      <c r="P695">
        <v>1</v>
      </c>
      <c r="Q695">
        <v>0</v>
      </c>
    </row>
    <row r="696" spans="1:17" x14ac:dyDescent="0.3">
      <c r="A696">
        <v>13</v>
      </c>
      <c r="B696" t="s">
        <v>16</v>
      </c>
      <c r="C696" t="str">
        <f>IF(Table1[[#This Row],[age]]&gt;18,"Adult","Teenage")</f>
        <v>Teenage</v>
      </c>
      <c r="D696">
        <v>3.5</v>
      </c>
      <c r="E696" t="s">
        <v>14</v>
      </c>
      <c r="F696">
        <v>5.3</v>
      </c>
      <c r="G696">
        <f>Table1[[#This Row],[sleep_hours]]-Table1[[#This Row],[daily_social_media_hours]]</f>
        <v>1.7999999999999998</v>
      </c>
      <c r="H696">
        <v>1.7</v>
      </c>
      <c r="I696">
        <v>2.2000000000000002</v>
      </c>
      <c r="J696" t="str" cm="1">
        <f t="array" ref="J696">_xlfn.IFS(Table1[[#This Row],[academic_performance]]&gt;1,"Need Improvement",Table1[[#This Row],[academic_performance]]&gt;2,"Good",Table1[[#This Row],[academic_performance]]&gt;3,"Very good",Table1[[#This Row],[academic_performance]]&gt;4,"Excellent")</f>
        <v>Need Improvement</v>
      </c>
      <c r="K696">
        <v>0.8</v>
      </c>
      <c r="L696" t="str">
        <f>IF(Table1[[#This Row],[physical_activity]]&gt;1.9,"better overall ","lower rate of depression")</f>
        <v>lower rate of depression</v>
      </c>
      <c r="M696" t="s">
        <v>18</v>
      </c>
      <c r="N696">
        <v>6</v>
      </c>
      <c r="O696">
        <v>10</v>
      </c>
      <c r="P696">
        <v>8</v>
      </c>
      <c r="Q696">
        <v>0</v>
      </c>
    </row>
    <row r="697" spans="1:17" x14ac:dyDescent="0.3">
      <c r="A697">
        <v>15</v>
      </c>
      <c r="B697" t="s">
        <v>16</v>
      </c>
      <c r="C697" t="str">
        <f>IF(Table1[[#This Row],[age]]&gt;18,"Adult","Teenage")</f>
        <v>Teenage</v>
      </c>
      <c r="D697">
        <v>4.2</v>
      </c>
      <c r="E697" t="s">
        <v>17</v>
      </c>
      <c r="F697">
        <v>5.5</v>
      </c>
      <c r="G697">
        <f>Table1[[#This Row],[sleep_hours]]-Table1[[#This Row],[daily_social_media_hours]]</f>
        <v>1.2999999999999998</v>
      </c>
      <c r="H697">
        <v>1.3</v>
      </c>
      <c r="I697">
        <v>3.49</v>
      </c>
      <c r="J697" t="str" cm="1">
        <f t="array" ref="J697">_xlfn.IFS(Table1[[#This Row],[academic_performance]]&gt;1,"Need Improvement",Table1[[#This Row],[academic_performance]]&gt;2,"Good",Table1[[#This Row],[academic_performance]]&gt;3,"Very good",Table1[[#This Row],[academic_performance]]&gt;4,"Excellent")</f>
        <v>Need Improvement</v>
      </c>
      <c r="K697">
        <v>0.5</v>
      </c>
      <c r="L697" t="str">
        <f>IF(Table1[[#This Row],[physical_activity]]&gt;1.9,"better overall ","lower rate of depression")</f>
        <v>lower rate of depression</v>
      </c>
      <c r="M697" t="s">
        <v>15</v>
      </c>
      <c r="N697">
        <v>2</v>
      </c>
      <c r="O697">
        <v>5</v>
      </c>
      <c r="P697">
        <v>2</v>
      </c>
      <c r="Q697">
        <v>0</v>
      </c>
    </row>
    <row r="698" spans="1:17" x14ac:dyDescent="0.3">
      <c r="A698">
        <v>19</v>
      </c>
      <c r="B698" t="s">
        <v>16</v>
      </c>
      <c r="C698" t="str">
        <f>IF(Table1[[#This Row],[age]]&gt;18,"Adult","Teenage")</f>
        <v>Adult</v>
      </c>
      <c r="D698">
        <v>3.9</v>
      </c>
      <c r="E698" t="s">
        <v>17</v>
      </c>
      <c r="F698">
        <v>7.4</v>
      </c>
      <c r="G698">
        <f>Table1[[#This Row],[sleep_hours]]-Table1[[#This Row],[daily_social_media_hours]]</f>
        <v>3.5000000000000004</v>
      </c>
      <c r="H698">
        <v>2.5</v>
      </c>
      <c r="I698">
        <v>3.74</v>
      </c>
      <c r="J698" t="str" cm="1">
        <f t="array" ref="J698">_xlfn.IFS(Table1[[#This Row],[academic_performance]]&gt;1,"Need Improvement",Table1[[#This Row],[academic_performance]]&gt;2,"Good",Table1[[#This Row],[academic_performance]]&gt;3,"Very good",Table1[[#This Row],[academic_performance]]&gt;4,"Excellent")</f>
        <v>Need Improvement</v>
      </c>
      <c r="K698">
        <v>0.3</v>
      </c>
      <c r="L698" t="str">
        <f>IF(Table1[[#This Row],[physical_activity]]&gt;1.9,"better overall ","lower rate of depression")</f>
        <v>lower rate of depression</v>
      </c>
      <c r="M698" t="s">
        <v>19</v>
      </c>
      <c r="N698">
        <v>5</v>
      </c>
      <c r="O698">
        <v>8</v>
      </c>
      <c r="P698">
        <v>3</v>
      </c>
      <c r="Q698">
        <v>0</v>
      </c>
    </row>
    <row r="699" spans="1:17" x14ac:dyDescent="0.3">
      <c r="A699">
        <v>17</v>
      </c>
      <c r="B699" t="s">
        <v>16</v>
      </c>
      <c r="C699" t="str">
        <f>IF(Table1[[#This Row],[age]]&gt;18,"Adult","Teenage")</f>
        <v>Teenage</v>
      </c>
      <c r="D699">
        <v>6.7</v>
      </c>
      <c r="E699" t="s">
        <v>14</v>
      </c>
      <c r="F699">
        <v>4.3</v>
      </c>
      <c r="G699">
        <f>Table1[[#This Row],[sleep_hours]]-Table1[[#This Row],[daily_social_media_hours]]</f>
        <v>-2.4000000000000004</v>
      </c>
      <c r="H699">
        <v>0.6</v>
      </c>
      <c r="I699">
        <v>3.76</v>
      </c>
      <c r="J699" t="str" cm="1">
        <f t="array" ref="J699">_xlfn.IFS(Table1[[#This Row],[academic_performance]]&gt;1,"Need Improvement",Table1[[#This Row],[academic_performance]]&gt;2,"Good",Table1[[#This Row],[academic_performance]]&gt;3,"Very good",Table1[[#This Row],[academic_performance]]&gt;4,"Excellent")</f>
        <v>Need Improvement</v>
      </c>
      <c r="K699">
        <v>0</v>
      </c>
      <c r="L699" t="str">
        <f>IF(Table1[[#This Row],[physical_activity]]&gt;1.9,"better overall ","lower rate of depression")</f>
        <v>lower rate of depression</v>
      </c>
      <c r="M699" t="s">
        <v>15</v>
      </c>
      <c r="N699">
        <v>2</v>
      </c>
      <c r="O699">
        <v>1</v>
      </c>
      <c r="P699">
        <v>7</v>
      </c>
      <c r="Q699">
        <v>0</v>
      </c>
    </row>
    <row r="700" spans="1:17" x14ac:dyDescent="0.3">
      <c r="A700">
        <v>15</v>
      </c>
      <c r="B700" t="s">
        <v>13</v>
      </c>
      <c r="C700" t="str">
        <f>IF(Table1[[#This Row],[age]]&gt;18,"Adult","Teenage")</f>
        <v>Teenage</v>
      </c>
      <c r="D700">
        <v>6.7</v>
      </c>
      <c r="E700" t="s">
        <v>20</v>
      </c>
      <c r="F700">
        <v>4.3</v>
      </c>
      <c r="G700">
        <f>Table1[[#This Row],[sleep_hours]]-Table1[[#This Row],[daily_social_media_hours]]</f>
        <v>-2.4000000000000004</v>
      </c>
      <c r="H700">
        <v>1.8</v>
      </c>
      <c r="I700">
        <v>3.69</v>
      </c>
      <c r="J700" t="str" cm="1">
        <f t="array" ref="J700">_xlfn.IFS(Table1[[#This Row],[academic_performance]]&gt;1,"Need Improvement",Table1[[#This Row],[academic_performance]]&gt;2,"Good",Table1[[#This Row],[academic_performance]]&gt;3,"Very good",Table1[[#This Row],[academic_performance]]&gt;4,"Excellent")</f>
        <v>Need Improvement</v>
      </c>
      <c r="K700">
        <v>0.7</v>
      </c>
      <c r="L700" t="str">
        <f>IF(Table1[[#This Row],[physical_activity]]&gt;1.9,"better overall ","lower rate of depression")</f>
        <v>lower rate of depression</v>
      </c>
      <c r="M700" t="s">
        <v>18</v>
      </c>
      <c r="N700">
        <v>2</v>
      </c>
      <c r="O700">
        <v>8</v>
      </c>
      <c r="P700">
        <v>7</v>
      </c>
      <c r="Q700">
        <v>0</v>
      </c>
    </row>
    <row r="701" spans="1:17" x14ac:dyDescent="0.3">
      <c r="A701">
        <v>14</v>
      </c>
      <c r="B701" t="s">
        <v>16</v>
      </c>
      <c r="C701" t="str">
        <f>IF(Table1[[#This Row],[age]]&gt;18,"Adult","Teenage")</f>
        <v>Teenage</v>
      </c>
      <c r="D701">
        <v>3.4</v>
      </c>
      <c r="E701" t="s">
        <v>14</v>
      </c>
      <c r="F701">
        <v>5.6</v>
      </c>
      <c r="G701">
        <f>Table1[[#This Row],[sleep_hours]]-Table1[[#This Row],[daily_social_media_hours]]</f>
        <v>2.1999999999999997</v>
      </c>
      <c r="H701">
        <v>1.7</v>
      </c>
      <c r="I701">
        <v>3.38</v>
      </c>
      <c r="J701" t="str" cm="1">
        <f t="array" ref="J701">_xlfn.IFS(Table1[[#This Row],[academic_performance]]&gt;1,"Need Improvement",Table1[[#This Row],[academic_performance]]&gt;2,"Good",Table1[[#This Row],[academic_performance]]&gt;3,"Very good",Table1[[#This Row],[academic_performance]]&gt;4,"Excellent")</f>
        <v>Need Improvement</v>
      </c>
      <c r="K701">
        <v>0.3</v>
      </c>
      <c r="L701" t="str">
        <f>IF(Table1[[#This Row],[physical_activity]]&gt;1.9,"better overall ","lower rate of depression")</f>
        <v>lower rate of depression</v>
      </c>
      <c r="M701" t="s">
        <v>18</v>
      </c>
      <c r="N701">
        <v>9</v>
      </c>
      <c r="O701">
        <v>3</v>
      </c>
      <c r="P701">
        <v>1</v>
      </c>
      <c r="Q701">
        <v>0</v>
      </c>
    </row>
    <row r="702" spans="1:17" x14ac:dyDescent="0.3">
      <c r="A702">
        <v>16</v>
      </c>
      <c r="B702" t="s">
        <v>13</v>
      </c>
      <c r="C702" t="str">
        <f>IF(Table1[[#This Row],[age]]&gt;18,"Adult","Teenage")</f>
        <v>Teenage</v>
      </c>
      <c r="D702">
        <v>5</v>
      </c>
      <c r="E702" t="s">
        <v>17</v>
      </c>
      <c r="F702">
        <v>4.3</v>
      </c>
      <c r="G702">
        <f>Table1[[#This Row],[sleep_hours]]-Table1[[#This Row],[daily_social_media_hours]]</f>
        <v>-0.70000000000000018</v>
      </c>
      <c r="H702">
        <v>0.7</v>
      </c>
      <c r="I702">
        <v>3.68</v>
      </c>
      <c r="J702" t="str" cm="1">
        <f t="array" ref="J702">_xlfn.IFS(Table1[[#This Row],[academic_performance]]&gt;1,"Need Improvement",Table1[[#This Row],[academic_performance]]&gt;2,"Good",Table1[[#This Row],[academic_performance]]&gt;3,"Very good",Table1[[#This Row],[academic_performance]]&gt;4,"Excellent")</f>
        <v>Need Improvement</v>
      </c>
      <c r="K702">
        <v>1.2</v>
      </c>
      <c r="L702" t="str">
        <f>IF(Table1[[#This Row],[physical_activity]]&gt;1.9,"better overall ","lower rate of depression")</f>
        <v>lower rate of depression</v>
      </c>
      <c r="M702" t="s">
        <v>15</v>
      </c>
      <c r="N702">
        <v>6</v>
      </c>
      <c r="O702">
        <v>2</v>
      </c>
      <c r="P702">
        <v>4</v>
      </c>
      <c r="Q702">
        <v>0</v>
      </c>
    </row>
    <row r="703" spans="1:17" x14ac:dyDescent="0.3">
      <c r="A703">
        <v>18</v>
      </c>
      <c r="B703" t="s">
        <v>16</v>
      </c>
      <c r="C703" t="str">
        <f>IF(Table1[[#This Row],[age]]&gt;18,"Adult","Teenage")</f>
        <v>Teenage</v>
      </c>
      <c r="D703">
        <v>3.8</v>
      </c>
      <c r="E703" t="s">
        <v>14</v>
      </c>
      <c r="F703">
        <v>5.9</v>
      </c>
      <c r="G703">
        <f>Table1[[#This Row],[sleep_hours]]-Table1[[#This Row],[daily_social_media_hours]]</f>
        <v>2.1000000000000005</v>
      </c>
      <c r="H703">
        <v>1</v>
      </c>
      <c r="I703">
        <v>2.2200000000000002</v>
      </c>
      <c r="J703" t="str" cm="1">
        <f t="array" ref="J703">_xlfn.IFS(Table1[[#This Row],[academic_performance]]&gt;1,"Need Improvement",Table1[[#This Row],[academic_performance]]&gt;2,"Good",Table1[[#This Row],[academic_performance]]&gt;3,"Very good",Table1[[#This Row],[academic_performance]]&gt;4,"Excellent")</f>
        <v>Need Improvement</v>
      </c>
      <c r="K703">
        <v>0.6</v>
      </c>
      <c r="L703" t="str">
        <f>IF(Table1[[#This Row],[physical_activity]]&gt;1.9,"better overall ","lower rate of depression")</f>
        <v>lower rate of depression</v>
      </c>
      <c r="M703" t="s">
        <v>15</v>
      </c>
      <c r="N703">
        <v>9</v>
      </c>
      <c r="O703">
        <v>10</v>
      </c>
      <c r="P703">
        <v>9</v>
      </c>
      <c r="Q703">
        <v>0</v>
      </c>
    </row>
    <row r="704" spans="1:17" x14ac:dyDescent="0.3">
      <c r="A704">
        <v>15</v>
      </c>
      <c r="B704" t="s">
        <v>16</v>
      </c>
      <c r="C704" t="str">
        <f>IF(Table1[[#This Row],[age]]&gt;18,"Adult","Teenage")</f>
        <v>Teenage</v>
      </c>
      <c r="D704">
        <v>7.3</v>
      </c>
      <c r="E704" t="s">
        <v>17</v>
      </c>
      <c r="F704">
        <v>7.3</v>
      </c>
      <c r="G704">
        <f>Table1[[#This Row],[sleep_hours]]-Table1[[#This Row],[daily_social_media_hours]]</f>
        <v>0</v>
      </c>
      <c r="H704">
        <v>2.8</v>
      </c>
      <c r="I704">
        <v>2.46</v>
      </c>
      <c r="J704" t="str" cm="1">
        <f t="array" ref="J704">_xlfn.IFS(Table1[[#This Row],[academic_performance]]&gt;1,"Need Improvement",Table1[[#This Row],[academic_performance]]&gt;2,"Good",Table1[[#This Row],[academic_performance]]&gt;3,"Very good",Table1[[#This Row],[academic_performance]]&gt;4,"Excellent")</f>
        <v>Need Improvement</v>
      </c>
      <c r="K704">
        <v>0.3</v>
      </c>
      <c r="L704" t="str">
        <f>IF(Table1[[#This Row],[physical_activity]]&gt;1.9,"better overall ","lower rate of depression")</f>
        <v>lower rate of depression</v>
      </c>
      <c r="M704" t="s">
        <v>15</v>
      </c>
      <c r="N704">
        <v>2</v>
      </c>
      <c r="O704">
        <v>7</v>
      </c>
      <c r="P704">
        <v>5</v>
      </c>
      <c r="Q704">
        <v>0</v>
      </c>
    </row>
    <row r="705" spans="1:17" x14ac:dyDescent="0.3">
      <c r="A705">
        <v>18</v>
      </c>
      <c r="B705" t="s">
        <v>16</v>
      </c>
      <c r="C705" t="str">
        <f>IF(Table1[[#This Row],[age]]&gt;18,"Adult","Teenage")</f>
        <v>Teenage</v>
      </c>
      <c r="D705">
        <v>7.2</v>
      </c>
      <c r="E705" t="s">
        <v>17</v>
      </c>
      <c r="F705">
        <v>5</v>
      </c>
      <c r="G705">
        <f>Table1[[#This Row],[sleep_hours]]-Table1[[#This Row],[daily_social_media_hours]]</f>
        <v>-2.2000000000000002</v>
      </c>
      <c r="H705">
        <v>1.4</v>
      </c>
      <c r="I705">
        <v>3.65</v>
      </c>
      <c r="J705" t="str" cm="1">
        <f t="array" ref="J705">_xlfn.IFS(Table1[[#This Row],[academic_performance]]&gt;1,"Need Improvement",Table1[[#This Row],[academic_performance]]&gt;2,"Good",Table1[[#This Row],[academic_performance]]&gt;3,"Very good",Table1[[#This Row],[academic_performance]]&gt;4,"Excellent")</f>
        <v>Need Improvement</v>
      </c>
      <c r="K705">
        <v>1.1000000000000001</v>
      </c>
      <c r="L705" t="str">
        <f>IF(Table1[[#This Row],[physical_activity]]&gt;1.9,"better overall ","lower rate of depression")</f>
        <v>lower rate of depression</v>
      </c>
      <c r="M705" t="s">
        <v>15</v>
      </c>
      <c r="N705">
        <v>8</v>
      </c>
      <c r="O705">
        <v>8</v>
      </c>
      <c r="P705">
        <v>4</v>
      </c>
      <c r="Q705">
        <v>1</v>
      </c>
    </row>
    <row r="706" spans="1:17" x14ac:dyDescent="0.3">
      <c r="A706">
        <v>15</v>
      </c>
      <c r="B706" t="s">
        <v>16</v>
      </c>
      <c r="C706" t="str">
        <f>IF(Table1[[#This Row],[age]]&gt;18,"Adult","Teenage")</f>
        <v>Teenage</v>
      </c>
      <c r="D706">
        <v>3.1</v>
      </c>
      <c r="E706" t="s">
        <v>20</v>
      </c>
      <c r="F706">
        <v>4.2</v>
      </c>
      <c r="G706">
        <f>Table1[[#This Row],[sleep_hours]]-Table1[[#This Row],[daily_social_media_hours]]</f>
        <v>1.1000000000000001</v>
      </c>
      <c r="H706">
        <v>2.1</v>
      </c>
      <c r="I706">
        <v>3.21</v>
      </c>
      <c r="J706" t="str" cm="1">
        <f t="array" ref="J706">_xlfn.IFS(Table1[[#This Row],[academic_performance]]&gt;1,"Need Improvement",Table1[[#This Row],[academic_performance]]&gt;2,"Good",Table1[[#This Row],[academic_performance]]&gt;3,"Very good",Table1[[#This Row],[academic_performance]]&gt;4,"Excellent")</f>
        <v>Need Improvement</v>
      </c>
      <c r="K706">
        <v>1.1000000000000001</v>
      </c>
      <c r="L706" t="str">
        <f>IF(Table1[[#This Row],[physical_activity]]&gt;1.9,"better overall ","lower rate of depression")</f>
        <v>lower rate of depression</v>
      </c>
      <c r="M706" t="s">
        <v>19</v>
      </c>
      <c r="N706">
        <v>8</v>
      </c>
      <c r="O706">
        <v>2</v>
      </c>
      <c r="P706">
        <v>10</v>
      </c>
      <c r="Q706">
        <v>0</v>
      </c>
    </row>
    <row r="707" spans="1:17" x14ac:dyDescent="0.3">
      <c r="A707">
        <v>15</v>
      </c>
      <c r="B707" t="s">
        <v>16</v>
      </c>
      <c r="C707" t="str">
        <f>IF(Table1[[#This Row],[age]]&gt;18,"Adult","Teenage")</f>
        <v>Teenage</v>
      </c>
      <c r="D707">
        <v>8</v>
      </c>
      <c r="E707" t="s">
        <v>14</v>
      </c>
      <c r="F707">
        <v>4.4000000000000004</v>
      </c>
      <c r="G707">
        <f>Table1[[#This Row],[sleep_hours]]-Table1[[#This Row],[daily_social_media_hours]]</f>
        <v>-3.5999999999999996</v>
      </c>
      <c r="H707">
        <v>0.7</v>
      </c>
      <c r="I707">
        <v>2.62</v>
      </c>
      <c r="J707" t="str" cm="1">
        <f t="array" ref="J707">_xlfn.IFS(Table1[[#This Row],[academic_performance]]&gt;1,"Need Improvement",Table1[[#This Row],[academic_performance]]&gt;2,"Good",Table1[[#This Row],[academic_performance]]&gt;3,"Very good",Table1[[#This Row],[academic_performance]]&gt;4,"Excellent")</f>
        <v>Need Improvement</v>
      </c>
      <c r="K707">
        <v>1.6</v>
      </c>
      <c r="L707" t="str">
        <f>IF(Table1[[#This Row],[physical_activity]]&gt;1.9,"better overall ","lower rate of depression")</f>
        <v>lower rate of depression</v>
      </c>
      <c r="M707" t="s">
        <v>18</v>
      </c>
      <c r="N707">
        <v>6</v>
      </c>
      <c r="O707">
        <v>7</v>
      </c>
      <c r="P707">
        <v>2</v>
      </c>
      <c r="Q707">
        <v>0</v>
      </c>
    </row>
    <row r="708" spans="1:17" x14ac:dyDescent="0.3">
      <c r="A708">
        <v>15</v>
      </c>
      <c r="B708" t="s">
        <v>13</v>
      </c>
      <c r="C708" t="str">
        <f>IF(Table1[[#This Row],[age]]&gt;18,"Adult","Teenage")</f>
        <v>Teenage</v>
      </c>
      <c r="D708">
        <v>4.3</v>
      </c>
      <c r="E708" t="s">
        <v>14</v>
      </c>
      <c r="F708">
        <v>7.5</v>
      </c>
      <c r="G708">
        <f>Table1[[#This Row],[sleep_hours]]-Table1[[#This Row],[daily_social_media_hours]]</f>
        <v>3.2</v>
      </c>
      <c r="H708">
        <v>1.1000000000000001</v>
      </c>
      <c r="I708">
        <v>2.06</v>
      </c>
      <c r="J708" t="str" cm="1">
        <f t="array" ref="J708">_xlfn.IFS(Table1[[#This Row],[academic_performance]]&gt;1,"Need Improvement",Table1[[#This Row],[academic_performance]]&gt;2,"Good",Table1[[#This Row],[academic_performance]]&gt;3,"Very good",Table1[[#This Row],[academic_performance]]&gt;4,"Excellent")</f>
        <v>Need Improvement</v>
      </c>
      <c r="K708">
        <v>1.8</v>
      </c>
      <c r="L708" t="str">
        <f>IF(Table1[[#This Row],[physical_activity]]&gt;1.9,"better overall ","lower rate of depression")</f>
        <v>lower rate of depression</v>
      </c>
      <c r="M708" t="s">
        <v>19</v>
      </c>
      <c r="N708">
        <v>5</v>
      </c>
      <c r="O708">
        <v>7</v>
      </c>
      <c r="P708">
        <v>2</v>
      </c>
      <c r="Q708">
        <v>0</v>
      </c>
    </row>
    <row r="709" spans="1:17" x14ac:dyDescent="0.3">
      <c r="A709">
        <v>14</v>
      </c>
      <c r="B709" t="s">
        <v>16</v>
      </c>
      <c r="C709" t="str">
        <f>IF(Table1[[#This Row],[age]]&gt;18,"Adult","Teenage")</f>
        <v>Teenage</v>
      </c>
      <c r="D709">
        <v>4</v>
      </c>
      <c r="E709" t="s">
        <v>17</v>
      </c>
      <c r="F709">
        <v>5.0999999999999996</v>
      </c>
      <c r="G709">
        <f>Table1[[#This Row],[sleep_hours]]-Table1[[#This Row],[daily_social_media_hours]]</f>
        <v>1.0999999999999996</v>
      </c>
      <c r="H709">
        <v>1.1000000000000001</v>
      </c>
      <c r="I709">
        <v>3.98</v>
      </c>
      <c r="J709" t="str" cm="1">
        <f t="array" ref="J709">_xlfn.IFS(Table1[[#This Row],[academic_performance]]&gt;1,"Need Improvement",Table1[[#This Row],[academic_performance]]&gt;2,"Good",Table1[[#This Row],[academic_performance]]&gt;3,"Very good",Table1[[#This Row],[academic_performance]]&gt;4,"Excellent")</f>
        <v>Need Improvement</v>
      </c>
      <c r="K709">
        <v>1.3</v>
      </c>
      <c r="L709" t="str">
        <f>IF(Table1[[#This Row],[physical_activity]]&gt;1.9,"better overall ","lower rate of depression")</f>
        <v>lower rate of depression</v>
      </c>
      <c r="M709" t="s">
        <v>19</v>
      </c>
      <c r="N709">
        <v>5</v>
      </c>
      <c r="O709">
        <v>4</v>
      </c>
      <c r="P709">
        <v>9</v>
      </c>
      <c r="Q709">
        <v>0</v>
      </c>
    </row>
    <row r="710" spans="1:17" x14ac:dyDescent="0.3">
      <c r="A710">
        <v>15</v>
      </c>
      <c r="B710" t="s">
        <v>13</v>
      </c>
      <c r="C710" t="str">
        <f>IF(Table1[[#This Row],[age]]&gt;18,"Adult","Teenage")</f>
        <v>Teenage</v>
      </c>
      <c r="D710">
        <v>6.9</v>
      </c>
      <c r="E710" t="s">
        <v>17</v>
      </c>
      <c r="F710">
        <v>5.6</v>
      </c>
      <c r="G710">
        <f>Table1[[#This Row],[sleep_hours]]-Table1[[#This Row],[daily_social_media_hours]]</f>
        <v>-1.3000000000000007</v>
      </c>
      <c r="H710">
        <v>1.4</v>
      </c>
      <c r="I710">
        <v>2.09</v>
      </c>
      <c r="J710" t="str" cm="1">
        <f t="array" ref="J710">_xlfn.IFS(Table1[[#This Row],[academic_performance]]&gt;1,"Need Improvement",Table1[[#This Row],[academic_performance]]&gt;2,"Good",Table1[[#This Row],[academic_performance]]&gt;3,"Very good",Table1[[#This Row],[academic_performance]]&gt;4,"Excellent")</f>
        <v>Need Improvement</v>
      </c>
      <c r="K710">
        <v>0.7</v>
      </c>
      <c r="L710" t="str">
        <f>IF(Table1[[#This Row],[physical_activity]]&gt;1.9,"better overall ","lower rate of depression")</f>
        <v>lower rate of depression</v>
      </c>
      <c r="M710" t="s">
        <v>15</v>
      </c>
      <c r="N710">
        <v>9</v>
      </c>
      <c r="O710">
        <v>5</v>
      </c>
      <c r="P710">
        <v>9</v>
      </c>
      <c r="Q710">
        <v>0</v>
      </c>
    </row>
    <row r="711" spans="1:17" x14ac:dyDescent="0.3">
      <c r="A711">
        <v>13</v>
      </c>
      <c r="B711" t="s">
        <v>13</v>
      </c>
      <c r="C711" t="str">
        <f>IF(Table1[[#This Row],[age]]&gt;18,"Adult","Teenage")</f>
        <v>Teenage</v>
      </c>
      <c r="D711">
        <v>7</v>
      </c>
      <c r="E711" t="s">
        <v>17</v>
      </c>
      <c r="F711">
        <v>4.4000000000000004</v>
      </c>
      <c r="G711">
        <f>Table1[[#This Row],[sleep_hours]]-Table1[[#This Row],[daily_social_media_hours]]</f>
        <v>-2.5999999999999996</v>
      </c>
      <c r="H711">
        <v>0.9</v>
      </c>
      <c r="I711">
        <v>3.67</v>
      </c>
      <c r="J711" t="str" cm="1">
        <f t="array" ref="J711">_xlfn.IFS(Table1[[#This Row],[academic_performance]]&gt;1,"Need Improvement",Table1[[#This Row],[academic_performance]]&gt;2,"Good",Table1[[#This Row],[academic_performance]]&gt;3,"Very good",Table1[[#This Row],[academic_performance]]&gt;4,"Excellent")</f>
        <v>Need Improvement</v>
      </c>
      <c r="K711">
        <v>0.4</v>
      </c>
      <c r="L711" t="str">
        <f>IF(Table1[[#This Row],[physical_activity]]&gt;1.9,"better overall ","lower rate of depression")</f>
        <v>lower rate of depression</v>
      </c>
      <c r="M711" t="s">
        <v>15</v>
      </c>
      <c r="N711">
        <v>5</v>
      </c>
      <c r="O711">
        <v>3</v>
      </c>
      <c r="P711">
        <v>6</v>
      </c>
      <c r="Q711">
        <v>0</v>
      </c>
    </row>
    <row r="712" spans="1:17" x14ac:dyDescent="0.3">
      <c r="A712">
        <v>13</v>
      </c>
      <c r="B712" t="s">
        <v>13</v>
      </c>
      <c r="C712" t="str">
        <f>IF(Table1[[#This Row],[age]]&gt;18,"Adult","Teenage")</f>
        <v>Teenage</v>
      </c>
      <c r="D712">
        <v>6.2</v>
      </c>
      <c r="E712" t="s">
        <v>14</v>
      </c>
      <c r="F712">
        <v>8.6</v>
      </c>
      <c r="G712">
        <f>Table1[[#This Row],[sleep_hours]]-Table1[[#This Row],[daily_social_media_hours]]</f>
        <v>2.3999999999999995</v>
      </c>
      <c r="H712">
        <v>1.8</v>
      </c>
      <c r="I712">
        <v>2.19</v>
      </c>
      <c r="J712" t="str" cm="1">
        <f t="array" ref="J712">_xlfn.IFS(Table1[[#This Row],[academic_performance]]&gt;1,"Need Improvement",Table1[[#This Row],[academic_performance]]&gt;2,"Good",Table1[[#This Row],[academic_performance]]&gt;3,"Very good",Table1[[#This Row],[academic_performance]]&gt;4,"Excellent")</f>
        <v>Need Improvement</v>
      </c>
      <c r="K712">
        <v>0.7</v>
      </c>
      <c r="L712" t="str">
        <f>IF(Table1[[#This Row],[physical_activity]]&gt;1.9,"better overall ","lower rate of depression")</f>
        <v>lower rate of depression</v>
      </c>
      <c r="M712" t="s">
        <v>18</v>
      </c>
      <c r="N712">
        <v>8</v>
      </c>
      <c r="O712">
        <v>4</v>
      </c>
      <c r="P712">
        <v>7</v>
      </c>
      <c r="Q712">
        <v>0</v>
      </c>
    </row>
    <row r="713" spans="1:17" x14ac:dyDescent="0.3">
      <c r="A713">
        <v>15</v>
      </c>
      <c r="B713" t="s">
        <v>13</v>
      </c>
      <c r="C713" t="str">
        <f>IF(Table1[[#This Row],[age]]&gt;18,"Adult","Teenage")</f>
        <v>Teenage</v>
      </c>
      <c r="D713">
        <v>7.7</v>
      </c>
      <c r="E713" t="s">
        <v>14</v>
      </c>
      <c r="F713">
        <v>8</v>
      </c>
      <c r="G713">
        <f>Table1[[#This Row],[sleep_hours]]-Table1[[#This Row],[daily_social_media_hours]]</f>
        <v>0.29999999999999982</v>
      </c>
      <c r="H713">
        <v>1.3</v>
      </c>
      <c r="I713">
        <v>3.78</v>
      </c>
      <c r="J713" t="str" cm="1">
        <f t="array" ref="J713">_xlfn.IFS(Table1[[#This Row],[academic_performance]]&gt;1,"Need Improvement",Table1[[#This Row],[academic_performance]]&gt;2,"Good",Table1[[#This Row],[academic_performance]]&gt;3,"Very good",Table1[[#This Row],[academic_performance]]&gt;4,"Excellent")</f>
        <v>Need Improvement</v>
      </c>
      <c r="K713">
        <v>1.1000000000000001</v>
      </c>
      <c r="L713" t="str">
        <f>IF(Table1[[#This Row],[physical_activity]]&gt;1.9,"better overall ","lower rate of depression")</f>
        <v>lower rate of depression</v>
      </c>
      <c r="M713" t="s">
        <v>19</v>
      </c>
      <c r="N713">
        <v>1</v>
      </c>
      <c r="O713">
        <v>6</v>
      </c>
      <c r="P713">
        <v>5</v>
      </c>
      <c r="Q713">
        <v>0</v>
      </c>
    </row>
    <row r="714" spans="1:17" x14ac:dyDescent="0.3">
      <c r="A714">
        <v>19</v>
      </c>
      <c r="B714" t="s">
        <v>16</v>
      </c>
      <c r="C714" t="str">
        <f>IF(Table1[[#This Row],[age]]&gt;18,"Adult","Teenage")</f>
        <v>Adult</v>
      </c>
      <c r="D714">
        <v>5.0999999999999996</v>
      </c>
      <c r="E714" t="s">
        <v>20</v>
      </c>
      <c r="F714">
        <v>6.3</v>
      </c>
      <c r="G714">
        <f>Table1[[#This Row],[sleep_hours]]-Table1[[#This Row],[daily_social_media_hours]]</f>
        <v>1.2000000000000002</v>
      </c>
      <c r="H714">
        <v>2.2999999999999998</v>
      </c>
      <c r="I714">
        <v>2.5499999999999998</v>
      </c>
      <c r="J714" t="str" cm="1">
        <f t="array" ref="J714">_xlfn.IFS(Table1[[#This Row],[academic_performance]]&gt;1,"Need Improvement",Table1[[#This Row],[academic_performance]]&gt;2,"Good",Table1[[#This Row],[academic_performance]]&gt;3,"Very good",Table1[[#This Row],[academic_performance]]&gt;4,"Excellent")</f>
        <v>Need Improvement</v>
      </c>
      <c r="K714">
        <v>2</v>
      </c>
      <c r="L714" t="str">
        <f>IF(Table1[[#This Row],[physical_activity]]&gt;1.9,"better overall ","lower rate of depression")</f>
        <v xml:space="preserve">better overall </v>
      </c>
      <c r="M714" t="s">
        <v>19</v>
      </c>
      <c r="N714">
        <v>6</v>
      </c>
      <c r="O714">
        <v>9</v>
      </c>
      <c r="P714">
        <v>7</v>
      </c>
      <c r="Q714">
        <v>0</v>
      </c>
    </row>
    <row r="715" spans="1:17" x14ac:dyDescent="0.3">
      <c r="A715">
        <v>15</v>
      </c>
      <c r="B715" t="s">
        <v>13</v>
      </c>
      <c r="C715" t="str">
        <f>IF(Table1[[#This Row],[age]]&gt;18,"Adult","Teenage")</f>
        <v>Teenage</v>
      </c>
      <c r="D715">
        <v>1</v>
      </c>
      <c r="E715" t="s">
        <v>17</v>
      </c>
      <c r="F715">
        <v>8.5</v>
      </c>
      <c r="G715">
        <f>Table1[[#This Row],[sleep_hours]]-Table1[[#This Row],[daily_social_media_hours]]</f>
        <v>7.5</v>
      </c>
      <c r="H715">
        <v>2</v>
      </c>
      <c r="I715">
        <v>3.77</v>
      </c>
      <c r="J715" t="str" cm="1">
        <f t="array" ref="J715">_xlfn.IFS(Table1[[#This Row],[academic_performance]]&gt;1,"Need Improvement",Table1[[#This Row],[academic_performance]]&gt;2,"Good",Table1[[#This Row],[academic_performance]]&gt;3,"Very good",Table1[[#This Row],[academic_performance]]&gt;4,"Excellent")</f>
        <v>Need Improvement</v>
      </c>
      <c r="K715">
        <v>1.9</v>
      </c>
      <c r="L715" t="str">
        <f>IF(Table1[[#This Row],[physical_activity]]&gt;1.9,"better overall ","lower rate of depression")</f>
        <v>lower rate of depression</v>
      </c>
      <c r="M715" t="s">
        <v>18</v>
      </c>
      <c r="N715">
        <v>4</v>
      </c>
      <c r="O715">
        <v>1</v>
      </c>
      <c r="P715">
        <v>7</v>
      </c>
      <c r="Q715">
        <v>0</v>
      </c>
    </row>
    <row r="716" spans="1:17" x14ac:dyDescent="0.3">
      <c r="A716">
        <v>15</v>
      </c>
      <c r="B716" t="s">
        <v>16</v>
      </c>
      <c r="C716" t="str">
        <f>IF(Table1[[#This Row],[age]]&gt;18,"Adult","Teenage")</f>
        <v>Teenage</v>
      </c>
      <c r="D716">
        <v>1.1000000000000001</v>
      </c>
      <c r="E716" t="s">
        <v>14</v>
      </c>
      <c r="F716">
        <v>4.5999999999999996</v>
      </c>
      <c r="G716">
        <f>Table1[[#This Row],[sleep_hours]]-Table1[[#This Row],[daily_social_media_hours]]</f>
        <v>3.4999999999999996</v>
      </c>
      <c r="H716">
        <v>1.8</v>
      </c>
      <c r="I716">
        <v>2.35</v>
      </c>
      <c r="J716" t="str" cm="1">
        <f t="array" ref="J716">_xlfn.IFS(Table1[[#This Row],[academic_performance]]&gt;1,"Need Improvement",Table1[[#This Row],[academic_performance]]&gt;2,"Good",Table1[[#This Row],[academic_performance]]&gt;3,"Very good",Table1[[#This Row],[academic_performance]]&gt;4,"Excellent")</f>
        <v>Need Improvement</v>
      </c>
      <c r="K716">
        <v>1.1000000000000001</v>
      </c>
      <c r="L716" t="str">
        <f>IF(Table1[[#This Row],[physical_activity]]&gt;1.9,"better overall ","lower rate of depression")</f>
        <v>lower rate of depression</v>
      </c>
      <c r="M716" t="s">
        <v>19</v>
      </c>
      <c r="N716">
        <v>10</v>
      </c>
      <c r="O716">
        <v>6</v>
      </c>
      <c r="P716">
        <v>6</v>
      </c>
      <c r="Q716">
        <v>0</v>
      </c>
    </row>
    <row r="717" spans="1:17" x14ac:dyDescent="0.3">
      <c r="A717">
        <v>13</v>
      </c>
      <c r="B717" t="s">
        <v>16</v>
      </c>
      <c r="C717" t="str">
        <f>IF(Table1[[#This Row],[age]]&gt;18,"Adult","Teenage")</f>
        <v>Teenage</v>
      </c>
      <c r="D717">
        <v>7</v>
      </c>
      <c r="E717" t="s">
        <v>14</v>
      </c>
      <c r="F717">
        <v>4.9000000000000004</v>
      </c>
      <c r="G717">
        <f>Table1[[#This Row],[sleep_hours]]-Table1[[#This Row],[daily_social_media_hours]]</f>
        <v>-2.0999999999999996</v>
      </c>
      <c r="H717">
        <v>1.2</v>
      </c>
      <c r="I717">
        <v>3.61</v>
      </c>
      <c r="J717" t="str" cm="1">
        <f t="array" ref="J717">_xlfn.IFS(Table1[[#This Row],[academic_performance]]&gt;1,"Need Improvement",Table1[[#This Row],[academic_performance]]&gt;2,"Good",Table1[[#This Row],[academic_performance]]&gt;3,"Very good",Table1[[#This Row],[academic_performance]]&gt;4,"Excellent")</f>
        <v>Need Improvement</v>
      </c>
      <c r="K717">
        <v>0.2</v>
      </c>
      <c r="L717" t="str">
        <f>IF(Table1[[#This Row],[physical_activity]]&gt;1.9,"better overall ","lower rate of depression")</f>
        <v>lower rate of depression</v>
      </c>
      <c r="M717" t="s">
        <v>19</v>
      </c>
      <c r="N717">
        <v>2</v>
      </c>
      <c r="O717">
        <v>3</v>
      </c>
      <c r="P717">
        <v>5</v>
      </c>
      <c r="Q717">
        <v>0</v>
      </c>
    </row>
    <row r="718" spans="1:17" x14ac:dyDescent="0.3">
      <c r="A718">
        <v>15</v>
      </c>
      <c r="B718" t="s">
        <v>16</v>
      </c>
      <c r="C718" t="str">
        <f>IF(Table1[[#This Row],[age]]&gt;18,"Adult","Teenage")</f>
        <v>Teenage</v>
      </c>
      <c r="D718">
        <v>2.7</v>
      </c>
      <c r="E718" t="s">
        <v>20</v>
      </c>
      <c r="F718">
        <v>7.8</v>
      </c>
      <c r="G718">
        <f>Table1[[#This Row],[sleep_hours]]-Table1[[#This Row],[daily_social_media_hours]]</f>
        <v>5.0999999999999996</v>
      </c>
      <c r="H718">
        <v>1.8</v>
      </c>
      <c r="I718">
        <v>3.9</v>
      </c>
      <c r="J718" t="str" cm="1">
        <f t="array" ref="J718">_xlfn.IFS(Table1[[#This Row],[academic_performance]]&gt;1,"Need Improvement",Table1[[#This Row],[academic_performance]]&gt;2,"Good",Table1[[#This Row],[academic_performance]]&gt;3,"Very good",Table1[[#This Row],[academic_performance]]&gt;4,"Excellent")</f>
        <v>Need Improvement</v>
      </c>
      <c r="K718">
        <v>1.4</v>
      </c>
      <c r="L718" t="str">
        <f>IF(Table1[[#This Row],[physical_activity]]&gt;1.9,"better overall ","lower rate of depression")</f>
        <v>lower rate of depression</v>
      </c>
      <c r="M718" t="s">
        <v>15</v>
      </c>
      <c r="N718">
        <v>5</v>
      </c>
      <c r="O718">
        <v>8</v>
      </c>
      <c r="P718">
        <v>9</v>
      </c>
      <c r="Q718">
        <v>0</v>
      </c>
    </row>
    <row r="719" spans="1:17" x14ac:dyDescent="0.3">
      <c r="A719">
        <v>18</v>
      </c>
      <c r="B719" t="s">
        <v>13</v>
      </c>
      <c r="C719" t="str">
        <f>IF(Table1[[#This Row],[age]]&gt;18,"Adult","Teenage")</f>
        <v>Teenage</v>
      </c>
      <c r="D719">
        <v>2.5</v>
      </c>
      <c r="E719" t="s">
        <v>14</v>
      </c>
      <c r="F719">
        <v>4.2</v>
      </c>
      <c r="G719">
        <f>Table1[[#This Row],[sleep_hours]]-Table1[[#This Row],[daily_social_media_hours]]</f>
        <v>1.7000000000000002</v>
      </c>
      <c r="H719">
        <v>1.4</v>
      </c>
      <c r="I719">
        <v>3.9</v>
      </c>
      <c r="J719" t="str" cm="1">
        <f t="array" ref="J719">_xlfn.IFS(Table1[[#This Row],[academic_performance]]&gt;1,"Need Improvement",Table1[[#This Row],[academic_performance]]&gt;2,"Good",Table1[[#This Row],[academic_performance]]&gt;3,"Very good",Table1[[#This Row],[academic_performance]]&gt;4,"Excellent")</f>
        <v>Need Improvement</v>
      </c>
      <c r="K719">
        <v>0.7</v>
      </c>
      <c r="L719" t="str">
        <f>IF(Table1[[#This Row],[physical_activity]]&gt;1.9,"better overall ","lower rate of depression")</f>
        <v>lower rate of depression</v>
      </c>
      <c r="M719" t="s">
        <v>18</v>
      </c>
      <c r="N719">
        <v>5</v>
      </c>
      <c r="O719">
        <v>2</v>
      </c>
      <c r="P719">
        <v>3</v>
      </c>
      <c r="Q719">
        <v>0</v>
      </c>
    </row>
    <row r="720" spans="1:17" x14ac:dyDescent="0.3">
      <c r="A720">
        <v>18</v>
      </c>
      <c r="B720" t="s">
        <v>16</v>
      </c>
      <c r="C720" t="str">
        <f>IF(Table1[[#This Row],[age]]&gt;18,"Adult","Teenage")</f>
        <v>Teenage</v>
      </c>
      <c r="D720">
        <v>2.2999999999999998</v>
      </c>
      <c r="E720" t="s">
        <v>17</v>
      </c>
      <c r="F720">
        <v>4.3</v>
      </c>
      <c r="G720">
        <f>Table1[[#This Row],[sleep_hours]]-Table1[[#This Row],[daily_social_media_hours]]</f>
        <v>2</v>
      </c>
      <c r="H720">
        <v>0.9</v>
      </c>
      <c r="I720">
        <v>3.27</v>
      </c>
      <c r="J720" t="str" cm="1">
        <f t="array" ref="J720">_xlfn.IFS(Table1[[#This Row],[academic_performance]]&gt;1,"Need Improvement",Table1[[#This Row],[academic_performance]]&gt;2,"Good",Table1[[#This Row],[academic_performance]]&gt;3,"Very good",Table1[[#This Row],[academic_performance]]&gt;4,"Excellent")</f>
        <v>Need Improvement</v>
      </c>
      <c r="K720">
        <v>0.1</v>
      </c>
      <c r="L720" t="str">
        <f>IF(Table1[[#This Row],[physical_activity]]&gt;1.9,"better overall ","lower rate of depression")</f>
        <v>lower rate of depression</v>
      </c>
      <c r="M720" t="s">
        <v>18</v>
      </c>
      <c r="N720">
        <v>5</v>
      </c>
      <c r="O720">
        <v>9</v>
      </c>
      <c r="P720">
        <v>10</v>
      </c>
      <c r="Q720">
        <v>0</v>
      </c>
    </row>
    <row r="721" spans="1:17" x14ac:dyDescent="0.3">
      <c r="A721">
        <v>17</v>
      </c>
      <c r="B721" t="s">
        <v>16</v>
      </c>
      <c r="C721" t="str">
        <f>IF(Table1[[#This Row],[age]]&gt;18,"Adult","Teenage")</f>
        <v>Teenage</v>
      </c>
      <c r="D721">
        <v>2.7</v>
      </c>
      <c r="E721" t="s">
        <v>17</v>
      </c>
      <c r="F721">
        <v>6.6</v>
      </c>
      <c r="G721">
        <f>Table1[[#This Row],[sleep_hours]]-Table1[[#This Row],[daily_social_media_hours]]</f>
        <v>3.8999999999999995</v>
      </c>
      <c r="H721">
        <v>1.6</v>
      </c>
      <c r="I721">
        <v>3.36</v>
      </c>
      <c r="J721" t="str" cm="1">
        <f t="array" ref="J721">_xlfn.IFS(Table1[[#This Row],[academic_performance]]&gt;1,"Need Improvement",Table1[[#This Row],[academic_performance]]&gt;2,"Good",Table1[[#This Row],[academic_performance]]&gt;3,"Very good",Table1[[#This Row],[academic_performance]]&gt;4,"Excellent")</f>
        <v>Need Improvement</v>
      </c>
      <c r="K721">
        <v>1.6</v>
      </c>
      <c r="L721" t="str">
        <f>IF(Table1[[#This Row],[physical_activity]]&gt;1.9,"better overall ","lower rate of depression")</f>
        <v>lower rate of depression</v>
      </c>
      <c r="M721" t="s">
        <v>18</v>
      </c>
      <c r="N721">
        <v>3</v>
      </c>
      <c r="O721">
        <v>1</v>
      </c>
      <c r="P721">
        <v>2</v>
      </c>
      <c r="Q721">
        <v>0</v>
      </c>
    </row>
    <row r="722" spans="1:17" x14ac:dyDescent="0.3">
      <c r="A722">
        <v>14</v>
      </c>
      <c r="B722" t="s">
        <v>13</v>
      </c>
      <c r="C722" t="str">
        <f>IF(Table1[[#This Row],[age]]&gt;18,"Adult","Teenage")</f>
        <v>Teenage</v>
      </c>
      <c r="D722">
        <v>3.2</v>
      </c>
      <c r="E722" t="s">
        <v>14</v>
      </c>
      <c r="F722">
        <v>5.4</v>
      </c>
      <c r="G722">
        <f>Table1[[#This Row],[sleep_hours]]-Table1[[#This Row],[daily_social_media_hours]]</f>
        <v>2.2000000000000002</v>
      </c>
      <c r="H722">
        <v>2.6</v>
      </c>
      <c r="I722">
        <v>3.18</v>
      </c>
      <c r="J722" t="str" cm="1">
        <f t="array" ref="J722">_xlfn.IFS(Table1[[#This Row],[academic_performance]]&gt;1,"Need Improvement",Table1[[#This Row],[academic_performance]]&gt;2,"Good",Table1[[#This Row],[academic_performance]]&gt;3,"Very good",Table1[[#This Row],[academic_performance]]&gt;4,"Excellent")</f>
        <v>Need Improvement</v>
      </c>
      <c r="K722">
        <v>0.9</v>
      </c>
      <c r="L722" t="str">
        <f>IF(Table1[[#This Row],[physical_activity]]&gt;1.9,"better overall ","lower rate of depression")</f>
        <v>lower rate of depression</v>
      </c>
      <c r="M722" t="s">
        <v>15</v>
      </c>
      <c r="N722">
        <v>9</v>
      </c>
      <c r="O722">
        <v>1</v>
      </c>
      <c r="P722">
        <v>7</v>
      </c>
      <c r="Q722">
        <v>0</v>
      </c>
    </row>
    <row r="723" spans="1:17" x14ac:dyDescent="0.3">
      <c r="A723">
        <v>18</v>
      </c>
      <c r="B723" t="s">
        <v>16</v>
      </c>
      <c r="C723" t="str">
        <f>IF(Table1[[#This Row],[age]]&gt;18,"Adult","Teenage")</f>
        <v>Teenage</v>
      </c>
      <c r="D723">
        <v>3.8</v>
      </c>
      <c r="E723" t="s">
        <v>20</v>
      </c>
      <c r="F723">
        <v>5.3</v>
      </c>
      <c r="G723">
        <f>Table1[[#This Row],[sleep_hours]]-Table1[[#This Row],[daily_social_media_hours]]</f>
        <v>1.5</v>
      </c>
      <c r="H723">
        <v>2.2999999999999998</v>
      </c>
      <c r="I723">
        <v>3.42</v>
      </c>
      <c r="J723" t="str" cm="1">
        <f t="array" ref="J723">_xlfn.IFS(Table1[[#This Row],[academic_performance]]&gt;1,"Need Improvement",Table1[[#This Row],[academic_performance]]&gt;2,"Good",Table1[[#This Row],[academic_performance]]&gt;3,"Very good",Table1[[#This Row],[academic_performance]]&gt;4,"Excellent")</f>
        <v>Need Improvement</v>
      </c>
      <c r="K723">
        <v>0.4</v>
      </c>
      <c r="L723" t="str">
        <f>IF(Table1[[#This Row],[physical_activity]]&gt;1.9,"better overall ","lower rate of depression")</f>
        <v>lower rate of depression</v>
      </c>
      <c r="M723" t="s">
        <v>15</v>
      </c>
      <c r="N723">
        <v>4</v>
      </c>
      <c r="O723">
        <v>8</v>
      </c>
      <c r="P723">
        <v>2</v>
      </c>
      <c r="Q723">
        <v>0</v>
      </c>
    </row>
    <row r="724" spans="1:17" x14ac:dyDescent="0.3">
      <c r="A724">
        <v>14</v>
      </c>
      <c r="B724" t="s">
        <v>16</v>
      </c>
      <c r="C724" t="str">
        <f>IF(Table1[[#This Row],[age]]&gt;18,"Adult","Teenage")</f>
        <v>Teenage</v>
      </c>
      <c r="D724">
        <v>4.0999999999999996</v>
      </c>
      <c r="E724" t="s">
        <v>17</v>
      </c>
      <c r="F724">
        <v>5.4</v>
      </c>
      <c r="G724">
        <f>Table1[[#This Row],[sleep_hours]]-Table1[[#This Row],[daily_social_media_hours]]</f>
        <v>1.3000000000000007</v>
      </c>
      <c r="H724">
        <v>2.4</v>
      </c>
      <c r="I724">
        <v>2.71</v>
      </c>
      <c r="J724" t="str" cm="1">
        <f t="array" ref="J724">_xlfn.IFS(Table1[[#This Row],[academic_performance]]&gt;1,"Need Improvement",Table1[[#This Row],[academic_performance]]&gt;2,"Good",Table1[[#This Row],[academic_performance]]&gt;3,"Very good",Table1[[#This Row],[academic_performance]]&gt;4,"Excellent")</f>
        <v>Need Improvement</v>
      </c>
      <c r="K724">
        <v>1.3</v>
      </c>
      <c r="L724" t="str">
        <f>IF(Table1[[#This Row],[physical_activity]]&gt;1.9,"better overall ","lower rate of depression")</f>
        <v>lower rate of depression</v>
      </c>
      <c r="M724" t="s">
        <v>15</v>
      </c>
      <c r="N724">
        <v>9</v>
      </c>
      <c r="O724">
        <v>5</v>
      </c>
      <c r="P724">
        <v>10</v>
      </c>
      <c r="Q724">
        <v>0</v>
      </c>
    </row>
    <row r="725" spans="1:17" x14ac:dyDescent="0.3">
      <c r="A725">
        <v>13</v>
      </c>
      <c r="B725" t="s">
        <v>16</v>
      </c>
      <c r="C725" t="str">
        <f>IF(Table1[[#This Row],[age]]&gt;18,"Adult","Teenage")</f>
        <v>Teenage</v>
      </c>
      <c r="D725">
        <v>2.2999999999999998</v>
      </c>
      <c r="E725" t="s">
        <v>17</v>
      </c>
      <c r="F725">
        <v>6.6</v>
      </c>
      <c r="G725">
        <f>Table1[[#This Row],[sleep_hours]]-Table1[[#This Row],[daily_social_media_hours]]</f>
        <v>4.3</v>
      </c>
      <c r="H725">
        <v>1.4</v>
      </c>
      <c r="I725">
        <v>3.74</v>
      </c>
      <c r="J725" t="str" cm="1">
        <f t="array" ref="J725">_xlfn.IFS(Table1[[#This Row],[academic_performance]]&gt;1,"Need Improvement",Table1[[#This Row],[academic_performance]]&gt;2,"Good",Table1[[#This Row],[academic_performance]]&gt;3,"Very good",Table1[[#This Row],[academic_performance]]&gt;4,"Excellent")</f>
        <v>Need Improvement</v>
      </c>
      <c r="K725">
        <v>1.5</v>
      </c>
      <c r="L725" t="str">
        <f>IF(Table1[[#This Row],[physical_activity]]&gt;1.9,"better overall ","lower rate of depression")</f>
        <v>lower rate of depression</v>
      </c>
      <c r="M725" t="s">
        <v>19</v>
      </c>
      <c r="N725">
        <v>6</v>
      </c>
      <c r="O725">
        <v>10</v>
      </c>
      <c r="P725">
        <v>1</v>
      </c>
      <c r="Q725">
        <v>0</v>
      </c>
    </row>
    <row r="726" spans="1:17" x14ac:dyDescent="0.3">
      <c r="A726">
        <v>15</v>
      </c>
      <c r="B726" t="s">
        <v>13</v>
      </c>
      <c r="C726" t="str">
        <f>IF(Table1[[#This Row],[age]]&gt;18,"Adult","Teenage")</f>
        <v>Teenage</v>
      </c>
      <c r="D726">
        <v>8</v>
      </c>
      <c r="E726" t="s">
        <v>14</v>
      </c>
      <c r="F726">
        <v>4.7</v>
      </c>
      <c r="G726">
        <f>Table1[[#This Row],[sleep_hours]]-Table1[[#This Row],[daily_social_media_hours]]</f>
        <v>-3.3</v>
      </c>
      <c r="H726">
        <v>0.6</v>
      </c>
      <c r="I726">
        <v>3.01</v>
      </c>
      <c r="J726" t="str" cm="1">
        <f t="array" ref="J726">_xlfn.IFS(Table1[[#This Row],[academic_performance]]&gt;1,"Need Improvement",Table1[[#This Row],[academic_performance]]&gt;2,"Good",Table1[[#This Row],[academic_performance]]&gt;3,"Very good",Table1[[#This Row],[academic_performance]]&gt;4,"Excellent")</f>
        <v>Need Improvement</v>
      </c>
      <c r="K726">
        <v>1.8</v>
      </c>
      <c r="L726" t="str">
        <f>IF(Table1[[#This Row],[physical_activity]]&gt;1.9,"better overall ","lower rate of depression")</f>
        <v>lower rate of depression</v>
      </c>
      <c r="M726" t="s">
        <v>19</v>
      </c>
      <c r="N726">
        <v>2</v>
      </c>
      <c r="O726">
        <v>9</v>
      </c>
      <c r="P726">
        <v>10</v>
      </c>
      <c r="Q726">
        <v>0</v>
      </c>
    </row>
    <row r="727" spans="1:17" x14ac:dyDescent="0.3">
      <c r="A727">
        <v>15</v>
      </c>
      <c r="B727" t="s">
        <v>16</v>
      </c>
      <c r="C727" t="str">
        <f>IF(Table1[[#This Row],[age]]&gt;18,"Adult","Teenage")</f>
        <v>Teenage</v>
      </c>
      <c r="D727">
        <v>2.9</v>
      </c>
      <c r="E727" t="s">
        <v>17</v>
      </c>
      <c r="F727">
        <v>6.4</v>
      </c>
      <c r="G727">
        <f>Table1[[#This Row],[sleep_hours]]-Table1[[#This Row],[daily_social_media_hours]]</f>
        <v>3.5000000000000004</v>
      </c>
      <c r="H727">
        <v>0.7</v>
      </c>
      <c r="I727">
        <v>3.41</v>
      </c>
      <c r="J727" t="str" cm="1">
        <f t="array" ref="J727">_xlfn.IFS(Table1[[#This Row],[academic_performance]]&gt;1,"Need Improvement",Table1[[#This Row],[academic_performance]]&gt;2,"Good",Table1[[#This Row],[academic_performance]]&gt;3,"Very good",Table1[[#This Row],[academic_performance]]&gt;4,"Excellent")</f>
        <v>Need Improvement</v>
      </c>
      <c r="K727">
        <v>1.6</v>
      </c>
      <c r="L727" t="str">
        <f>IF(Table1[[#This Row],[physical_activity]]&gt;1.9,"better overall ","lower rate of depression")</f>
        <v>lower rate of depression</v>
      </c>
      <c r="M727" t="s">
        <v>15</v>
      </c>
      <c r="N727">
        <v>3</v>
      </c>
      <c r="O727">
        <v>10</v>
      </c>
      <c r="P727">
        <v>7</v>
      </c>
      <c r="Q727">
        <v>0</v>
      </c>
    </row>
    <row r="728" spans="1:17" x14ac:dyDescent="0.3">
      <c r="A728">
        <v>19</v>
      </c>
      <c r="B728" t="s">
        <v>16</v>
      </c>
      <c r="C728" t="str">
        <f>IF(Table1[[#This Row],[age]]&gt;18,"Adult","Teenage")</f>
        <v>Adult</v>
      </c>
      <c r="D728">
        <v>4.4000000000000004</v>
      </c>
      <c r="E728" t="s">
        <v>20</v>
      </c>
      <c r="F728">
        <v>5</v>
      </c>
      <c r="G728">
        <f>Table1[[#This Row],[sleep_hours]]-Table1[[#This Row],[daily_social_media_hours]]</f>
        <v>0.59999999999999964</v>
      </c>
      <c r="H728">
        <v>2.8</v>
      </c>
      <c r="I728">
        <v>2.69</v>
      </c>
      <c r="J728" t="str" cm="1">
        <f t="array" ref="J728">_xlfn.IFS(Table1[[#This Row],[academic_performance]]&gt;1,"Need Improvement",Table1[[#This Row],[academic_performance]]&gt;2,"Good",Table1[[#This Row],[academic_performance]]&gt;3,"Very good",Table1[[#This Row],[academic_performance]]&gt;4,"Excellent")</f>
        <v>Need Improvement</v>
      </c>
      <c r="K728">
        <v>0.4</v>
      </c>
      <c r="L728" t="str">
        <f>IF(Table1[[#This Row],[physical_activity]]&gt;1.9,"better overall ","lower rate of depression")</f>
        <v>lower rate of depression</v>
      </c>
      <c r="M728" t="s">
        <v>18</v>
      </c>
      <c r="N728">
        <v>3</v>
      </c>
      <c r="O728">
        <v>8</v>
      </c>
      <c r="P728">
        <v>8</v>
      </c>
      <c r="Q728">
        <v>0</v>
      </c>
    </row>
    <row r="729" spans="1:17" x14ac:dyDescent="0.3">
      <c r="A729">
        <v>18</v>
      </c>
      <c r="B729" t="s">
        <v>16</v>
      </c>
      <c r="C729" t="str">
        <f>IF(Table1[[#This Row],[age]]&gt;18,"Adult","Teenage")</f>
        <v>Teenage</v>
      </c>
      <c r="D729">
        <v>3.1</v>
      </c>
      <c r="E729" t="s">
        <v>20</v>
      </c>
      <c r="F729">
        <v>6.8</v>
      </c>
      <c r="G729">
        <f>Table1[[#This Row],[sleep_hours]]-Table1[[#This Row],[daily_social_media_hours]]</f>
        <v>3.6999999999999997</v>
      </c>
      <c r="H729">
        <v>2</v>
      </c>
      <c r="I729">
        <v>3.77</v>
      </c>
      <c r="J729" t="str" cm="1">
        <f t="array" ref="J729">_xlfn.IFS(Table1[[#This Row],[academic_performance]]&gt;1,"Need Improvement",Table1[[#This Row],[academic_performance]]&gt;2,"Good",Table1[[#This Row],[academic_performance]]&gt;3,"Very good",Table1[[#This Row],[academic_performance]]&gt;4,"Excellent")</f>
        <v>Need Improvement</v>
      </c>
      <c r="K729">
        <v>1.4</v>
      </c>
      <c r="L729" t="str">
        <f>IF(Table1[[#This Row],[physical_activity]]&gt;1.9,"better overall ","lower rate of depression")</f>
        <v>lower rate of depression</v>
      </c>
      <c r="M729" t="s">
        <v>15</v>
      </c>
      <c r="N729">
        <v>1</v>
      </c>
      <c r="O729">
        <v>3</v>
      </c>
      <c r="P729">
        <v>4</v>
      </c>
      <c r="Q729">
        <v>0</v>
      </c>
    </row>
    <row r="730" spans="1:17" x14ac:dyDescent="0.3">
      <c r="A730">
        <v>18</v>
      </c>
      <c r="B730" t="s">
        <v>13</v>
      </c>
      <c r="C730" t="str">
        <f>IF(Table1[[#This Row],[age]]&gt;18,"Adult","Teenage")</f>
        <v>Teenage</v>
      </c>
      <c r="D730">
        <v>7.9</v>
      </c>
      <c r="E730" t="s">
        <v>17</v>
      </c>
      <c r="F730">
        <v>7.5</v>
      </c>
      <c r="G730">
        <f>Table1[[#This Row],[sleep_hours]]-Table1[[#This Row],[daily_social_media_hours]]</f>
        <v>-0.40000000000000036</v>
      </c>
      <c r="H730">
        <v>2</v>
      </c>
      <c r="I730">
        <v>2.77</v>
      </c>
      <c r="J730" t="str" cm="1">
        <f t="array" ref="J730">_xlfn.IFS(Table1[[#This Row],[academic_performance]]&gt;1,"Need Improvement",Table1[[#This Row],[academic_performance]]&gt;2,"Good",Table1[[#This Row],[academic_performance]]&gt;3,"Very good",Table1[[#This Row],[academic_performance]]&gt;4,"Excellent")</f>
        <v>Need Improvement</v>
      </c>
      <c r="K730">
        <v>0.9</v>
      </c>
      <c r="L730" t="str">
        <f>IF(Table1[[#This Row],[physical_activity]]&gt;1.9,"better overall ","lower rate of depression")</f>
        <v>lower rate of depression</v>
      </c>
      <c r="M730" t="s">
        <v>15</v>
      </c>
      <c r="N730">
        <v>10</v>
      </c>
      <c r="O730">
        <v>4</v>
      </c>
      <c r="P730">
        <v>4</v>
      </c>
      <c r="Q730">
        <v>0</v>
      </c>
    </row>
    <row r="731" spans="1:17" x14ac:dyDescent="0.3">
      <c r="A731">
        <v>14</v>
      </c>
      <c r="B731" t="s">
        <v>16</v>
      </c>
      <c r="C731" t="str">
        <f>IF(Table1[[#This Row],[age]]&gt;18,"Adult","Teenage")</f>
        <v>Teenage</v>
      </c>
      <c r="D731">
        <v>1.2</v>
      </c>
      <c r="E731" t="s">
        <v>20</v>
      </c>
      <c r="F731">
        <v>7</v>
      </c>
      <c r="G731">
        <f>Table1[[#This Row],[sleep_hours]]-Table1[[#This Row],[daily_social_media_hours]]</f>
        <v>5.8</v>
      </c>
      <c r="H731">
        <v>2.2000000000000002</v>
      </c>
      <c r="I731">
        <v>3.83</v>
      </c>
      <c r="J731" t="str" cm="1">
        <f t="array" ref="J731">_xlfn.IFS(Table1[[#This Row],[academic_performance]]&gt;1,"Need Improvement",Table1[[#This Row],[academic_performance]]&gt;2,"Good",Table1[[#This Row],[academic_performance]]&gt;3,"Very good",Table1[[#This Row],[academic_performance]]&gt;4,"Excellent")</f>
        <v>Need Improvement</v>
      </c>
      <c r="K731">
        <v>0.8</v>
      </c>
      <c r="L731" t="str">
        <f>IF(Table1[[#This Row],[physical_activity]]&gt;1.9,"better overall ","lower rate of depression")</f>
        <v>lower rate of depression</v>
      </c>
      <c r="M731" t="s">
        <v>15</v>
      </c>
      <c r="N731">
        <v>6</v>
      </c>
      <c r="O731">
        <v>10</v>
      </c>
      <c r="P731">
        <v>5</v>
      </c>
      <c r="Q731">
        <v>0</v>
      </c>
    </row>
    <row r="732" spans="1:17" x14ac:dyDescent="0.3">
      <c r="A732">
        <v>19</v>
      </c>
      <c r="B732" t="s">
        <v>16</v>
      </c>
      <c r="C732" t="str">
        <f>IF(Table1[[#This Row],[age]]&gt;18,"Adult","Teenage")</f>
        <v>Adult</v>
      </c>
      <c r="D732">
        <v>4</v>
      </c>
      <c r="E732" t="s">
        <v>20</v>
      </c>
      <c r="F732">
        <v>7.4</v>
      </c>
      <c r="G732">
        <f>Table1[[#This Row],[sleep_hours]]-Table1[[#This Row],[daily_social_media_hours]]</f>
        <v>3.4000000000000004</v>
      </c>
      <c r="H732">
        <v>2.7</v>
      </c>
      <c r="I732">
        <v>3.41</v>
      </c>
      <c r="J732" t="str" cm="1">
        <f t="array" ref="J732">_xlfn.IFS(Table1[[#This Row],[academic_performance]]&gt;1,"Need Improvement",Table1[[#This Row],[academic_performance]]&gt;2,"Good",Table1[[#This Row],[academic_performance]]&gt;3,"Very good",Table1[[#This Row],[academic_performance]]&gt;4,"Excellent")</f>
        <v>Need Improvement</v>
      </c>
      <c r="K732">
        <v>1.4</v>
      </c>
      <c r="L732" t="str">
        <f>IF(Table1[[#This Row],[physical_activity]]&gt;1.9,"better overall ","lower rate of depression")</f>
        <v>lower rate of depression</v>
      </c>
      <c r="M732" t="s">
        <v>19</v>
      </c>
      <c r="N732">
        <v>9</v>
      </c>
      <c r="O732">
        <v>4</v>
      </c>
      <c r="P732">
        <v>7</v>
      </c>
      <c r="Q732">
        <v>0</v>
      </c>
    </row>
    <row r="733" spans="1:17" x14ac:dyDescent="0.3">
      <c r="A733">
        <v>18</v>
      </c>
      <c r="B733" t="s">
        <v>13</v>
      </c>
      <c r="C733" t="str">
        <f>IF(Table1[[#This Row],[age]]&gt;18,"Adult","Teenage")</f>
        <v>Teenage</v>
      </c>
      <c r="D733">
        <v>1</v>
      </c>
      <c r="E733" t="s">
        <v>14</v>
      </c>
      <c r="F733">
        <v>7.1</v>
      </c>
      <c r="G733">
        <f>Table1[[#This Row],[sleep_hours]]-Table1[[#This Row],[daily_social_media_hours]]</f>
        <v>6.1</v>
      </c>
      <c r="H733">
        <v>0.8</v>
      </c>
      <c r="I733">
        <v>2.4700000000000002</v>
      </c>
      <c r="J733" t="str" cm="1">
        <f t="array" ref="J733">_xlfn.IFS(Table1[[#This Row],[academic_performance]]&gt;1,"Need Improvement",Table1[[#This Row],[academic_performance]]&gt;2,"Good",Table1[[#This Row],[academic_performance]]&gt;3,"Very good",Table1[[#This Row],[academic_performance]]&gt;4,"Excellent")</f>
        <v>Need Improvement</v>
      </c>
      <c r="K733">
        <v>1.9</v>
      </c>
      <c r="L733" t="str">
        <f>IF(Table1[[#This Row],[physical_activity]]&gt;1.9,"better overall ","lower rate of depression")</f>
        <v>lower rate of depression</v>
      </c>
      <c r="M733" t="s">
        <v>18</v>
      </c>
      <c r="N733">
        <v>4</v>
      </c>
      <c r="O733">
        <v>2</v>
      </c>
      <c r="P733">
        <v>4</v>
      </c>
      <c r="Q733">
        <v>0</v>
      </c>
    </row>
    <row r="734" spans="1:17" x14ac:dyDescent="0.3">
      <c r="A734">
        <v>19</v>
      </c>
      <c r="B734" t="s">
        <v>16</v>
      </c>
      <c r="C734" t="str">
        <f>IF(Table1[[#This Row],[age]]&gt;18,"Adult","Teenage")</f>
        <v>Adult</v>
      </c>
      <c r="D734">
        <v>7.9</v>
      </c>
      <c r="E734" t="s">
        <v>14</v>
      </c>
      <c r="F734">
        <v>5.7</v>
      </c>
      <c r="G734">
        <f>Table1[[#This Row],[sleep_hours]]-Table1[[#This Row],[daily_social_media_hours]]</f>
        <v>-2.2000000000000002</v>
      </c>
      <c r="H734">
        <v>2.4</v>
      </c>
      <c r="I734">
        <v>3.59</v>
      </c>
      <c r="J734" t="str" cm="1">
        <f t="array" ref="J734">_xlfn.IFS(Table1[[#This Row],[academic_performance]]&gt;1,"Need Improvement",Table1[[#This Row],[academic_performance]]&gt;2,"Good",Table1[[#This Row],[academic_performance]]&gt;3,"Very good",Table1[[#This Row],[academic_performance]]&gt;4,"Excellent")</f>
        <v>Need Improvement</v>
      </c>
      <c r="K734">
        <v>1.9</v>
      </c>
      <c r="L734" t="str">
        <f>IF(Table1[[#This Row],[physical_activity]]&gt;1.9,"better overall ","lower rate of depression")</f>
        <v>lower rate of depression</v>
      </c>
      <c r="M734" t="s">
        <v>18</v>
      </c>
      <c r="N734">
        <v>1</v>
      </c>
      <c r="O734">
        <v>9</v>
      </c>
      <c r="P734">
        <v>9</v>
      </c>
      <c r="Q734">
        <v>0</v>
      </c>
    </row>
    <row r="735" spans="1:17" x14ac:dyDescent="0.3">
      <c r="A735">
        <v>14</v>
      </c>
      <c r="B735" t="s">
        <v>13</v>
      </c>
      <c r="C735" t="str">
        <f>IF(Table1[[#This Row],[age]]&gt;18,"Adult","Teenage")</f>
        <v>Teenage</v>
      </c>
      <c r="D735">
        <v>6.2</v>
      </c>
      <c r="E735" t="s">
        <v>17</v>
      </c>
      <c r="F735">
        <v>4.4000000000000004</v>
      </c>
      <c r="G735">
        <f>Table1[[#This Row],[sleep_hours]]-Table1[[#This Row],[daily_social_media_hours]]</f>
        <v>-1.7999999999999998</v>
      </c>
      <c r="H735">
        <v>0.7</v>
      </c>
      <c r="I735">
        <v>3.45</v>
      </c>
      <c r="J735" t="str" cm="1">
        <f t="array" ref="J735">_xlfn.IFS(Table1[[#This Row],[academic_performance]]&gt;1,"Need Improvement",Table1[[#This Row],[academic_performance]]&gt;2,"Good",Table1[[#This Row],[academic_performance]]&gt;3,"Very good",Table1[[#This Row],[academic_performance]]&gt;4,"Excellent")</f>
        <v>Need Improvement</v>
      </c>
      <c r="K735">
        <v>0.5</v>
      </c>
      <c r="L735" t="str">
        <f>IF(Table1[[#This Row],[physical_activity]]&gt;1.9,"better overall ","lower rate of depression")</f>
        <v>lower rate of depression</v>
      </c>
      <c r="M735" t="s">
        <v>19</v>
      </c>
      <c r="N735">
        <v>9</v>
      </c>
      <c r="O735">
        <v>10</v>
      </c>
      <c r="P735">
        <v>3</v>
      </c>
      <c r="Q735">
        <v>1</v>
      </c>
    </row>
    <row r="736" spans="1:17" x14ac:dyDescent="0.3">
      <c r="A736">
        <v>16</v>
      </c>
      <c r="B736" t="s">
        <v>16</v>
      </c>
      <c r="C736" t="str">
        <f>IF(Table1[[#This Row],[age]]&gt;18,"Adult","Teenage")</f>
        <v>Teenage</v>
      </c>
      <c r="D736">
        <v>2.5</v>
      </c>
      <c r="E736" t="s">
        <v>14</v>
      </c>
      <c r="F736">
        <v>5.4</v>
      </c>
      <c r="G736">
        <f>Table1[[#This Row],[sleep_hours]]-Table1[[#This Row],[daily_social_media_hours]]</f>
        <v>2.9000000000000004</v>
      </c>
      <c r="H736">
        <v>2.2999999999999998</v>
      </c>
      <c r="I736">
        <v>3.43</v>
      </c>
      <c r="J736" t="str" cm="1">
        <f t="array" ref="J736">_xlfn.IFS(Table1[[#This Row],[academic_performance]]&gt;1,"Need Improvement",Table1[[#This Row],[academic_performance]]&gt;2,"Good",Table1[[#This Row],[academic_performance]]&gt;3,"Very good",Table1[[#This Row],[academic_performance]]&gt;4,"Excellent")</f>
        <v>Need Improvement</v>
      </c>
      <c r="K736">
        <v>0.5</v>
      </c>
      <c r="L736" t="str">
        <f>IF(Table1[[#This Row],[physical_activity]]&gt;1.9,"better overall ","lower rate of depression")</f>
        <v>lower rate of depression</v>
      </c>
      <c r="M736" t="s">
        <v>18</v>
      </c>
      <c r="N736">
        <v>9</v>
      </c>
      <c r="O736">
        <v>1</v>
      </c>
      <c r="P736">
        <v>2</v>
      </c>
      <c r="Q736">
        <v>0</v>
      </c>
    </row>
    <row r="737" spans="1:17" x14ac:dyDescent="0.3">
      <c r="A737">
        <v>16</v>
      </c>
      <c r="B737" t="s">
        <v>13</v>
      </c>
      <c r="C737" t="str">
        <f>IF(Table1[[#This Row],[age]]&gt;18,"Adult","Teenage")</f>
        <v>Teenage</v>
      </c>
      <c r="D737">
        <v>4.7</v>
      </c>
      <c r="E737" t="s">
        <v>20</v>
      </c>
      <c r="F737">
        <v>8.1999999999999993</v>
      </c>
      <c r="G737">
        <f>Table1[[#This Row],[sleep_hours]]-Table1[[#This Row],[daily_social_media_hours]]</f>
        <v>3.4999999999999991</v>
      </c>
      <c r="H737">
        <v>2.6</v>
      </c>
      <c r="I737">
        <v>3.05</v>
      </c>
      <c r="J737" t="str" cm="1">
        <f t="array" ref="J737">_xlfn.IFS(Table1[[#This Row],[academic_performance]]&gt;1,"Need Improvement",Table1[[#This Row],[academic_performance]]&gt;2,"Good",Table1[[#This Row],[academic_performance]]&gt;3,"Very good",Table1[[#This Row],[academic_performance]]&gt;4,"Excellent")</f>
        <v>Need Improvement</v>
      </c>
      <c r="K737">
        <v>1</v>
      </c>
      <c r="L737" t="str">
        <f>IF(Table1[[#This Row],[physical_activity]]&gt;1.9,"better overall ","lower rate of depression")</f>
        <v>lower rate of depression</v>
      </c>
      <c r="M737" t="s">
        <v>19</v>
      </c>
      <c r="N737">
        <v>4</v>
      </c>
      <c r="O737">
        <v>7</v>
      </c>
      <c r="P737">
        <v>2</v>
      </c>
      <c r="Q737">
        <v>0</v>
      </c>
    </row>
    <row r="738" spans="1:17" x14ac:dyDescent="0.3">
      <c r="A738">
        <v>16</v>
      </c>
      <c r="B738" t="s">
        <v>13</v>
      </c>
      <c r="C738" t="str">
        <f>IF(Table1[[#This Row],[age]]&gt;18,"Adult","Teenage")</f>
        <v>Teenage</v>
      </c>
      <c r="D738">
        <v>6.3</v>
      </c>
      <c r="E738" t="s">
        <v>14</v>
      </c>
      <c r="F738">
        <v>6.5</v>
      </c>
      <c r="G738">
        <f>Table1[[#This Row],[sleep_hours]]-Table1[[#This Row],[daily_social_media_hours]]</f>
        <v>0.20000000000000018</v>
      </c>
      <c r="H738">
        <v>1</v>
      </c>
      <c r="I738">
        <v>2.52</v>
      </c>
      <c r="J738" t="str" cm="1">
        <f t="array" ref="J738">_xlfn.IFS(Table1[[#This Row],[academic_performance]]&gt;1,"Need Improvement",Table1[[#This Row],[academic_performance]]&gt;2,"Good",Table1[[#This Row],[academic_performance]]&gt;3,"Very good",Table1[[#This Row],[academic_performance]]&gt;4,"Excellent")</f>
        <v>Need Improvement</v>
      </c>
      <c r="K738">
        <v>0.4</v>
      </c>
      <c r="L738" t="str">
        <f>IF(Table1[[#This Row],[physical_activity]]&gt;1.9,"better overall ","lower rate of depression")</f>
        <v>lower rate of depression</v>
      </c>
      <c r="M738" t="s">
        <v>15</v>
      </c>
      <c r="N738">
        <v>1</v>
      </c>
      <c r="O738">
        <v>10</v>
      </c>
      <c r="P738">
        <v>6</v>
      </c>
      <c r="Q738">
        <v>0</v>
      </c>
    </row>
    <row r="739" spans="1:17" x14ac:dyDescent="0.3">
      <c r="A739">
        <v>17</v>
      </c>
      <c r="B739" t="s">
        <v>16</v>
      </c>
      <c r="C739" t="str">
        <f>IF(Table1[[#This Row],[age]]&gt;18,"Adult","Teenage")</f>
        <v>Teenage</v>
      </c>
      <c r="D739">
        <v>7.5</v>
      </c>
      <c r="E739" t="s">
        <v>17</v>
      </c>
      <c r="F739">
        <v>5.4</v>
      </c>
      <c r="G739">
        <f>Table1[[#This Row],[sleep_hours]]-Table1[[#This Row],[daily_social_media_hours]]</f>
        <v>-2.0999999999999996</v>
      </c>
      <c r="H739">
        <v>2.2999999999999998</v>
      </c>
      <c r="I739">
        <v>3.44</v>
      </c>
      <c r="J739" t="str" cm="1">
        <f t="array" ref="J739">_xlfn.IFS(Table1[[#This Row],[academic_performance]]&gt;1,"Need Improvement",Table1[[#This Row],[academic_performance]]&gt;2,"Good",Table1[[#This Row],[academic_performance]]&gt;3,"Very good",Table1[[#This Row],[academic_performance]]&gt;4,"Excellent")</f>
        <v>Need Improvement</v>
      </c>
      <c r="K739">
        <v>0.4</v>
      </c>
      <c r="L739" t="str">
        <f>IF(Table1[[#This Row],[physical_activity]]&gt;1.9,"better overall ","lower rate of depression")</f>
        <v>lower rate of depression</v>
      </c>
      <c r="M739" t="s">
        <v>19</v>
      </c>
      <c r="N739">
        <v>7</v>
      </c>
      <c r="O739">
        <v>9</v>
      </c>
      <c r="P739">
        <v>7</v>
      </c>
      <c r="Q739">
        <v>1</v>
      </c>
    </row>
    <row r="740" spans="1:17" x14ac:dyDescent="0.3">
      <c r="A740">
        <v>18</v>
      </c>
      <c r="B740" t="s">
        <v>13</v>
      </c>
      <c r="C740" t="str">
        <f>IF(Table1[[#This Row],[age]]&gt;18,"Adult","Teenage")</f>
        <v>Teenage</v>
      </c>
      <c r="D740">
        <v>2</v>
      </c>
      <c r="E740" t="s">
        <v>17</v>
      </c>
      <c r="F740">
        <v>8.4</v>
      </c>
      <c r="G740">
        <f>Table1[[#This Row],[sleep_hours]]-Table1[[#This Row],[daily_social_media_hours]]</f>
        <v>6.4</v>
      </c>
      <c r="H740">
        <v>1.5</v>
      </c>
      <c r="I740">
        <v>2.83</v>
      </c>
      <c r="J740" t="str" cm="1">
        <f t="array" ref="J740">_xlfn.IFS(Table1[[#This Row],[academic_performance]]&gt;1,"Need Improvement",Table1[[#This Row],[academic_performance]]&gt;2,"Good",Table1[[#This Row],[academic_performance]]&gt;3,"Very good",Table1[[#This Row],[academic_performance]]&gt;4,"Excellent")</f>
        <v>Need Improvement</v>
      </c>
      <c r="K740">
        <v>1.2</v>
      </c>
      <c r="L740" t="str">
        <f>IF(Table1[[#This Row],[physical_activity]]&gt;1.9,"better overall ","lower rate of depression")</f>
        <v>lower rate of depression</v>
      </c>
      <c r="M740" t="s">
        <v>15</v>
      </c>
      <c r="N740">
        <v>9</v>
      </c>
      <c r="O740">
        <v>4</v>
      </c>
      <c r="P740">
        <v>5</v>
      </c>
      <c r="Q740">
        <v>0</v>
      </c>
    </row>
    <row r="741" spans="1:17" x14ac:dyDescent="0.3">
      <c r="A741">
        <v>13</v>
      </c>
      <c r="B741" t="s">
        <v>16</v>
      </c>
      <c r="C741" t="str">
        <f>IF(Table1[[#This Row],[age]]&gt;18,"Adult","Teenage")</f>
        <v>Teenage</v>
      </c>
      <c r="D741">
        <v>6.3</v>
      </c>
      <c r="E741" t="s">
        <v>14</v>
      </c>
      <c r="F741">
        <v>8.4</v>
      </c>
      <c r="G741">
        <f>Table1[[#This Row],[sleep_hours]]-Table1[[#This Row],[daily_social_media_hours]]</f>
        <v>2.1000000000000005</v>
      </c>
      <c r="H741">
        <v>1.6</v>
      </c>
      <c r="I741">
        <v>2.0299999999999998</v>
      </c>
      <c r="J741" t="str" cm="1">
        <f t="array" ref="J741">_xlfn.IFS(Table1[[#This Row],[academic_performance]]&gt;1,"Need Improvement",Table1[[#This Row],[academic_performance]]&gt;2,"Good",Table1[[#This Row],[academic_performance]]&gt;3,"Very good",Table1[[#This Row],[academic_performance]]&gt;4,"Excellent")</f>
        <v>Need Improvement</v>
      </c>
      <c r="K741">
        <v>1.5</v>
      </c>
      <c r="L741" t="str">
        <f>IF(Table1[[#This Row],[physical_activity]]&gt;1.9,"better overall ","lower rate of depression")</f>
        <v>lower rate of depression</v>
      </c>
      <c r="M741" t="s">
        <v>19</v>
      </c>
      <c r="N741">
        <v>5</v>
      </c>
      <c r="O741">
        <v>3</v>
      </c>
      <c r="P741">
        <v>9</v>
      </c>
      <c r="Q741">
        <v>0</v>
      </c>
    </row>
    <row r="742" spans="1:17" x14ac:dyDescent="0.3">
      <c r="A742">
        <v>16</v>
      </c>
      <c r="B742" t="s">
        <v>13</v>
      </c>
      <c r="C742" t="str">
        <f>IF(Table1[[#This Row],[age]]&gt;18,"Adult","Teenage")</f>
        <v>Teenage</v>
      </c>
      <c r="D742">
        <v>6.6</v>
      </c>
      <c r="E742" t="s">
        <v>20</v>
      </c>
      <c r="F742">
        <v>8.9</v>
      </c>
      <c r="G742">
        <f>Table1[[#This Row],[sleep_hours]]-Table1[[#This Row],[daily_social_media_hours]]</f>
        <v>2.3000000000000007</v>
      </c>
      <c r="H742">
        <v>2</v>
      </c>
      <c r="I742">
        <v>3.44</v>
      </c>
      <c r="J742" t="str" cm="1">
        <f t="array" ref="J742">_xlfn.IFS(Table1[[#This Row],[academic_performance]]&gt;1,"Need Improvement",Table1[[#This Row],[academic_performance]]&gt;2,"Good",Table1[[#This Row],[academic_performance]]&gt;3,"Very good",Table1[[#This Row],[academic_performance]]&gt;4,"Excellent")</f>
        <v>Need Improvement</v>
      </c>
      <c r="K742">
        <v>1.7</v>
      </c>
      <c r="L742" t="str">
        <f>IF(Table1[[#This Row],[physical_activity]]&gt;1.9,"better overall ","lower rate of depression")</f>
        <v>lower rate of depression</v>
      </c>
      <c r="M742" t="s">
        <v>15</v>
      </c>
      <c r="N742">
        <v>10</v>
      </c>
      <c r="O742">
        <v>9</v>
      </c>
      <c r="P742">
        <v>3</v>
      </c>
      <c r="Q742">
        <v>0</v>
      </c>
    </row>
    <row r="743" spans="1:17" x14ac:dyDescent="0.3">
      <c r="A743">
        <v>19</v>
      </c>
      <c r="B743" t="s">
        <v>16</v>
      </c>
      <c r="C743" t="str">
        <f>IF(Table1[[#This Row],[age]]&gt;18,"Adult","Teenage")</f>
        <v>Adult</v>
      </c>
      <c r="D743">
        <v>3.6</v>
      </c>
      <c r="E743" t="s">
        <v>20</v>
      </c>
      <c r="F743">
        <v>5.6</v>
      </c>
      <c r="G743">
        <f>Table1[[#This Row],[sleep_hours]]-Table1[[#This Row],[daily_social_media_hours]]</f>
        <v>1.9999999999999996</v>
      </c>
      <c r="H743">
        <v>1.7</v>
      </c>
      <c r="I743">
        <v>3.57</v>
      </c>
      <c r="J743" t="str" cm="1">
        <f t="array" ref="J743">_xlfn.IFS(Table1[[#This Row],[academic_performance]]&gt;1,"Need Improvement",Table1[[#This Row],[academic_performance]]&gt;2,"Good",Table1[[#This Row],[academic_performance]]&gt;3,"Very good",Table1[[#This Row],[academic_performance]]&gt;4,"Excellent")</f>
        <v>Need Improvement</v>
      </c>
      <c r="K743">
        <v>1.5</v>
      </c>
      <c r="L743" t="str">
        <f>IF(Table1[[#This Row],[physical_activity]]&gt;1.9,"better overall ","lower rate of depression")</f>
        <v>lower rate of depression</v>
      </c>
      <c r="M743" t="s">
        <v>15</v>
      </c>
      <c r="N743">
        <v>10</v>
      </c>
      <c r="O743">
        <v>4</v>
      </c>
      <c r="P743">
        <v>3</v>
      </c>
      <c r="Q743">
        <v>0</v>
      </c>
    </row>
    <row r="744" spans="1:17" x14ac:dyDescent="0.3">
      <c r="A744">
        <v>16</v>
      </c>
      <c r="B744" t="s">
        <v>16</v>
      </c>
      <c r="C744" t="str">
        <f>IF(Table1[[#This Row],[age]]&gt;18,"Adult","Teenage")</f>
        <v>Teenage</v>
      </c>
      <c r="D744">
        <v>3.2</v>
      </c>
      <c r="E744" t="s">
        <v>20</v>
      </c>
      <c r="F744">
        <v>4.5999999999999996</v>
      </c>
      <c r="G744">
        <f>Table1[[#This Row],[sleep_hours]]-Table1[[#This Row],[daily_social_media_hours]]</f>
        <v>1.3999999999999995</v>
      </c>
      <c r="H744">
        <v>2.5</v>
      </c>
      <c r="I744">
        <v>2.62</v>
      </c>
      <c r="J744" t="str" cm="1">
        <f t="array" ref="J744">_xlfn.IFS(Table1[[#This Row],[academic_performance]]&gt;1,"Need Improvement",Table1[[#This Row],[academic_performance]]&gt;2,"Good",Table1[[#This Row],[academic_performance]]&gt;3,"Very good",Table1[[#This Row],[academic_performance]]&gt;4,"Excellent")</f>
        <v>Need Improvement</v>
      </c>
      <c r="K744">
        <v>1.8</v>
      </c>
      <c r="L744" t="str">
        <f>IF(Table1[[#This Row],[physical_activity]]&gt;1.9,"better overall ","lower rate of depression")</f>
        <v>lower rate of depression</v>
      </c>
      <c r="M744" t="s">
        <v>15</v>
      </c>
      <c r="N744">
        <v>9</v>
      </c>
      <c r="O744">
        <v>5</v>
      </c>
      <c r="P744">
        <v>1</v>
      </c>
      <c r="Q744">
        <v>0</v>
      </c>
    </row>
    <row r="745" spans="1:17" x14ac:dyDescent="0.3">
      <c r="A745">
        <v>13</v>
      </c>
      <c r="B745" t="s">
        <v>16</v>
      </c>
      <c r="C745" t="str">
        <f>IF(Table1[[#This Row],[age]]&gt;18,"Adult","Teenage")</f>
        <v>Teenage</v>
      </c>
      <c r="D745">
        <v>3.1</v>
      </c>
      <c r="E745" t="s">
        <v>14</v>
      </c>
      <c r="F745">
        <v>6.4</v>
      </c>
      <c r="G745">
        <f>Table1[[#This Row],[sleep_hours]]-Table1[[#This Row],[daily_social_media_hours]]</f>
        <v>3.3000000000000003</v>
      </c>
      <c r="H745">
        <v>1.6</v>
      </c>
      <c r="I745">
        <v>3.69</v>
      </c>
      <c r="J745" t="str" cm="1">
        <f t="array" ref="J745">_xlfn.IFS(Table1[[#This Row],[academic_performance]]&gt;1,"Need Improvement",Table1[[#This Row],[academic_performance]]&gt;2,"Good",Table1[[#This Row],[academic_performance]]&gt;3,"Very good",Table1[[#This Row],[academic_performance]]&gt;4,"Excellent")</f>
        <v>Need Improvement</v>
      </c>
      <c r="K745">
        <v>0.9</v>
      </c>
      <c r="L745" t="str">
        <f>IF(Table1[[#This Row],[physical_activity]]&gt;1.9,"better overall ","lower rate of depression")</f>
        <v>lower rate of depression</v>
      </c>
      <c r="M745" t="s">
        <v>19</v>
      </c>
      <c r="N745">
        <v>1</v>
      </c>
      <c r="O745">
        <v>2</v>
      </c>
      <c r="P745">
        <v>1</v>
      </c>
      <c r="Q745">
        <v>0</v>
      </c>
    </row>
    <row r="746" spans="1:17" x14ac:dyDescent="0.3">
      <c r="A746">
        <v>18</v>
      </c>
      <c r="B746" t="s">
        <v>13</v>
      </c>
      <c r="C746" t="str">
        <f>IF(Table1[[#This Row],[age]]&gt;18,"Adult","Teenage")</f>
        <v>Teenage</v>
      </c>
      <c r="D746">
        <v>6.7</v>
      </c>
      <c r="E746" t="s">
        <v>14</v>
      </c>
      <c r="F746">
        <v>8.8000000000000007</v>
      </c>
      <c r="G746">
        <f>Table1[[#This Row],[sleep_hours]]-Table1[[#This Row],[daily_social_media_hours]]</f>
        <v>2.1000000000000005</v>
      </c>
      <c r="H746">
        <v>1.9</v>
      </c>
      <c r="I746">
        <v>2.5499999999999998</v>
      </c>
      <c r="J746" t="str" cm="1">
        <f t="array" ref="J746">_xlfn.IFS(Table1[[#This Row],[academic_performance]]&gt;1,"Need Improvement",Table1[[#This Row],[academic_performance]]&gt;2,"Good",Table1[[#This Row],[academic_performance]]&gt;3,"Very good",Table1[[#This Row],[academic_performance]]&gt;4,"Excellent")</f>
        <v>Need Improvement</v>
      </c>
      <c r="K746">
        <v>1</v>
      </c>
      <c r="L746" t="str">
        <f>IF(Table1[[#This Row],[physical_activity]]&gt;1.9,"better overall ","lower rate of depression")</f>
        <v>lower rate of depression</v>
      </c>
      <c r="M746" t="s">
        <v>15</v>
      </c>
      <c r="N746">
        <v>5</v>
      </c>
      <c r="O746">
        <v>8</v>
      </c>
      <c r="P746">
        <v>3</v>
      </c>
      <c r="Q746">
        <v>0</v>
      </c>
    </row>
    <row r="747" spans="1:17" x14ac:dyDescent="0.3">
      <c r="A747">
        <v>17</v>
      </c>
      <c r="B747" t="s">
        <v>13</v>
      </c>
      <c r="C747" t="str">
        <f>IF(Table1[[#This Row],[age]]&gt;18,"Adult","Teenage")</f>
        <v>Teenage</v>
      </c>
      <c r="D747">
        <v>6.6</v>
      </c>
      <c r="E747" t="s">
        <v>17</v>
      </c>
      <c r="F747">
        <v>8.1999999999999993</v>
      </c>
      <c r="G747">
        <f>Table1[[#This Row],[sleep_hours]]-Table1[[#This Row],[daily_social_media_hours]]</f>
        <v>1.5999999999999996</v>
      </c>
      <c r="H747">
        <v>0.7</v>
      </c>
      <c r="I747">
        <v>2.88</v>
      </c>
      <c r="J747" t="str" cm="1">
        <f t="array" ref="J747">_xlfn.IFS(Table1[[#This Row],[academic_performance]]&gt;1,"Need Improvement",Table1[[#This Row],[academic_performance]]&gt;2,"Good",Table1[[#This Row],[academic_performance]]&gt;3,"Very good",Table1[[#This Row],[academic_performance]]&gt;4,"Excellent")</f>
        <v>Need Improvement</v>
      </c>
      <c r="K747">
        <v>0.8</v>
      </c>
      <c r="L747" t="str">
        <f>IF(Table1[[#This Row],[physical_activity]]&gt;1.9,"better overall ","lower rate of depression")</f>
        <v>lower rate of depression</v>
      </c>
      <c r="M747" t="s">
        <v>15</v>
      </c>
      <c r="N747">
        <v>1</v>
      </c>
      <c r="O747">
        <v>7</v>
      </c>
      <c r="P747">
        <v>7</v>
      </c>
      <c r="Q747">
        <v>0</v>
      </c>
    </row>
    <row r="748" spans="1:17" x14ac:dyDescent="0.3">
      <c r="A748">
        <v>14</v>
      </c>
      <c r="B748" t="s">
        <v>16</v>
      </c>
      <c r="C748" t="str">
        <f>IF(Table1[[#This Row],[age]]&gt;18,"Adult","Teenage")</f>
        <v>Teenage</v>
      </c>
      <c r="D748">
        <v>7</v>
      </c>
      <c r="E748" t="s">
        <v>14</v>
      </c>
      <c r="F748">
        <v>4.5</v>
      </c>
      <c r="G748">
        <f>Table1[[#This Row],[sleep_hours]]-Table1[[#This Row],[daily_social_media_hours]]</f>
        <v>-2.5</v>
      </c>
      <c r="H748">
        <v>1.6</v>
      </c>
      <c r="I748">
        <v>2.83</v>
      </c>
      <c r="J748" t="str" cm="1">
        <f t="array" ref="J748">_xlfn.IFS(Table1[[#This Row],[academic_performance]]&gt;1,"Need Improvement",Table1[[#This Row],[academic_performance]]&gt;2,"Good",Table1[[#This Row],[academic_performance]]&gt;3,"Very good",Table1[[#This Row],[academic_performance]]&gt;4,"Excellent")</f>
        <v>Need Improvement</v>
      </c>
      <c r="K748">
        <v>0.4</v>
      </c>
      <c r="L748" t="str">
        <f>IF(Table1[[#This Row],[physical_activity]]&gt;1.9,"better overall ","lower rate of depression")</f>
        <v>lower rate of depression</v>
      </c>
      <c r="M748" t="s">
        <v>19</v>
      </c>
      <c r="N748">
        <v>8</v>
      </c>
      <c r="O748">
        <v>1</v>
      </c>
      <c r="P748">
        <v>7</v>
      </c>
      <c r="Q748">
        <v>0</v>
      </c>
    </row>
    <row r="749" spans="1:17" x14ac:dyDescent="0.3">
      <c r="A749">
        <v>16</v>
      </c>
      <c r="B749" t="s">
        <v>16</v>
      </c>
      <c r="C749" t="str">
        <f>IF(Table1[[#This Row],[age]]&gt;18,"Adult","Teenage")</f>
        <v>Teenage</v>
      </c>
      <c r="D749">
        <v>4.8</v>
      </c>
      <c r="E749" t="s">
        <v>20</v>
      </c>
      <c r="F749">
        <v>5.0999999999999996</v>
      </c>
      <c r="G749">
        <f>Table1[[#This Row],[sleep_hours]]-Table1[[#This Row],[daily_social_media_hours]]</f>
        <v>0.29999999999999982</v>
      </c>
      <c r="H749">
        <v>2.1</v>
      </c>
      <c r="I749">
        <v>2.4900000000000002</v>
      </c>
      <c r="J749" t="str" cm="1">
        <f t="array" ref="J749">_xlfn.IFS(Table1[[#This Row],[academic_performance]]&gt;1,"Need Improvement",Table1[[#This Row],[academic_performance]]&gt;2,"Good",Table1[[#This Row],[academic_performance]]&gt;3,"Very good",Table1[[#This Row],[academic_performance]]&gt;4,"Excellent")</f>
        <v>Need Improvement</v>
      </c>
      <c r="K749">
        <v>1.6</v>
      </c>
      <c r="L749" t="str">
        <f>IF(Table1[[#This Row],[physical_activity]]&gt;1.9,"better overall ","lower rate of depression")</f>
        <v>lower rate of depression</v>
      </c>
      <c r="M749" t="s">
        <v>15</v>
      </c>
      <c r="N749">
        <v>4</v>
      </c>
      <c r="O749">
        <v>9</v>
      </c>
      <c r="P749">
        <v>1</v>
      </c>
      <c r="Q749">
        <v>0</v>
      </c>
    </row>
    <row r="750" spans="1:17" x14ac:dyDescent="0.3">
      <c r="A750">
        <v>13</v>
      </c>
      <c r="B750" t="s">
        <v>16</v>
      </c>
      <c r="C750" t="str">
        <f>IF(Table1[[#This Row],[age]]&gt;18,"Adult","Teenage")</f>
        <v>Teenage</v>
      </c>
      <c r="D750">
        <v>5.8</v>
      </c>
      <c r="E750" t="s">
        <v>14</v>
      </c>
      <c r="F750">
        <v>6.3</v>
      </c>
      <c r="G750">
        <f>Table1[[#This Row],[sleep_hours]]-Table1[[#This Row],[daily_social_media_hours]]</f>
        <v>0.5</v>
      </c>
      <c r="H750">
        <v>1.1000000000000001</v>
      </c>
      <c r="I750">
        <v>3.09</v>
      </c>
      <c r="J750" t="str" cm="1">
        <f t="array" ref="J750">_xlfn.IFS(Table1[[#This Row],[academic_performance]]&gt;1,"Need Improvement",Table1[[#This Row],[academic_performance]]&gt;2,"Good",Table1[[#This Row],[academic_performance]]&gt;3,"Very good",Table1[[#This Row],[academic_performance]]&gt;4,"Excellent")</f>
        <v>Need Improvement</v>
      </c>
      <c r="K750">
        <v>0.9</v>
      </c>
      <c r="L750" t="str">
        <f>IF(Table1[[#This Row],[physical_activity]]&gt;1.9,"better overall ","lower rate of depression")</f>
        <v>lower rate of depression</v>
      </c>
      <c r="M750" t="s">
        <v>19</v>
      </c>
      <c r="N750">
        <v>8</v>
      </c>
      <c r="O750">
        <v>4</v>
      </c>
      <c r="P750">
        <v>9</v>
      </c>
      <c r="Q750">
        <v>0</v>
      </c>
    </row>
    <row r="751" spans="1:17" x14ac:dyDescent="0.3">
      <c r="A751">
        <v>19</v>
      </c>
      <c r="B751" t="s">
        <v>16</v>
      </c>
      <c r="C751" t="str">
        <f>IF(Table1[[#This Row],[age]]&gt;18,"Adult","Teenage")</f>
        <v>Adult</v>
      </c>
      <c r="D751">
        <v>6</v>
      </c>
      <c r="E751" t="s">
        <v>20</v>
      </c>
      <c r="F751">
        <v>6.3</v>
      </c>
      <c r="G751">
        <f>Table1[[#This Row],[sleep_hours]]-Table1[[#This Row],[daily_social_media_hours]]</f>
        <v>0.29999999999999982</v>
      </c>
      <c r="H751">
        <v>2.8</v>
      </c>
      <c r="I751">
        <v>3.98</v>
      </c>
      <c r="J751" t="str" cm="1">
        <f t="array" ref="J751">_xlfn.IFS(Table1[[#This Row],[academic_performance]]&gt;1,"Need Improvement",Table1[[#This Row],[academic_performance]]&gt;2,"Good",Table1[[#This Row],[academic_performance]]&gt;3,"Very good",Table1[[#This Row],[academic_performance]]&gt;4,"Excellent")</f>
        <v>Need Improvement</v>
      </c>
      <c r="K751">
        <v>2</v>
      </c>
      <c r="L751" t="str">
        <f>IF(Table1[[#This Row],[physical_activity]]&gt;1.9,"better overall ","lower rate of depression")</f>
        <v xml:space="preserve">better overall </v>
      </c>
      <c r="M751" t="s">
        <v>19</v>
      </c>
      <c r="N751">
        <v>2</v>
      </c>
      <c r="O751">
        <v>6</v>
      </c>
      <c r="P751">
        <v>2</v>
      </c>
      <c r="Q751">
        <v>0</v>
      </c>
    </row>
    <row r="752" spans="1:17" x14ac:dyDescent="0.3">
      <c r="A752">
        <v>15</v>
      </c>
      <c r="B752" t="s">
        <v>13</v>
      </c>
      <c r="C752" t="str">
        <f>IF(Table1[[#This Row],[age]]&gt;18,"Adult","Teenage")</f>
        <v>Teenage</v>
      </c>
      <c r="D752">
        <v>4</v>
      </c>
      <c r="E752" t="s">
        <v>20</v>
      </c>
      <c r="F752">
        <v>5.2</v>
      </c>
      <c r="G752">
        <f>Table1[[#This Row],[sleep_hours]]-Table1[[#This Row],[daily_social_media_hours]]</f>
        <v>1.2000000000000002</v>
      </c>
      <c r="H752">
        <v>1.8</v>
      </c>
      <c r="I752">
        <v>3.3</v>
      </c>
      <c r="J752" t="str" cm="1">
        <f t="array" ref="J752">_xlfn.IFS(Table1[[#This Row],[academic_performance]]&gt;1,"Need Improvement",Table1[[#This Row],[academic_performance]]&gt;2,"Good",Table1[[#This Row],[academic_performance]]&gt;3,"Very good",Table1[[#This Row],[academic_performance]]&gt;4,"Excellent")</f>
        <v>Need Improvement</v>
      </c>
      <c r="K752">
        <v>0.7</v>
      </c>
      <c r="L752" t="str">
        <f>IF(Table1[[#This Row],[physical_activity]]&gt;1.9,"better overall ","lower rate of depression")</f>
        <v>lower rate of depression</v>
      </c>
      <c r="M752" t="s">
        <v>19</v>
      </c>
      <c r="N752">
        <v>10</v>
      </c>
      <c r="O752">
        <v>5</v>
      </c>
      <c r="P752">
        <v>1</v>
      </c>
      <c r="Q752">
        <v>0</v>
      </c>
    </row>
    <row r="753" spans="1:17" x14ac:dyDescent="0.3">
      <c r="A753">
        <v>14</v>
      </c>
      <c r="B753" t="s">
        <v>16</v>
      </c>
      <c r="C753" t="str">
        <f>IF(Table1[[#This Row],[age]]&gt;18,"Adult","Teenage")</f>
        <v>Teenage</v>
      </c>
      <c r="D753">
        <v>5.8</v>
      </c>
      <c r="E753" t="s">
        <v>20</v>
      </c>
      <c r="F753">
        <v>4.8</v>
      </c>
      <c r="G753">
        <f>Table1[[#This Row],[sleep_hours]]-Table1[[#This Row],[daily_social_media_hours]]</f>
        <v>-1</v>
      </c>
      <c r="H753">
        <v>2.6</v>
      </c>
      <c r="I753">
        <v>2.08</v>
      </c>
      <c r="J753" t="str" cm="1">
        <f t="array" ref="J753">_xlfn.IFS(Table1[[#This Row],[academic_performance]]&gt;1,"Need Improvement",Table1[[#This Row],[academic_performance]]&gt;2,"Good",Table1[[#This Row],[academic_performance]]&gt;3,"Very good",Table1[[#This Row],[academic_performance]]&gt;4,"Excellent")</f>
        <v>Need Improvement</v>
      </c>
      <c r="K753">
        <v>0.8</v>
      </c>
      <c r="L753" t="str">
        <f>IF(Table1[[#This Row],[physical_activity]]&gt;1.9,"better overall ","lower rate of depression")</f>
        <v>lower rate of depression</v>
      </c>
      <c r="M753" t="s">
        <v>19</v>
      </c>
      <c r="N753">
        <v>6</v>
      </c>
      <c r="O753">
        <v>4</v>
      </c>
      <c r="P753">
        <v>9</v>
      </c>
      <c r="Q753">
        <v>0</v>
      </c>
    </row>
    <row r="754" spans="1:17" x14ac:dyDescent="0.3">
      <c r="A754">
        <v>19</v>
      </c>
      <c r="B754" t="s">
        <v>13</v>
      </c>
      <c r="C754" t="str">
        <f>IF(Table1[[#This Row],[age]]&gt;18,"Adult","Teenage")</f>
        <v>Adult</v>
      </c>
      <c r="D754">
        <v>5.2</v>
      </c>
      <c r="E754" t="s">
        <v>14</v>
      </c>
      <c r="F754">
        <v>7.6</v>
      </c>
      <c r="G754">
        <f>Table1[[#This Row],[sleep_hours]]-Table1[[#This Row],[daily_social_media_hours]]</f>
        <v>2.3999999999999995</v>
      </c>
      <c r="H754">
        <v>1.3</v>
      </c>
      <c r="I754">
        <v>3.89</v>
      </c>
      <c r="J754" t="str" cm="1">
        <f t="array" ref="J754">_xlfn.IFS(Table1[[#This Row],[academic_performance]]&gt;1,"Need Improvement",Table1[[#This Row],[academic_performance]]&gt;2,"Good",Table1[[#This Row],[academic_performance]]&gt;3,"Very good",Table1[[#This Row],[academic_performance]]&gt;4,"Excellent")</f>
        <v>Need Improvement</v>
      </c>
      <c r="K754">
        <v>1.5</v>
      </c>
      <c r="L754" t="str">
        <f>IF(Table1[[#This Row],[physical_activity]]&gt;1.9,"better overall ","lower rate of depression")</f>
        <v>lower rate of depression</v>
      </c>
      <c r="M754" t="s">
        <v>18</v>
      </c>
      <c r="N754">
        <v>4</v>
      </c>
      <c r="O754">
        <v>5</v>
      </c>
      <c r="P754">
        <v>8</v>
      </c>
      <c r="Q754">
        <v>0</v>
      </c>
    </row>
    <row r="755" spans="1:17" x14ac:dyDescent="0.3">
      <c r="A755">
        <v>17</v>
      </c>
      <c r="B755" t="s">
        <v>13</v>
      </c>
      <c r="C755" t="str">
        <f>IF(Table1[[#This Row],[age]]&gt;18,"Adult","Teenage")</f>
        <v>Teenage</v>
      </c>
      <c r="D755">
        <v>2.9</v>
      </c>
      <c r="E755" t="s">
        <v>20</v>
      </c>
      <c r="F755">
        <v>6.7</v>
      </c>
      <c r="G755">
        <f>Table1[[#This Row],[sleep_hours]]-Table1[[#This Row],[daily_social_media_hours]]</f>
        <v>3.8000000000000003</v>
      </c>
      <c r="H755">
        <v>1.5</v>
      </c>
      <c r="I755">
        <v>3.62</v>
      </c>
      <c r="J755" t="str" cm="1">
        <f t="array" ref="J755">_xlfn.IFS(Table1[[#This Row],[academic_performance]]&gt;1,"Need Improvement",Table1[[#This Row],[academic_performance]]&gt;2,"Good",Table1[[#This Row],[academic_performance]]&gt;3,"Very good",Table1[[#This Row],[academic_performance]]&gt;4,"Excellent")</f>
        <v>Need Improvement</v>
      </c>
      <c r="K755">
        <v>0.8</v>
      </c>
      <c r="L755" t="str">
        <f>IF(Table1[[#This Row],[physical_activity]]&gt;1.9,"better overall ","lower rate of depression")</f>
        <v>lower rate of depression</v>
      </c>
      <c r="M755" t="s">
        <v>19</v>
      </c>
      <c r="N755">
        <v>10</v>
      </c>
      <c r="O755">
        <v>6</v>
      </c>
      <c r="P755">
        <v>4</v>
      </c>
      <c r="Q755">
        <v>0</v>
      </c>
    </row>
    <row r="756" spans="1:17" x14ac:dyDescent="0.3">
      <c r="A756">
        <v>18</v>
      </c>
      <c r="B756" t="s">
        <v>16</v>
      </c>
      <c r="C756" t="str">
        <f>IF(Table1[[#This Row],[age]]&gt;18,"Adult","Teenage")</f>
        <v>Teenage</v>
      </c>
      <c r="D756">
        <v>7.5</v>
      </c>
      <c r="E756" t="s">
        <v>17</v>
      </c>
      <c r="F756">
        <v>7.5</v>
      </c>
      <c r="G756">
        <f>Table1[[#This Row],[sleep_hours]]-Table1[[#This Row],[daily_social_media_hours]]</f>
        <v>0</v>
      </c>
      <c r="H756">
        <v>1.4</v>
      </c>
      <c r="I756">
        <v>3.14</v>
      </c>
      <c r="J756" t="str" cm="1">
        <f t="array" ref="J756">_xlfn.IFS(Table1[[#This Row],[academic_performance]]&gt;1,"Need Improvement",Table1[[#This Row],[academic_performance]]&gt;2,"Good",Table1[[#This Row],[academic_performance]]&gt;3,"Very good",Table1[[#This Row],[academic_performance]]&gt;4,"Excellent")</f>
        <v>Need Improvement</v>
      </c>
      <c r="K756">
        <v>2</v>
      </c>
      <c r="L756" t="str">
        <f>IF(Table1[[#This Row],[physical_activity]]&gt;1.9,"better overall ","lower rate of depression")</f>
        <v xml:space="preserve">better overall </v>
      </c>
      <c r="M756" t="s">
        <v>15</v>
      </c>
      <c r="N756">
        <v>2</v>
      </c>
      <c r="O756">
        <v>9</v>
      </c>
      <c r="P756">
        <v>2</v>
      </c>
      <c r="Q756">
        <v>0</v>
      </c>
    </row>
    <row r="757" spans="1:17" x14ac:dyDescent="0.3">
      <c r="A757">
        <v>13</v>
      </c>
      <c r="B757" t="s">
        <v>16</v>
      </c>
      <c r="C757" t="str">
        <f>IF(Table1[[#This Row],[age]]&gt;18,"Adult","Teenage")</f>
        <v>Teenage</v>
      </c>
      <c r="D757">
        <v>5.8</v>
      </c>
      <c r="E757" t="s">
        <v>14</v>
      </c>
      <c r="F757">
        <v>6.1</v>
      </c>
      <c r="G757">
        <f>Table1[[#This Row],[sleep_hours]]-Table1[[#This Row],[daily_social_media_hours]]</f>
        <v>0.29999999999999982</v>
      </c>
      <c r="H757">
        <v>1.2</v>
      </c>
      <c r="I757">
        <v>3.81</v>
      </c>
      <c r="J757" t="str" cm="1">
        <f t="array" ref="J757">_xlfn.IFS(Table1[[#This Row],[academic_performance]]&gt;1,"Need Improvement",Table1[[#This Row],[academic_performance]]&gt;2,"Good",Table1[[#This Row],[academic_performance]]&gt;3,"Very good",Table1[[#This Row],[academic_performance]]&gt;4,"Excellent")</f>
        <v>Need Improvement</v>
      </c>
      <c r="K757">
        <v>1.8</v>
      </c>
      <c r="L757" t="str">
        <f>IF(Table1[[#This Row],[physical_activity]]&gt;1.9,"better overall ","lower rate of depression")</f>
        <v>lower rate of depression</v>
      </c>
      <c r="M757" t="s">
        <v>19</v>
      </c>
      <c r="N757">
        <v>6</v>
      </c>
      <c r="O757">
        <v>10</v>
      </c>
      <c r="P757">
        <v>6</v>
      </c>
      <c r="Q757">
        <v>0</v>
      </c>
    </row>
    <row r="758" spans="1:17" x14ac:dyDescent="0.3">
      <c r="A758">
        <v>14</v>
      </c>
      <c r="B758" t="s">
        <v>13</v>
      </c>
      <c r="C758" t="str">
        <f>IF(Table1[[#This Row],[age]]&gt;18,"Adult","Teenage")</f>
        <v>Teenage</v>
      </c>
      <c r="D758">
        <v>7.6</v>
      </c>
      <c r="E758" t="s">
        <v>14</v>
      </c>
      <c r="F758">
        <v>5.8</v>
      </c>
      <c r="G758">
        <f>Table1[[#This Row],[sleep_hours]]-Table1[[#This Row],[daily_social_media_hours]]</f>
        <v>-1.7999999999999998</v>
      </c>
      <c r="H758">
        <v>1.9</v>
      </c>
      <c r="I758">
        <v>3.49</v>
      </c>
      <c r="J758" t="str" cm="1">
        <f t="array" ref="J758">_xlfn.IFS(Table1[[#This Row],[academic_performance]]&gt;1,"Need Improvement",Table1[[#This Row],[academic_performance]]&gt;2,"Good",Table1[[#This Row],[academic_performance]]&gt;3,"Very good",Table1[[#This Row],[academic_performance]]&gt;4,"Excellent")</f>
        <v>Need Improvement</v>
      </c>
      <c r="K758">
        <v>1.7</v>
      </c>
      <c r="L758" t="str">
        <f>IF(Table1[[#This Row],[physical_activity]]&gt;1.9,"better overall ","lower rate of depression")</f>
        <v>lower rate of depression</v>
      </c>
      <c r="M758" t="s">
        <v>18</v>
      </c>
      <c r="N758">
        <v>10</v>
      </c>
      <c r="O758">
        <v>1</v>
      </c>
      <c r="P758">
        <v>3</v>
      </c>
      <c r="Q758">
        <v>0</v>
      </c>
    </row>
    <row r="759" spans="1:17" x14ac:dyDescent="0.3">
      <c r="A759">
        <v>15</v>
      </c>
      <c r="B759" t="s">
        <v>16</v>
      </c>
      <c r="C759" t="str">
        <f>IF(Table1[[#This Row],[age]]&gt;18,"Adult","Teenage")</f>
        <v>Teenage</v>
      </c>
      <c r="D759">
        <v>1.3</v>
      </c>
      <c r="E759" t="s">
        <v>17</v>
      </c>
      <c r="F759">
        <v>7.6</v>
      </c>
      <c r="G759">
        <f>Table1[[#This Row],[sleep_hours]]-Table1[[#This Row],[daily_social_media_hours]]</f>
        <v>6.3</v>
      </c>
      <c r="H759">
        <v>0.6</v>
      </c>
      <c r="I759">
        <v>3.46</v>
      </c>
      <c r="J759" t="str" cm="1">
        <f t="array" ref="J759">_xlfn.IFS(Table1[[#This Row],[academic_performance]]&gt;1,"Need Improvement",Table1[[#This Row],[academic_performance]]&gt;2,"Good",Table1[[#This Row],[academic_performance]]&gt;3,"Very good",Table1[[#This Row],[academic_performance]]&gt;4,"Excellent")</f>
        <v>Need Improvement</v>
      </c>
      <c r="K759">
        <v>1.9</v>
      </c>
      <c r="L759" t="str">
        <f>IF(Table1[[#This Row],[physical_activity]]&gt;1.9,"better overall ","lower rate of depression")</f>
        <v>lower rate of depression</v>
      </c>
      <c r="M759" t="s">
        <v>15</v>
      </c>
      <c r="N759">
        <v>1</v>
      </c>
      <c r="O759">
        <v>1</v>
      </c>
      <c r="P759">
        <v>4</v>
      </c>
      <c r="Q759">
        <v>0</v>
      </c>
    </row>
    <row r="760" spans="1:17" x14ac:dyDescent="0.3">
      <c r="A760">
        <v>15</v>
      </c>
      <c r="B760" t="s">
        <v>13</v>
      </c>
      <c r="C760" t="str">
        <f>IF(Table1[[#This Row],[age]]&gt;18,"Adult","Teenage")</f>
        <v>Teenage</v>
      </c>
      <c r="D760">
        <v>3.7</v>
      </c>
      <c r="E760" t="s">
        <v>20</v>
      </c>
      <c r="F760">
        <v>5.7</v>
      </c>
      <c r="G760">
        <f>Table1[[#This Row],[sleep_hours]]-Table1[[#This Row],[daily_social_media_hours]]</f>
        <v>2</v>
      </c>
      <c r="H760">
        <v>1.3</v>
      </c>
      <c r="I760">
        <v>3.24</v>
      </c>
      <c r="J760" t="str" cm="1">
        <f t="array" ref="J760">_xlfn.IFS(Table1[[#This Row],[academic_performance]]&gt;1,"Need Improvement",Table1[[#This Row],[academic_performance]]&gt;2,"Good",Table1[[#This Row],[academic_performance]]&gt;3,"Very good",Table1[[#This Row],[academic_performance]]&gt;4,"Excellent")</f>
        <v>Need Improvement</v>
      </c>
      <c r="K760">
        <v>0.2</v>
      </c>
      <c r="L760" t="str">
        <f>IF(Table1[[#This Row],[physical_activity]]&gt;1.9,"better overall ","lower rate of depression")</f>
        <v>lower rate of depression</v>
      </c>
      <c r="M760" t="s">
        <v>15</v>
      </c>
      <c r="N760">
        <v>4</v>
      </c>
      <c r="O760">
        <v>9</v>
      </c>
      <c r="P760">
        <v>10</v>
      </c>
      <c r="Q760">
        <v>0</v>
      </c>
    </row>
    <row r="761" spans="1:17" x14ac:dyDescent="0.3">
      <c r="A761">
        <v>18</v>
      </c>
      <c r="B761" t="s">
        <v>13</v>
      </c>
      <c r="C761" t="str">
        <f>IF(Table1[[#This Row],[age]]&gt;18,"Adult","Teenage")</f>
        <v>Teenage</v>
      </c>
      <c r="D761">
        <v>3.6</v>
      </c>
      <c r="E761" t="s">
        <v>14</v>
      </c>
      <c r="F761">
        <v>4.7</v>
      </c>
      <c r="G761">
        <f>Table1[[#This Row],[sleep_hours]]-Table1[[#This Row],[daily_social_media_hours]]</f>
        <v>1.1000000000000001</v>
      </c>
      <c r="H761">
        <v>2.5</v>
      </c>
      <c r="I761">
        <v>2.73</v>
      </c>
      <c r="J761" t="str" cm="1">
        <f t="array" ref="J761">_xlfn.IFS(Table1[[#This Row],[academic_performance]]&gt;1,"Need Improvement",Table1[[#This Row],[academic_performance]]&gt;2,"Good",Table1[[#This Row],[academic_performance]]&gt;3,"Very good",Table1[[#This Row],[academic_performance]]&gt;4,"Excellent")</f>
        <v>Need Improvement</v>
      </c>
      <c r="K761">
        <v>1.2</v>
      </c>
      <c r="L761" t="str">
        <f>IF(Table1[[#This Row],[physical_activity]]&gt;1.9,"better overall ","lower rate of depression")</f>
        <v>lower rate of depression</v>
      </c>
      <c r="M761" t="s">
        <v>19</v>
      </c>
      <c r="N761">
        <v>9</v>
      </c>
      <c r="O761">
        <v>7</v>
      </c>
      <c r="P761">
        <v>6</v>
      </c>
      <c r="Q761">
        <v>0</v>
      </c>
    </row>
    <row r="762" spans="1:17" x14ac:dyDescent="0.3">
      <c r="A762">
        <v>15</v>
      </c>
      <c r="B762" t="s">
        <v>13</v>
      </c>
      <c r="C762" t="str">
        <f>IF(Table1[[#This Row],[age]]&gt;18,"Adult","Teenage")</f>
        <v>Teenage</v>
      </c>
      <c r="D762">
        <v>6.4</v>
      </c>
      <c r="E762" t="s">
        <v>17</v>
      </c>
      <c r="F762">
        <v>6.9</v>
      </c>
      <c r="G762">
        <f>Table1[[#This Row],[sleep_hours]]-Table1[[#This Row],[daily_social_media_hours]]</f>
        <v>0.5</v>
      </c>
      <c r="H762">
        <v>2.9</v>
      </c>
      <c r="I762">
        <v>2.48</v>
      </c>
      <c r="J762" t="str" cm="1">
        <f t="array" ref="J762">_xlfn.IFS(Table1[[#This Row],[academic_performance]]&gt;1,"Need Improvement",Table1[[#This Row],[academic_performance]]&gt;2,"Good",Table1[[#This Row],[academic_performance]]&gt;3,"Very good",Table1[[#This Row],[academic_performance]]&gt;4,"Excellent")</f>
        <v>Need Improvement</v>
      </c>
      <c r="K762">
        <v>0.9</v>
      </c>
      <c r="L762" t="str">
        <f>IF(Table1[[#This Row],[physical_activity]]&gt;1.9,"better overall ","lower rate of depression")</f>
        <v>lower rate of depression</v>
      </c>
      <c r="M762" t="s">
        <v>15</v>
      </c>
      <c r="N762">
        <v>8</v>
      </c>
      <c r="O762">
        <v>4</v>
      </c>
      <c r="P762">
        <v>8</v>
      </c>
      <c r="Q762">
        <v>0</v>
      </c>
    </row>
    <row r="763" spans="1:17" x14ac:dyDescent="0.3">
      <c r="A763">
        <v>13</v>
      </c>
      <c r="B763" t="s">
        <v>13</v>
      </c>
      <c r="C763" t="str">
        <f>IF(Table1[[#This Row],[age]]&gt;18,"Adult","Teenage")</f>
        <v>Teenage</v>
      </c>
      <c r="D763">
        <v>6</v>
      </c>
      <c r="E763" t="s">
        <v>17</v>
      </c>
      <c r="F763">
        <v>4.8</v>
      </c>
      <c r="G763">
        <f>Table1[[#This Row],[sleep_hours]]-Table1[[#This Row],[daily_social_media_hours]]</f>
        <v>-1.2000000000000002</v>
      </c>
      <c r="H763">
        <v>2.6</v>
      </c>
      <c r="I763">
        <v>2.74</v>
      </c>
      <c r="J763" t="str" cm="1">
        <f t="array" ref="J763">_xlfn.IFS(Table1[[#This Row],[academic_performance]]&gt;1,"Need Improvement",Table1[[#This Row],[academic_performance]]&gt;2,"Good",Table1[[#This Row],[academic_performance]]&gt;3,"Very good",Table1[[#This Row],[academic_performance]]&gt;4,"Excellent")</f>
        <v>Need Improvement</v>
      </c>
      <c r="K763">
        <v>1.6</v>
      </c>
      <c r="L763" t="str">
        <f>IF(Table1[[#This Row],[physical_activity]]&gt;1.9,"better overall ","lower rate of depression")</f>
        <v>lower rate of depression</v>
      </c>
      <c r="M763" t="s">
        <v>18</v>
      </c>
      <c r="N763">
        <v>6</v>
      </c>
      <c r="O763">
        <v>10</v>
      </c>
      <c r="P763">
        <v>8</v>
      </c>
      <c r="Q763">
        <v>0</v>
      </c>
    </row>
    <row r="764" spans="1:17" x14ac:dyDescent="0.3">
      <c r="A764">
        <v>14</v>
      </c>
      <c r="B764" t="s">
        <v>16</v>
      </c>
      <c r="C764" t="str">
        <f>IF(Table1[[#This Row],[age]]&gt;18,"Adult","Teenage")</f>
        <v>Teenage</v>
      </c>
      <c r="D764">
        <v>1.3</v>
      </c>
      <c r="E764" t="s">
        <v>17</v>
      </c>
      <c r="F764">
        <v>7.7</v>
      </c>
      <c r="G764">
        <f>Table1[[#This Row],[sleep_hours]]-Table1[[#This Row],[daily_social_media_hours]]</f>
        <v>6.4</v>
      </c>
      <c r="H764">
        <v>1.9</v>
      </c>
      <c r="I764">
        <v>2.27</v>
      </c>
      <c r="J764" t="str" cm="1">
        <f t="array" ref="J764">_xlfn.IFS(Table1[[#This Row],[academic_performance]]&gt;1,"Need Improvement",Table1[[#This Row],[academic_performance]]&gt;2,"Good",Table1[[#This Row],[academic_performance]]&gt;3,"Very good",Table1[[#This Row],[academic_performance]]&gt;4,"Excellent")</f>
        <v>Need Improvement</v>
      </c>
      <c r="K764">
        <v>1.5</v>
      </c>
      <c r="L764" t="str">
        <f>IF(Table1[[#This Row],[physical_activity]]&gt;1.9,"better overall ","lower rate of depression")</f>
        <v>lower rate of depression</v>
      </c>
      <c r="M764" t="s">
        <v>15</v>
      </c>
      <c r="N764">
        <v>7</v>
      </c>
      <c r="O764">
        <v>2</v>
      </c>
      <c r="P764">
        <v>2</v>
      </c>
      <c r="Q764">
        <v>0</v>
      </c>
    </row>
    <row r="765" spans="1:17" x14ac:dyDescent="0.3">
      <c r="A765">
        <v>18</v>
      </c>
      <c r="B765" t="s">
        <v>13</v>
      </c>
      <c r="C765" t="str">
        <f>IF(Table1[[#This Row],[age]]&gt;18,"Adult","Teenage")</f>
        <v>Teenage</v>
      </c>
      <c r="D765">
        <v>3.7</v>
      </c>
      <c r="E765" t="s">
        <v>14</v>
      </c>
      <c r="F765">
        <v>7</v>
      </c>
      <c r="G765">
        <f>Table1[[#This Row],[sleep_hours]]-Table1[[#This Row],[daily_social_media_hours]]</f>
        <v>3.3</v>
      </c>
      <c r="H765">
        <v>1.4</v>
      </c>
      <c r="I765">
        <v>2.0499999999999998</v>
      </c>
      <c r="J765" t="str" cm="1">
        <f t="array" ref="J765">_xlfn.IFS(Table1[[#This Row],[academic_performance]]&gt;1,"Need Improvement",Table1[[#This Row],[academic_performance]]&gt;2,"Good",Table1[[#This Row],[academic_performance]]&gt;3,"Very good",Table1[[#This Row],[academic_performance]]&gt;4,"Excellent")</f>
        <v>Need Improvement</v>
      </c>
      <c r="K765">
        <v>0.4</v>
      </c>
      <c r="L765" t="str">
        <f>IF(Table1[[#This Row],[physical_activity]]&gt;1.9,"better overall ","lower rate of depression")</f>
        <v>lower rate of depression</v>
      </c>
      <c r="M765" t="s">
        <v>19</v>
      </c>
      <c r="N765">
        <v>10</v>
      </c>
      <c r="O765">
        <v>9</v>
      </c>
      <c r="P765">
        <v>5</v>
      </c>
      <c r="Q765">
        <v>0</v>
      </c>
    </row>
    <row r="766" spans="1:17" x14ac:dyDescent="0.3">
      <c r="A766">
        <v>18</v>
      </c>
      <c r="B766" t="s">
        <v>16</v>
      </c>
      <c r="C766" t="str">
        <f>IF(Table1[[#This Row],[age]]&gt;18,"Adult","Teenage")</f>
        <v>Teenage</v>
      </c>
      <c r="D766">
        <v>8</v>
      </c>
      <c r="E766" t="s">
        <v>17</v>
      </c>
      <c r="F766">
        <v>4.3</v>
      </c>
      <c r="G766">
        <f>Table1[[#This Row],[sleep_hours]]-Table1[[#This Row],[daily_social_media_hours]]</f>
        <v>-3.7</v>
      </c>
      <c r="H766">
        <v>0.8</v>
      </c>
      <c r="I766">
        <v>3.44</v>
      </c>
      <c r="J766" t="str" cm="1">
        <f t="array" ref="J766">_xlfn.IFS(Table1[[#This Row],[academic_performance]]&gt;1,"Need Improvement",Table1[[#This Row],[academic_performance]]&gt;2,"Good",Table1[[#This Row],[academic_performance]]&gt;3,"Very good",Table1[[#This Row],[academic_performance]]&gt;4,"Excellent")</f>
        <v>Need Improvement</v>
      </c>
      <c r="K766">
        <v>0.8</v>
      </c>
      <c r="L766" t="str">
        <f>IF(Table1[[#This Row],[physical_activity]]&gt;1.9,"better overall ","lower rate of depression")</f>
        <v>lower rate of depression</v>
      </c>
      <c r="M766" t="s">
        <v>19</v>
      </c>
      <c r="N766">
        <v>3</v>
      </c>
      <c r="O766">
        <v>4</v>
      </c>
      <c r="P766">
        <v>4</v>
      </c>
      <c r="Q766">
        <v>0</v>
      </c>
    </row>
    <row r="767" spans="1:17" x14ac:dyDescent="0.3">
      <c r="A767">
        <v>19</v>
      </c>
      <c r="B767" t="s">
        <v>16</v>
      </c>
      <c r="C767" t="str">
        <f>IF(Table1[[#This Row],[age]]&gt;18,"Adult","Teenage")</f>
        <v>Adult</v>
      </c>
      <c r="D767">
        <v>4.0999999999999996</v>
      </c>
      <c r="E767" t="s">
        <v>20</v>
      </c>
      <c r="F767">
        <v>7.5</v>
      </c>
      <c r="G767">
        <f>Table1[[#This Row],[sleep_hours]]-Table1[[#This Row],[daily_social_media_hours]]</f>
        <v>3.4000000000000004</v>
      </c>
      <c r="H767">
        <v>2.7</v>
      </c>
      <c r="I767">
        <v>2.66</v>
      </c>
      <c r="J767" t="str" cm="1">
        <f t="array" ref="J767">_xlfn.IFS(Table1[[#This Row],[academic_performance]]&gt;1,"Need Improvement",Table1[[#This Row],[academic_performance]]&gt;2,"Good",Table1[[#This Row],[academic_performance]]&gt;3,"Very good",Table1[[#This Row],[academic_performance]]&gt;4,"Excellent")</f>
        <v>Need Improvement</v>
      </c>
      <c r="K767">
        <v>1.6</v>
      </c>
      <c r="L767" t="str">
        <f>IF(Table1[[#This Row],[physical_activity]]&gt;1.9,"better overall ","lower rate of depression")</f>
        <v>lower rate of depression</v>
      </c>
      <c r="M767" t="s">
        <v>18</v>
      </c>
      <c r="N767">
        <v>5</v>
      </c>
      <c r="O767">
        <v>10</v>
      </c>
      <c r="P767">
        <v>5</v>
      </c>
      <c r="Q767">
        <v>0</v>
      </c>
    </row>
    <row r="768" spans="1:17" x14ac:dyDescent="0.3">
      <c r="A768">
        <v>13</v>
      </c>
      <c r="B768" t="s">
        <v>13</v>
      </c>
      <c r="C768" t="str">
        <f>IF(Table1[[#This Row],[age]]&gt;18,"Adult","Teenage")</f>
        <v>Teenage</v>
      </c>
      <c r="D768">
        <v>3.9</v>
      </c>
      <c r="E768" t="s">
        <v>20</v>
      </c>
      <c r="F768">
        <v>8.6999999999999993</v>
      </c>
      <c r="G768">
        <f>Table1[[#This Row],[sleep_hours]]-Table1[[#This Row],[daily_social_media_hours]]</f>
        <v>4.7999999999999989</v>
      </c>
      <c r="H768">
        <v>1.5</v>
      </c>
      <c r="I768">
        <v>2.71</v>
      </c>
      <c r="J768" t="str" cm="1">
        <f t="array" ref="J768">_xlfn.IFS(Table1[[#This Row],[academic_performance]]&gt;1,"Need Improvement",Table1[[#This Row],[academic_performance]]&gt;2,"Good",Table1[[#This Row],[academic_performance]]&gt;3,"Very good",Table1[[#This Row],[academic_performance]]&gt;4,"Excellent")</f>
        <v>Need Improvement</v>
      </c>
      <c r="K768">
        <v>0.7</v>
      </c>
      <c r="L768" t="str">
        <f>IF(Table1[[#This Row],[physical_activity]]&gt;1.9,"better overall ","lower rate of depression")</f>
        <v>lower rate of depression</v>
      </c>
      <c r="M768" t="s">
        <v>15</v>
      </c>
      <c r="N768">
        <v>7</v>
      </c>
      <c r="O768">
        <v>1</v>
      </c>
      <c r="P768">
        <v>4</v>
      </c>
      <c r="Q768">
        <v>0</v>
      </c>
    </row>
    <row r="769" spans="1:17" x14ac:dyDescent="0.3">
      <c r="A769">
        <v>15</v>
      </c>
      <c r="B769" t="s">
        <v>16</v>
      </c>
      <c r="C769" t="str">
        <f>IF(Table1[[#This Row],[age]]&gt;18,"Adult","Teenage")</f>
        <v>Teenage</v>
      </c>
      <c r="D769">
        <v>6.4</v>
      </c>
      <c r="E769" t="s">
        <v>14</v>
      </c>
      <c r="F769">
        <v>5.9</v>
      </c>
      <c r="G769">
        <f>Table1[[#This Row],[sleep_hours]]-Table1[[#This Row],[daily_social_media_hours]]</f>
        <v>-0.5</v>
      </c>
      <c r="H769">
        <v>1.6</v>
      </c>
      <c r="I769">
        <v>3.97</v>
      </c>
      <c r="J769" t="str" cm="1">
        <f t="array" ref="J769">_xlfn.IFS(Table1[[#This Row],[academic_performance]]&gt;1,"Need Improvement",Table1[[#This Row],[academic_performance]]&gt;2,"Good",Table1[[#This Row],[academic_performance]]&gt;3,"Very good",Table1[[#This Row],[academic_performance]]&gt;4,"Excellent")</f>
        <v>Need Improvement</v>
      </c>
      <c r="K769">
        <v>1</v>
      </c>
      <c r="L769" t="str">
        <f>IF(Table1[[#This Row],[physical_activity]]&gt;1.9,"better overall ","lower rate of depression")</f>
        <v>lower rate of depression</v>
      </c>
      <c r="M769" t="s">
        <v>18</v>
      </c>
      <c r="N769">
        <v>10</v>
      </c>
      <c r="O769">
        <v>2</v>
      </c>
      <c r="P769">
        <v>6</v>
      </c>
      <c r="Q769">
        <v>0</v>
      </c>
    </row>
    <row r="770" spans="1:17" x14ac:dyDescent="0.3">
      <c r="A770">
        <v>19</v>
      </c>
      <c r="B770" t="s">
        <v>16</v>
      </c>
      <c r="C770" t="str">
        <f>IF(Table1[[#This Row],[age]]&gt;18,"Adult","Teenage")</f>
        <v>Adult</v>
      </c>
      <c r="D770">
        <v>1.3</v>
      </c>
      <c r="E770" t="s">
        <v>17</v>
      </c>
      <c r="F770">
        <v>6.5</v>
      </c>
      <c r="G770">
        <f>Table1[[#This Row],[sleep_hours]]-Table1[[#This Row],[daily_social_media_hours]]</f>
        <v>5.2</v>
      </c>
      <c r="H770">
        <v>2.1</v>
      </c>
      <c r="I770">
        <v>3.68</v>
      </c>
      <c r="J770" t="str" cm="1">
        <f t="array" ref="J770">_xlfn.IFS(Table1[[#This Row],[academic_performance]]&gt;1,"Need Improvement",Table1[[#This Row],[academic_performance]]&gt;2,"Good",Table1[[#This Row],[academic_performance]]&gt;3,"Very good",Table1[[#This Row],[academic_performance]]&gt;4,"Excellent")</f>
        <v>Need Improvement</v>
      </c>
      <c r="K770">
        <v>1.1000000000000001</v>
      </c>
      <c r="L770" t="str">
        <f>IF(Table1[[#This Row],[physical_activity]]&gt;1.9,"better overall ","lower rate of depression")</f>
        <v>lower rate of depression</v>
      </c>
      <c r="M770" t="s">
        <v>18</v>
      </c>
      <c r="N770">
        <v>7</v>
      </c>
      <c r="O770">
        <v>1</v>
      </c>
      <c r="P770">
        <v>9</v>
      </c>
      <c r="Q770">
        <v>0</v>
      </c>
    </row>
    <row r="771" spans="1:17" x14ac:dyDescent="0.3">
      <c r="A771">
        <v>18</v>
      </c>
      <c r="B771" t="s">
        <v>16</v>
      </c>
      <c r="C771" t="str">
        <f>IF(Table1[[#This Row],[age]]&gt;18,"Adult","Teenage")</f>
        <v>Teenage</v>
      </c>
      <c r="D771">
        <v>5</v>
      </c>
      <c r="E771" t="s">
        <v>14</v>
      </c>
      <c r="F771">
        <v>6.6</v>
      </c>
      <c r="G771">
        <f>Table1[[#This Row],[sleep_hours]]-Table1[[#This Row],[daily_social_media_hours]]</f>
        <v>1.5999999999999996</v>
      </c>
      <c r="H771">
        <v>1.8</v>
      </c>
      <c r="I771">
        <v>3.87</v>
      </c>
      <c r="J771" t="str" cm="1">
        <f t="array" ref="J771">_xlfn.IFS(Table1[[#This Row],[academic_performance]]&gt;1,"Need Improvement",Table1[[#This Row],[academic_performance]]&gt;2,"Good",Table1[[#This Row],[academic_performance]]&gt;3,"Very good",Table1[[#This Row],[academic_performance]]&gt;4,"Excellent")</f>
        <v>Need Improvement</v>
      </c>
      <c r="K771">
        <v>1.2</v>
      </c>
      <c r="L771" t="str">
        <f>IF(Table1[[#This Row],[physical_activity]]&gt;1.9,"better overall ","lower rate of depression")</f>
        <v>lower rate of depression</v>
      </c>
      <c r="M771" t="s">
        <v>18</v>
      </c>
      <c r="N771">
        <v>3</v>
      </c>
      <c r="O771">
        <v>4</v>
      </c>
      <c r="P771">
        <v>2</v>
      </c>
      <c r="Q771">
        <v>0</v>
      </c>
    </row>
    <row r="772" spans="1:17" x14ac:dyDescent="0.3">
      <c r="A772">
        <v>18</v>
      </c>
      <c r="B772" t="s">
        <v>13</v>
      </c>
      <c r="C772" t="str">
        <f>IF(Table1[[#This Row],[age]]&gt;18,"Adult","Teenage")</f>
        <v>Teenage</v>
      </c>
      <c r="D772">
        <v>5.5</v>
      </c>
      <c r="E772" t="s">
        <v>20</v>
      </c>
      <c r="F772">
        <v>5.2</v>
      </c>
      <c r="G772">
        <f>Table1[[#This Row],[sleep_hours]]-Table1[[#This Row],[daily_social_media_hours]]</f>
        <v>-0.29999999999999982</v>
      </c>
      <c r="H772">
        <v>1.4</v>
      </c>
      <c r="I772">
        <v>3.24</v>
      </c>
      <c r="J772" t="str" cm="1">
        <f t="array" ref="J772">_xlfn.IFS(Table1[[#This Row],[academic_performance]]&gt;1,"Need Improvement",Table1[[#This Row],[academic_performance]]&gt;2,"Good",Table1[[#This Row],[academic_performance]]&gt;3,"Very good",Table1[[#This Row],[academic_performance]]&gt;4,"Excellent")</f>
        <v>Need Improvement</v>
      </c>
      <c r="K772">
        <v>0.9</v>
      </c>
      <c r="L772" t="str">
        <f>IF(Table1[[#This Row],[physical_activity]]&gt;1.9,"better overall ","lower rate of depression")</f>
        <v>lower rate of depression</v>
      </c>
      <c r="M772" t="s">
        <v>19</v>
      </c>
      <c r="N772">
        <v>10</v>
      </c>
      <c r="O772">
        <v>5</v>
      </c>
      <c r="P772">
        <v>7</v>
      </c>
      <c r="Q772">
        <v>0</v>
      </c>
    </row>
    <row r="773" spans="1:17" x14ac:dyDescent="0.3">
      <c r="A773">
        <v>13</v>
      </c>
      <c r="B773" t="s">
        <v>16</v>
      </c>
      <c r="C773" t="str">
        <f>IF(Table1[[#This Row],[age]]&gt;18,"Adult","Teenage")</f>
        <v>Teenage</v>
      </c>
      <c r="D773">
        <v>7.6</v>
      </c>
      <c r="E773" t="s">
        <v>14</v>
      </c>
      <c r="F773">
        <v>7.9</v>
      </c>
      <c r="G773">
        <f>Table1[[#This Row],[sleep_hours]]-Table1[[#This Row],[daily_social_media_hours]]</f>
        <v>0.30000000000000071</v>
      </c>
      <c r="H773">
        <v>3</v>
      </c>
      <c r="I773">
        <v>2.54</v>
      </c>
      <c r="J773" t="str" cm="1">
        <f t="array" ref="J773">_xlfn.IFS(Table1[[#This Row],[academic_performance]]&gt;1,"Need Improvement",Table1[[#This Row],[academic_performance]]&gt;2,"Good",Table1[[#This Row],[academic_performance]]&gt;3,"Very good",Table1[[#This Row],[academic_performance]]&gt;4,"Excellent")</f>
        <v>Need Improvement</v>
      </c>
      <c r="K773">
        <v>1.2</v>
      </c>
      <c r="L773" t="str">
        <f>IF(Table1[[#This Row],[physical_activity]]&gt;1.9,"better overall ","lower rate of depression")</f>
        <v>lower rate of depression</v>
      </c>
      <c r="M773" t="s">
        <v>18</v>
      </c>
      <c r="N773">
        <v>8</v>
      </c>
      <c r="O773">
        <v>8</v>
      </c>
      <c r="P773">
        <v>1</v>
      </c>
      <c r="Q773">
        <v>0</v>
      </c>
    </row>
    <row r="774" spans="1:17" x14ac:dyDescent="0.3">
      <c r="A774">
        <v>19</v>
      </c>
      <c r="B774" t="s">
        <v>16</v>
      </c>
      <c r="C774" t="str">
        <f>IF(Table1[[#This Row],[age]]&gt;18,"Adult","Teenage")</f>
        <v>Adult</v>
      </c>
      <c r="D774">
        <v>6.3</v>
      </c>
      <c r="E774" t="s">
        <v>20</v>
      </c>
      <c r="F774">
        <v>5.7</v>
      </c>
      <c r="G774">
        <f>Table1[[#This Row],[sleep_hours]]-Table1[[#This Row],[daily_social_media_hours]]</f>
        <v>-0.59999999999999964</v>
      </c>
      <c r="H774">
        <v>2.2999999999999998</v>
      </c>
      <c r="I774">
        <v>2.16</v>
      </c>
      <c r="J774" t="str" cm="1">
        <f t="array" ref="J774">_xlfn.IFS(Table1[[#This Row],[academic_performance]]&gt;1,"Need Improvement",Table1[[#This Row],[academic_performance]]&gt;2,"Good",Table1[[#This Row],[academic_performance]]&gt;3,"Very good",Table1[[#This Row],[academic_performance]]&gt;4,"Excellent")</f>
        <v>Need Improvement</v>
      </c>
      <c r="K774">
        <v>1.9</v>
      </c>
      <c r="L774" t="str">
        <f>IF(Table1[[#This Row],[physical_activity]]&gt;1.9,"better overall ","lower rate of depression")</f>
        <v>lower rate of depression</v>
      </c>
      <c r="M774" t="s">
        <v>18</v>
      </c>
      <c r="N774">
        <v>6</v>
      </c>
      <c r="O774">
        <v>3</v>
      </c>
      <c r="P774">
        <v>6</v>
      </c>
      <c r="Q774">
        <v>0</v>
      </c>
    </row>
    <row r="775" spans="1:17" x14ac:dyDescent="0.3">
      <c r="A775">
        <v>18</v>
      </c>
      <c r="B775" t="s">
        <v>16</v>
      </c>
      <c r="C775" t="str">
        <f>IF(Table1[[#This Row],[age]]&gt;18,"Adult","Teenage")</f>
        <v>Teenage</v>
      </c>
      <c r="D775">
        <v>2</v>
      </c>
      <c r="E775" t="s">
        <v>14</v>
      </c>
      <c r="F775">
        <v>5.9</v>
      </c>
      <c r="G775">
        <f>Table1[[#This Row],[sleep_hours]]-Table1[[#This Row],[daily_social_media_hours]]</f>
        <v>3.9000000000000004</v>
      </c>
      <c r="H775">
        <v>2.9</v>
      </c>
      <c r="I775">
        <v>3.52</v>
      </c>
      <c r="J775" t="str" cm="1">
        <f t="array" ref="J775">_xlfn.IFS(Table1[[#This Row],[academic_performance]]&gt;1,"Need Improvement",Table1[[#This Row],[academic_performance]]&gt;2,"Good",Table1[[#This Row],[academic_performance]]&gt;3,"Very good",Table1[[#This Row],[academic_performance]]&gt;4,"Excellent")</f>
        <v>Need Improvement</v>
      </c>
      <c r="K775">
        <v>1.1000000000000001</v>
      </c>
      <c r="L775" t="str">
        <f>IF(Table1[[#This Row],[physical_activity]]&gt;1.9,"better overall ","lower rate of depression")</f>
        <v>lower rate of depression</v>
      </c>
      <c r="M775" t="s">
        <v>18</v>
      </c>
      <c r="N775">
        <v>8</v>
      </c>
      <c r="O775">
        <v>6</v>
      </c>
      <c r="P775">
        <v>10</v>
      </c>
      <c r="Q775">
        <v>0</v>
      </c>
    </row>
    <row r="776" spans="1:17" x14ac:dyDescent="0.3">
      <c r="A776">
        <v>15</v>
      </c>
      <c r="B776" t="s">
        <v>13</v>
      </c>
      <c r="C776" t="str">
        <f>IF(Table1[[#This Row],[age]]&gt;18,"Adult","Teenage")</f>
        <v>Teenage</v>
      </c>
      <c r="D776">
        <v>4</v>
      </c>
      <c r="E776" t="s">
        <v>17</v>
      </c>
      <c r="F776">
        <v>4.5</v>
      </c>
      <c r="G776">
        <f>Table1[[#This Row],[sleep_hours]]-Table1[[#This Row],[daily_social_media_hours]]</f>
        <v>0.5</v>
      </c>
      <c r="H776">
        <v>1.9</v>
      </c>
      <c r="I776">
        <v>3.22</v>
      </c>
      <c r="J776" t="str" cm="1">
        <f t="array" ref="J776">_xlfn.IFS(Table1[[#This Row],[academic_performance]]&gt;1,"Need Improvement",Table1[[#This Row],[academic_performance]]&gt;2,"Good",Table1[[#This Row],[academic_performance]]&gt;3,"Very good",Table1[[#This Row],[academic_performance]]&gt;4,"Excellent")</f>
        <v>Need Improvement</v>
      </c>
      <c r="K776">
        <v>0.2</v>
      </c>
      <c r="L776" t="str">
        <f>IF(Table1[[#This Row],[physical_activity]]&gt;1.9,"better overall ","lower rate of depression")</f>
        <v>lower rate of depression</v>
      </c>
      <c r="M776" t="s">
        <v>19</v>
      </c>
      <c r="N776">
        <v>4</v>
      </c>
      <c r="O776">
        <v>5</v>
      </c>
      <c r="P776">
        <v>3</v>
      </c>
      <c r="Q776">
        <v>0</v>
      </c>
    </row>
    <row r="777" spans="1:17" x14ac:dyDescent="0.3">
      <c r="A777">
        <v>14</v>
      </c>
      <c r="B777" t="s">
        <v>13</v>
      </c>
      <c r="C777" t="str">
        <f>IF(Table1[[#This Row],[age]]&gt;18,"Adult","Teenage")</f>
        <v>Teenage</v>
      </c>
      <c r="D777">
        <v>4.9000000000000004</v>
      </c>
      <c r="E777" t="s">
        <v>14</v>
      </c>
      <c r="F777">
        <v>5.5</v>
      </c>
      <c r="G777">
        <f>Table1[[#This Row],[sleep_hours]]-Table1[[#This Row],[daily_social_media_hours]]</f>
        <v>0.59999999999999964</v>
      </c>
      <c r="H777">
        <v>1.6</v>
      </c>
      <c r="I777">
        <v>2.85</v>
      </c>
      <c r="J777" t="str" cm="1">
        <f t="array" ref="J777">_xlfn.IFS(Table1[[#This Row],[academic_performance]]&gt;1,"Need Improvement",Table1[[#This Row],[academic_performance]]&gt;2,"Good",Table1[[#This Row],[academic_performance]]&gt;3,"Very good",Table1[[#This Row],[academic_performance]]&gt;4,"Excellent")</f>
        <v>Need Improvement</v>
      </c>
      <c r="K777">
        <v>0.4</v>
      </c>
      <c r="L777" t="str">
        <f>IF(Table1[[#This Row],[physical_activity]]&gt;1.9,"better overall ","lower rate of depression")</f>
        <v>lower rate of depression</v>
      </c>
      <c r="M777" t="s">
        <v>15</v>
      </c>
      <c r="N777">
        <v>8</v>
      </c>
      <c r="O777">
        <v>1</v>
      </c>
      <c r="P777">
        <v>8</v>
      </c>
      <c r="Q777">
        <v>0</v>
      </c>
    </row>
    <row r="778" spans="1:17" x14ac:dyDescent="0.3">
      <c r="A778">
        <v>14</v>
      </c>
      <c r="B778" t="s">
        <v>16</v>
      </c>
      <c r="C778" t="str">
        <f>IF(Table1[[#This Row],[age]]&gt;18,"Adult","Teenage")</f>
        <v>Teenage</v>
      </c>
      <c r="D778">
        <v>6.9</v>
      </c>
      <c r="E778" t="s">
        <v>17</v>
      </c>
      <c r="F778">
        <v>8</v>
      </c>
      <c r="G778">
        <f>Table1[[#This Row],[sleep_hours]]-Table1[[#This Row],[daily_social_media_hours]]</f>
        <v>1.0999999999999996</v>
      </c>
      <c r="H778">
        <v>1.6</v>
      </c>
      <c r="I778">
        <v>2.64</v>
      </c>
      <c r="J778" t="str" cm="1">
        <f t="array" ref="J778">_xlfn.IFS(Table1[[#This Row],[academic_performance]]&gt;1,"Need Improvement",Table1[[#This Row],[academic_performance]]&gt;2,"Good",Table1[[#This Row],[academic_performance]]&gt;3,"Very good",Table1[[#This Row],[academic_performance]]&gt;4,"Excellent")</f>
        <v>Need Improvement</v>
      </c>
      <c r="K778">
        <v>0.1</v>
      </c>
      <c r="L778" t="str">
        <f>IF(Table1[[#This Row],[physical_activity]]&gt;1.9,"better overall ","lower rate of depression")</f>
        <v>lower rate of depression</v>
      </c>
      <c r="M778" t="s">
        <v>19</v>
      </c>
      <c r="N778">
        <v>3</v>
      </c>
      <c r="O778">
        <v>3</v>
      </c>
      <c r="P778">
        <v>3</v>
      </c>
      <c r="Q778">
        <v>0</v>
      </c>
    </row>
    <row r="779" spans="1:17" x14ac:dyDescent="0.3">
      <c r="A779">
        <v>15</v>
      </c>
      <c r="B779" t="s">
        <v>13</v>
      </c>
      <c r="C779" t="str">
        <f>IF(Table1[[#This Row],[age]]&gt;18,"Adult","Teenage")</f>
        <v>Teenage</v>
      </c>
      <c r="D779">
        <v>5.4</v>
      </c>
      <c r="E779" t="s">
        <v>17</v>
      </c>
      <c r="F779">
        <v>4.2</v>
      </c>
      <c r="G779">
        <f>Table1[[#This Row],[sleep_hours]]-Table1[[#This Row],[daily_social_media_hours]]</f>
        <v>-1.2000000000000002</v>
      </c>
      <c r="H779">
        <v>1.8</v>
      </c>
      <c r="I779">
        <v>2.15</v>
      </c>
      <c r="J779" t="str" cm="1">
        <f t="array" ref="J779">_xlfn.IFS(Table1[[#This Row],[academic_performance]]&gt;1,"Need Improvement",Table1[[#This Row],[academic_performance]]&gt;2,"Good",Table1[[#This Row],[academic_performance]]&gt;3,"Very good",Table1[[#This Row],[academic_performance]]&gt;4,"Excellent")</f>
        <v>Need Improvement</v>
      </c>
      <c r="K779">
        <v>0.3</v>
      </c>
      <c r="L779" t="str">
        <f>IF(Table1[[#This Row],[physical_activity]]&gt;1.9,"better overall ","lower rate of depression")</f>
        <v>lower rate of depression</v>
      </c>
      <c r="M779" t="s">
        <v>19</v>
      </c>
      <c r="N779">
        <v>1</v>
      </c>
      <c r="O779">
        <v>10</v>
      </c>
      <c r="P779">
        <v>5</v>
      </c>
      <c r="Q779">
        <v>0</v>
      </c>
    </row>
    <row r="780" spans="1:17" x14ac:dyDescent="0.3">
      <c r="A780">
        <v>13</v>
      </c>
      <c r="B780" t="s">
        <v>16</v>
      </c>
      <c r="C780" t="str">
        <f>IF(Table1[[#This Row],[age]]&gt;18,"Adult","Teenage")</f>
        <v>Teenage</v>
      </c>
      <c r="D780">
        <v>3.8</v>
      </c>
      <c r="E780" t="s">
        <v>20</v>
      </c>
      <c r="F780">
        <v>8.9</v>
      </c>
      <c r="G780">
        <f>Table1[[#This Row],[sleep_hours]]-Table1[[#This Row],[daily_social_media_hours]]</f>
        <v>5.1000000000000005</v>
      </c>
      <c r="H780">
        <v>2.5</v>
      </c>
      <c r="I780">
        <v>2.29</v>
      </c>
      <c r="J780" t="str" cm="1">
        <f t="array" ref="J780">_xlfn.IFS(Table1[[#This Row],[academic_performance]]&gt;1,"Need Improvement",Table1[[#This Row],[academic_performance]]&gt;2,"Good",Table1[[#This Row],[academic_performance]]&gt;3,"Very good",Table1[[#This Row],[academic_performance]]&gt;4,"Excellent")</f>
        <v>Need Improvement</v>
      </c>
      <c r="K780">
        <v>0.6</v>
      </c>
      <c r="L780" t="str">
        <f>IF(Table1[[#This Row],[physical_activity]]&gt;1.9,"better overall ","lower rate of depression")</f>
        <v>lower rate of depression</v>
      </c>
      <c r="M780" t="s">
        <v>18</v>
      </c>
      <c r="N780">
        <v>9</v>
      </c>
      <c r="O780">
        <v>9</v>
      </c>
      <c r="P780">
        <v>7</v>
      </c>
      <c r="Q780">
        <v>0</v>
      </c>
    </row>
    <row r="781" spans="1:17" x14ac:dyDescent="0.3">
      <c r="A781">
        <v>15</v>
      </c>
      <c r="B781" t="s">
        <v>13</v>
      </c>
      <c r="C781" t="str">
        <f>IF(Table1[[#This Row],[age]]&gt;18,"Adult","Teenage")</f>
        <v>Teenage</v>
      </c>
      <c r="D781">
        <v>7.8</v>
      </c>
      <c r="E781" t="s">
        <v>20</v>
      </c>
      <c r="F781">
        <v>6.8</v>
      </c>
      <c r="G781">
        <f>Table1[[#This Row],[sleep_hours]]-Table1[[#This Row],[daily_social_media_hours]]</f>
        <v>-1</v>
      </c>
      <c r="H781">
        <v>0.6</v>
      </c>
      <c r="I781">
        <v>3.2</v>
      </c>
      <c r="J781" t="str" cm="1">
        <f t="array" ref="J781">_xlfn.IFS(Table1[[#This Row],[academic_performance]]&gt;1,"Need Improvement",Table1[[#This Row],[academic_performance]]&gt;2,"Good",Table1[[#This Row],[academic_performance]]&gt;3,"Very good",Table1[[#This Row],[academic_performance]]&gt;4,"Excellent")</f>
        <v>Need Improvement</v>
      </c>
      <c r="K781">
        <v>1.7</v>
      </c>
      <c r="L781" t="str">
        <f>IF(Table1[[#This Row],[physical_activity]]&gt;1.9,"better overall ","lower rate of depression")</f>
        <v>lower rate of depression</v>
      </c>
      <c r="M781" t="s">
        <v>19</v>
      </c>
      <c r="N781">
        <v>1</v>
      </c>
      <c r="O781">
        <v>7</v>
      </c>
      <c r="P781">
        <v>5</v>
      </c>
      <c r="Q781">
        <v>0</v>
      </c>
    </row>
    <row r="782" spans="1:17" x14ac:dyDescent="0.3">
      <c r="A782">
        <v>15</v>
      </c>
      <c r="B782" t="s">
        <v>13</v>
      </c>
      <c r="C782" t="str">
        <f>IF(Table1[[#This Row],[age]]&gt;18,"Adult","Teenage")</f>
        <v>Teenage</v>
      </c>
      <c r="D782">
        <v>3.5</v>
      </c>
      <c r="E782" t="s">
        <v>20</v>
      </c>
      <c r="F782">
        <v>8.8000000000000007</v>
      </c>
      <c r="G782">
        <f>Table1[[#This Row],[sleep_hours]]-Table1[[#This Row],[daily_social_media_hours]]</f>
        <v>5.3000000000000007</v>
      </c>
      <c r="H782">
        <v>1.8</v>
      </c>
      <c r="I782">
        <v>3.5</v>
      </c>
      <c r="J782" t="str" cm="1">
        <f t="array" ref="J782">_xlfn.IFS(Table1[[#This Row],[academic_performance]]&gt;1,"Need Improvement",Table1[[#This Row],[academic_performance]]&gt;2,"Good",Table1[[#This Row],[academic_performance]]&gt;3,"Very good",Table1[[#This Row],[academic_performance]]&gt;4,"Excellent")</f>
        <v>Need Improvement</v>
      </c>
      <c r="K782">
        <v>0.8</v>
      </c>
      <c r="L782" t="str">
        <f>IF(Table1[[#This Row],[physical_activity]]&gt;1.9,"better overall ","lower rate of depression")</f>
        <v>lower rate of depression</v>
      </c>
      <c r="M782" t="s">
        <v>15</v>
      </c>
      <c r="N782">
        <v>3</v>
      </c>
      <c r="O782">
        <v>6</v>
      </c>
      <c r="P782">
        <v>3</v>
      </c>
      <c r="Q782">
        <v>0</v>
      </c>
    </row>
    <row r="783" spans="1:17" x14ac:dyDescent="0.3">
      <c r="A783">
        <v>19</v>
      </c>
      <c r="B783" t="s">
        <v>16</v>
      </c>
      <c r="C783" t="str">
        <f>IF(Table1[[#This Row],[age]]&gt;18,"Adult","Teenage")</f>
        <v>Adult</v>
      </c>
      <c r="D783">
        <v>5.4</v>
      </c>
      <c r="E783" t="s">
        <v>14</v>
      </c>
      <c r="F783">
        <v>7.3</v>
      </c>
      <c r="G783">
        <f>Table1[[#This Row],[sleep_hours]]-Table1[[#This Row],[daily_social_media_hours]]</f>
        <v>1.8999999999999995</v>
      </c>
      <c r="H783">
        <v>2</v>
      </c>
      <c r="I783">
        <v>3.98</v>
      </c>
      <c r="J783" t="str" cm="1">
        <f t="array" ref="J783">_xlfn.IFS(Table1[[#This Row],[academic_performance]]&gt;1,"Need Improvement",Table1[[#This Row],[academic_performance]]&gt;2,"Good",Table1[[#This Row],[academic_performance]]&gt;3,"Very good",Table1[[#This Row],[academic_performance]]&gt;4,"Excellent")</f>
        <v>Need Improvement</v>
      </c>
      <c r="K783">
        <v>0.9</v>
      </c>
      <c r="L783" t="str">
        <f>IF(Table1[[#This Row],[physical_activity]]&gt;1.9,"better overall ","lower rate of depression")</f>
        <v>lower rate of depression</v>
      </c>
      <c r="M783" t="s">
        <v>19</v>
      </c>
      <c r="N783">
        <v>6</v>
      </c>
      <c r="O783">
        <v>6</v>
      </c>
      <c r="P783">
        <v>1</v>
      </c>
      <c r="Q783">
        <v>0</v>
      </c>
    </row>
    <row r="784" spans="1:17" x14ac:dyDescent="0.3">
      <c r="A784">
        <v>17</v>
      </c>
      <c r="B784" t="s">
        <v>13</v>
      </c>
      <c r="C784" t="str">
        <f>IF(Table1[[#This Row],[age]]&gt;18,"Adult","Teenage")</f>
        <v>Teenage</v>
      </c>
      <c r="D784">
        <v>3.8</v>
      </c>
      <c r="E784" t="s">
        <v>20</v>
      </c>
      <c r="F784">
        <v>5.7</v>
      </c>
      <c r="G784">
        <f>Table1[[#This Row],[sleep_hours]]-Table1[[#This Row],[daily_social_media_hours]]</f>
        <v>1.9000000000000004</v>
      </c>
      <c r="H784">
        <v>2</v>
      </c>
      <c r="I784">
        <v>3.01</v>
      </c>
      <c r="J784" t="str" cm="1">
        <f t="array" ref="J784">_xlfn.IFS(Table1[[#This Row],[academic_performance]]&gt;1,"Need Improvement",Table1[[#This Row],[academic_performance]]&gt;2,"Good",Table1[[#This Row],[academic_performance]]&gt;3,"Very good",Table1[[#This Row],[academic_performance]]&gt;4,"Excellent")</f>
        <v>Need Improvement</v>
      </c>
      <c r="K784">
        <v>1</v>
      </c>
      <c r="L784" t="str">
        <f>IF(Table1[[#This Row],[physical_activity]]&gt;1.9,"better overall ","lower rate of depression")</f>
        <v>lower rate of depression</v>
      </c>
      <c r="M784" t="s">
        <v>15</v>
      </c>
      <c r="N784">
        <v>1</v>
      </c>
      <c r="O784">
        <v>3</v>
      </c>
      <c r="P784">
        <v>1</v>
      </c>
      <c r="Q784">
        <v>0</v>
      </c>
    </row>
    <row r="785" spans="1:17" x14ac:dyDescent="0.3">
      <c r="A785">
        <v>17</v>
      </c>
      <c r="B785" t="s">
        <v>13</v>
      </c>
      <c r="C785" t="str">
        <f>IF(Table1[[#This Row],[age]]&gt;18,"Adult","Teenage")</f>
        <v>Teenage</v>
      </c>
      <c r="D785">
        <v>8</v>
      </c>
      <c r="E785" t="s">
        <v>14</v>
      </c>
      <c r="F785">
        <v>6.9</v>
      </c>
      <c r="G785">
        <f>Table1[[#This Row],[sleep_hours]]-Table1[[#This Row],[daily_social_media_hours]]</f>
        <v>-1.0999999999999996</v>
      </c>
      <c r="H785">
        <v>2.2000000000000002</v>
      </c>
      <c r="I785">
        <v>2.36</v>
      </c>
      <c r="J785" t="str" cm="1">
        <f t="array" ref="J785">_xlfn.IFS(Table1[[#This Row],[academic_performance]]&gt;1,"Need Improvement",Table1[[#This Row],[academic_performance]]&gt;2,"Good",Table1[[#This Row],[academic_performance]]&gt;3,"Very good",Table1[[#This Row],[academic_performance]]&gt;4,"Excellent")</f>
        <v>Need Improvement</v>
      </c>
      <c r="K785">
        <v>1.6</v>
      </c>
      <c r="L785" t="str">
        <f>IF(Table1[[#This Row],[physical_activity]]&gt;1.9,"better overall ","lower rate of depression")</f>
        <v>lower rate of depression</v>
      </c>
      <c r="M785" t="s">
        <v>15</v>
      </c>
      <c r="N785">
        <v>4</v>
      </c>
      <c r="O785">
        <v>2</v>
      </c>
      <c r="P785">
        <v>8</v>
      </c>
      <c r="Q785">
        <v>0</v>
      </c>
    </row>
    <row r="786" spans="1:17" x14ac:dyDescent="0.3">
      <c r="A786">
        <v>14</v>
      </c>
      <c r="B786" t="s">
        <v>16</v>
      </c>
      <c r="C786" t="str">
        <f>IF(Table1[[#This Row],[age]]&gt;18,"Adult","Teenage")</f>
        <v>Teenage</v>
      </c>
      <c r="D786">
        <v>3.7</v>
      </c>
      <c r="E786" t="s">
        <v>17</v>
      </c>
      <c r="F786">
        <v>5.7</v>
      </c>
      <c r="G786">
        <f>Table1[[#This Row],[sleep_hours]]-Table1[[#This Row],[daily_social_media_hours]]</f>
        <v>2</v>
      </c>
      <c r="H786">
        <v>1.7</v>
      </c>
      <c r="I786">
        <v>2.88</v>
      </c>
      <c r="J786" t="str" cm="1">
        <f t="array" ref="J786">_xlfn.IFS(Table1[[#This Row],[academic_performance]]&gt;1,"Need Improvement",Table1[[#This Row],[academic_performance]]&gt;2,"Good",Table1[[#This Row],[academic_performance]]&gt;3,"Very good",Table1[[#This Row],[academic_performance]]&gt;4,"Excellent")</f>
        <v>Need Improvement</v>
      </c>
      <c r="K786">
        <v>0.2</v>
      </c>
      <c r="L786" t="str">
        <f>IF(Table1[[#This Row],[physical_activity]]&gt;1.9,"better overall ","lower rate of depression")</f>
        <v>lower rate of depression</v>
      </c>
      <c r="M786" t="s">
        <v>15</v>
      </c>
      <c r="N786">
        <v>9</v>
      </c>
      <c r="O786">
        <v>10</v>
      </c>
      <c r="P786">
        <v>3</v>
      </c>
      <c r="Q786">
        <v>0</v>
      </c>
    </row>
    <row r="787" spans="1:17" x14ac:dyDescent="0.3">
      <c r="A787">
        <v>19</v>
      </c>
      <c r="B787" t="s">
        <v>16</v>
      </c>
      <c r="C787" t="str">
        <f>IF(Table1[[#This Row],[age]]&gt;18,"Adult","Teenage")</f>
        <v>Adult</v>
      </c>
      <c r="D787">
        <v>5</v>
      </c>
      <c r="E787" t="s">
        <v>14</v>
      </c>
      <c r="F787">
        <v>6.3</v>
      </c>
      <c r="G787">
        <f>Table1[[#This Row],[sleep_hours]]-Table1[[#This Row],[daily_social_media_hours]]</f>
        <v>1.2999999999999998</v>
      </c>
      <c r="H787">
        <v>2.9</v>
      </c>
      <c r="I787">
        <v>2.04</v>
      </c>
      <c r="J787" t="str" cm="1">
        <f t="array" ref="J787">_xlfn.IFS(Table1[[#This Row],[academic_performance]]&gt;1,"Need Improvement",Table1[[#This Row],[academic_performance]]&gt;2,"Good",Table1[[#This Row],[academic_performance]]&gt;3,"Very good",Table1[[#This Row],[academic_performance]]&gt;4,"Excellent")</f>
        <v>Need Improvement</v>
      </c>
      <c r="K787">
        <v>0.5</v>
      </c>
      <c r="L787" t="str">
        <f>IF(Table1[[#This Row],[physical_activity]]&gt;1.9,"better overall ","lower rate of depression")</f>
        <v>lower rate of depression</v>
      </c>
      <c r="M787" t="s">
        <v>19</v>
      </c>
      <c r="N787">
        <v>5</v>
      </c>
      <c r="O787">
        <v>2</v>
      </c>
      <c r="P787">
        <v>2</v>
      </c>
      <c r="Q787">
        <v>0</v>
      </c>
    </row>
    <row r="788" spans="1:17" x14ac:dyDescent="0.3">
      <c r="A788">
        <v>19</v>
      </c>
      <c r="B788" t="s">
        <v>16</v>
      </c>
      <c r="C788" t="str">
        <f>IF(Table1[[#This Row],[age]]&gt;18,"Adult","Teenage")</f>
        <v>Adult</v>
      </c>
      <c r="D788">
        <v>4.2</v>
      </c>
      <c r="E788" t="s">
        <v>14</v>
      </c>
      <c r="F788">
        <v>7.1</v>
      </c>
      <c r="G788">
        <f>Table1[[#This Row],[sleep_hours]]-Table1[[#This Row],[daily_social_media_hours]]</f>
        <v>2.8999999999999995</v>
      </c>
      <c r="H788">
        <v>2.5</v>
      </c>
      <c r="I788">
        <v>3.91</v>
      </c>
      <c r="J788" t="str" cm="1">
        <f t="array" ref="J788">_xlfn.IFS(Table1[[#This Row],[academic_performance]]&gt;1,"Need Improvement",Table1[[#This Row],[academic_performance]]&gt;2,"Good",Table1[[#This Row],[academic_performance]]&gt;3,"Very good",Table1[[#This Row],[academic_performance]]&gt;4,"Excellent")</f>
        <v>Need Improvement</v>
      </c>
      <c r="K788">
        <v>1.5</v>
      </c>
      <c r="L788" t="str">
        <f>IF(Table1[[#This Row],[physical_activity]]&gt;1.9,"better overall ","lower rate of depression")</f>
        <v>lower rate of depression</v>
      </c>
      <c r="M788" t="s">
        <v>18</v>
      </c>
      <c r="N788">
        <v>6</v>
      </c>
      <c r="O788">
        <v>8</v>
      </c>
      <c r="P788">
        <v>9</v>
      </c>
      <c r="Q788">
        <v>0</v>
      </c>
    </row>
    <row r="789" spans="1:17" x14ac:dyDescent="0.3">
      <c r="A789">
        <v>16</v>
      </c>
      <c r="B789" t="s">
        <v>13</v>
      </c>
      <c r="C789" t="str">
        <f>IF(Table1[[#This Row],[age]]&gt;18,"Adult","Teenage")</f>
        <v>Teenage</v>
      </c>
      <c r="D789">
        <v>4.5999999999999996</v>
      </c>
      <c r="E789" t="s">
        <v>14</v>
      </c>
      <c r="F789">
        <v>8.1999999999999993</v>
      </c>
      <c r="G789">
        <f>Table1[[#This Row],[sleep_hours]]-Table1[[#This Row],[daily_social_media_hours]]</f>
        <v>3.5999999999999996</v>
      </c>
      <c r="H789">
        <v>1.5</v>
      </c>
      <c r="I789">
        <v>2.13</v>
      </c>
      <c r="J789" t="str" cm="1">
        <f t="array" ref="J789">_xlfn.IFS(Table1[[#This Row],[academic_performance]]&gt;1,"Need Improvement",Table1[[#This Row],[academic_performance]]&gt;2,"Good",Table1[[#This Row],[academic_performance]]&gt;3,"Very good",Table1[[#This Row],[academic_performance]]&gt;4,"Excellent")</f>
        <v>Need Improvement</v>
      </c>
      <c r="K789">
        <v>1</v>
      </c>
      <c r="L789" t="str">
        <f>IF(Table1[[#This Row],[physical_activity]]&gt;1.9,"better overall ","lower rate of depression")</f>
        <v>lower rate of depression</v>
      </c>
      <c r="M789" t="s">
        <v>15</v>
      </c>
      <c r="N789">
        <v>3</v>
      </c>
      <c r="O789">
        <v>2</v>
      </c>
      <c r="P789">
        <v>2</v>
      </c>
      <c r="Q789">
        <v>0</v>
      </c>
    </row>
    <row r="790" spans="1:17" x14ac:dyDescent="0.3">
      <c r="A790">
        <v>18</v>
      </c>
      <c r="B790" t="s">
        <v>13</v>
      </c>
      <c r="C790" t="str">
        <f>IF(Table1[[#This Row],[age]]&gt;18,"Adult","Teenage")</f>
        <v>Teenage</v>
      </c>
      <c r="D790">
        <v>5.5</v>
      </c>
      <c r="E790" t="s">
        <v>14</v>
      </c>
      <c r="F790">
        <v>5</v>
      </c>
      <c r="G790">
        <f>Table1[[#This Row],[sleep_hours]]-Table1[[#This Row],[daily_social_media_hours]]</f>
        <v>-0.5</v>
      </c>
      <c r="H790">
        <v>0.9</v>
      </c>
      <c r="I790">
        <v>2.93</v>
      </c>
      <c r="J790" t="str" cm="1">
        <f t="array" ref="J790">_xlfn.IFS(Table1[[#This Row],[academic_performance]]&gt;1,"Need Improvement",Table1[[#This Row],[academic_performance]]&gt;2,"Good",Table1[[#This Row],[academic_performance]]&gt;3,"Very good",Table1[[#This Row],[academic_performance]]&gt;4,"Excellent")</f>
        <v>Need Improvement</v>
      </c>
      <c r="K790">
        <v>1.1000000000000001</v>
      </c>
      <c r="L790" t="str">
        <f>IF(Table1[[#This Row],[physical_activity]]&gt;1.9,"better overall ","lower rate of depression")</f>
        <v>lower rate of depression</v>
      </c>
      <c r="M790" t="s">
        <v>15</v>
      </c>
      <c r="N790">
        <v>4</v>
      </c>
      <c r="O790">
        <v>10</v>
      </c>
      <c r="P790">
        <v>10</v>
      </c>
      <c r="Q790">
        <v>0</v>
      </c>
    </row>
    <row r="791" spans="1:17" x14ac:dyDescent="0.3">
      <c r="A791">
        <v>19</v>
      </c>
      <c r="B791" t="s">
        <v>16</v>
      </c>
      <c r="C791" t="str">
        <f>IF(Table1[[#This Row],[age]]&gt;18,"Adult","Teenage")</f>
        <v>Adult</v>
      </c>
      <c r="D791">
        <v>1.8</v>
      </c>
      <c r="E791" t="s">
        <v>14</v>
      </c>
      <c r="F791">
        <v>4.5</v>
      </c>
      <c r="G791">
        <f>Table1[[#This Row],[sleep_hours]]-Table1[[#This Row],[daily_social_media_hours]]</f>
        <v>2.7</v>
      </c>
      <c r="H791">
        <v>2.8</v>
      </c>
      <c r="I791">
        <v>3.22</v>
      </c>
      <c r="J791" t="str" cm="1">
        <f t="array" ref="J791">_xlfn.IFS(Table1[[#This Row],[academic_performance]]&gt;1,"Need Improvement",Table1[[#This Row],[academic_performance]]&gt;2,"Good",Table1[[#This Row],[academic_performance]]&gt;3,"Very good",Table1[[#This Row],[academic_performance]]&gt;4,"Excellent")</f>
        <v>Need Improvement</v>
      </c>
      <c r="K791">
        <v>1.6</v>
      </c>
      <c r="L791" t="str">
        <f>IF(Table1[[#This Row],[physical_activity]]&gt;1.9,"better overall ","lower rate of depression")</f>
        <v>lower rate of depression</v>
      </c>
      <c r="M791" t="s">
        <v>19</v>
      </c>
      <c r="N791">
        <v>5</v>
      </c>
      <c r="O791">
        <v>3</v>
      </c>
      <c r="P791">
        <v>10</v>
      </c>
      <c r="Q791">
        <v>0</v>
      </c>
    </row>
    <row r="792" spans="1:17" x14ac:dyDescent="0.3">
      <c r="A792">
        <v>14</v>
      </c>
      <c r="B792" t="s">
        <v>16</v>
      </c>
      <c r="C792" t="str">
        <f>IF(Table1[[#This Row],[age]]&gt;18,"Adult","Teenage")</f>
        <v>Teenage</v>
      </c>
      <c r="D792">
        <v>6.6</v>
      </c>
      <c r="E792" t="s">
        <v>17</v>
      </c>
      <c r="F792">
        <v>6.2</v>
      </c>
      <c r="G792">
        <f>Table1[[#This Row],[sleep_hours]]-Table1[[#This Row],[daily_social_media_hours]]</f>
        <v>-0.39999999999999947</v>
      </c>
      <c r="H792">
        <v>1.8</v>
      </c>
      <c r="I792">
        <v>2.36</v>
      </c>
      <c r="J792" t="str" cm="1">
        <f t="array" ref="J792">_xlfn.IFS(Table1[[#This Row],[academic_performance]]&gt;1,"Need Improvement",Table1[[#This Row],[academic_performance]]&gt;2,"Good",Table1[[#This Row],[academic_performance]]&gt;3,"Very good",Table1[[#This Row],[academic_performance]]&gt;4,"Excellent")</f>
        <v>Need Improvement</v>
      </c>
      <c r="K792">
        <v>1.7</v>
      </c>
      <c r="L792" t="str">
        <f>IF(Table1[[#This Row],[physical_activity]]&gt;1.9,"better overall ","lower rate of depression")</f>
        <v>lower rate of depression</v>
      </c>
      <c r="M792" t="s">
        <v>18</v>
      </c>
      <c r="N792">
        <v>4</v>
      </c>
      <c r="O792">
        <v>1</v>
      </c>
      <c r="P792">
        <v>8</v>
      </c>
      <c r="Q792">
        <v>0</v>
      </c>
    </row>
    <row r="793" spans="1:17" x14ac:dyDescent="0.3">
      <c r="A793">
        <v>15</v>
      </c>
      <c r="B793" t="s">
        <v>16</v>
      </c>
      <c r="C793" t="str">
        <f>IF(Table1[[#This Row],[age]]&gt;18,"Adult","Teenage")</f>
        <v>Teenage</v>
      </c>
      <c r="D793">
        <v>4.4000000000000004</v>
      </c>
      <c r="E793" t="s">
        <v>17</v>
      </c>
      <c r="F793">
        <v>5.3</v>
      </c>
      <c r="G793">
        <f>Table1[[#This Row],[sleep_hours]]-Table1[[#This Row],[daily_social_media_hours]]</f>
        <v>0.89999999999999947</v>
      </c>
      <c r="H793">
        <v>0.9</v>
      </c>
      <c r="I793">
        <v>3.75</v>
      </c>
      <c r="J793" t="str" cm="1">
        <f t="array" ref="J793">_xlfn.IFS(Table1[[#This Row],[academic_performance]]&gt;1,"Need Improvement",Table1[[#This Row],[academic_performance]]&gt;2,"Good",Table1[[#This Row],[academic_performance]]&gt;3,"Very good",Table1[[#This Row],[academic_performance]]&gt;4,"Excellent")</f>
        <v>Need Improvement</v>
      </c>
      <c r="K793">
        <v>0.5</v>
      </c>
      <c r="L793" t="str">
        <f>IF(Table1[[#This Row],[physical_activity]]&gt;1.9,"better overall ","lower rate of depression")</f>
        <v>lower rate of depression</v>
      </c>
      <c r="M793" t="s">
        <v>18</v>
      </c>
      <c r="N793">
        <v>10</v>
      </c>
      <c r="O793">
        <v>5</v>
      </c>
      <c r="P793">
        <v>5</v>
      </c>
      <c r="Q793">
        <v>0</v>
      </c>
    </row>
    <row r="794" spans="1:17" x14ac:dyDescent="0.3">
      <c r="A794">
        <v>14</v>
      </c>
      <c r="B794" t="s">
        <v>16</v>
      </c>
      <c r="C794" t="str">
        <f>IF(Table1[[#This Row],[age]]&gt;18,"Adult","Teenage")</f>
        <v>Teenage</v>
      </c>
      <c r="D794">
        <v>4.7</v>
      </c>
      <c r="E794" t="s">
        <v>17</v>
      </c>
      <c r="F794">
        <v>4.4000000000000004</v>
      </c>
      <c r="G794">
        <f>Table1[[#This Row],[sleep_hours]]-Table1[[#This Row],[daily_social_media_hours]]</f>
        <v>-0.29999999999999982</v>
      </c>
      <c r="H794">
        <v>2.1</v>
      </c>
      <c r="I794">
        <v>3.92</v>
      </c>
      <c r="J794" t="str" cm="1">
        <f t="array" ref="J794">_xlfn.IFS(Table1[[#This Row],[academic_performance]]&gt;1,"Need Improvement",Table1[[#This Row],[academic_performance]]&gt;2,"Good",Table1[[#This Row],[academic_performance]]&gt;3,"Very good",Table1[[#This Row],[academic_performance]]&gt;4,"Excellent")</f>
        <v>Need Improvement</v>
      </c>
      <c r="K794">
        <v>0.9</v>
      </c>
      <c r="L794" t="str">
        <f>IF(Table1[[#This Row],[physical_activity]]&gt;1.9,"better overall ","lower rate of depression")</f>
        <v>lower rate of depression</v>
      </c>
      <c r="M794" t="s">
        <v>15</v>
      </c>
      <c r="N794">
        <v>10</v>
      </c>
      <c r="O794">
        <v>1</v>
      </c>
      <c r="P794">
        <v>4</v>
      </c>
      <c r="Q794">
        <v>0</v>
      </c>
    </row>
    <row r="795" spans="1:17" x14ac:dyDescent="0.3">
      <c r="A795">
        <v>18</v>
      </c>
      <c r="B795" t="s">
        <v>16</v>
      </c>
      <c r="C795" t="str">
        <f>IF(Table1[[#This Row],[age]]&gt;18,"Adult","Teenage")</f>
        <v>Teenage</v>
      </c>
      <c r="D795">
        <v>7.1</v>
      </c>
      <c r="E795" t="s">
        <v>14</v>
      </c>
      <c r="F795">
        <v>5.7</v>
      </c>
      <c r="G795">
        <f>Table1[[#This Row],[sleep_hours]]-Table1[[#This Row],[daily_social_media_hours]]</f>
        <v>-1.3999999999999995</v>
      </c>
      <c r="H795">
        <v>0.6</v>
      </c>
      <c r="I795">
        <v>2.9</v>
      </c>
      <c r="J795" t="str" cm="1">
        <f t="array" ref="J795">_xlfn.IFS(Table1[[#This Row],[academic_performance]]&gt;1,"Need Improvement",Table1[[#This Row],[academic_performance]]&gt;2,"Good",Table1[[#This Row],[academic_performance]]&gt;3,"Very good",Table1[[#This Row],[academic_performance]]&gt;4,"Excellent")</f>
        <v>Need Improvement</v>
      </c>
      <c r="K795">
        <v>1.7</v>
      </c>
      <c r="L795" t="str">
        <f>IF(Table1[[#This Row],[physical_activity]]&gt;1.9,"better overall ","lower rate of depression")</f>
        <v>lower rate of depression</v>
      </c>
      <c r="M795" t="s">
        <v>19</v>
      </c>
      <c r="N795">
        <v>3</v>
      </c>
      <c r="O795">
        <v>1</v>
      </c>
      <c r="P795">
        <v>6</v>
      </c>
      <c r="Q795">
        <v>0</v>
      </c>
    </row>
    <row r="796" spans="1:17" x14ac:dyDescent="0.3">
      <c r="A796">
        <v>17</v>
      </c>
      <c r="B796" t="s">
        <v>13</v>
      </c>
      <c r="C796" t="str">
        <f>IF(Table1[[#This Row],[age]]&gt;18,"Adult","Teenage")</f>
        <v>Teenage</v>
      </c>
      <c r="D796">
        <v>4</v>
      </c>
      <c r="E796" t="s">
        <v>20</v>
      </c>
      <c r="F796">
        <v>8.5</v>
      </c>
      <c r="G796">
        <f>Table1[[#This Row],[sleep_hours]]-Table1[[#This Row],[daily_social_media_hours]]</f>
        <v>4.5</v>
      </c>
      <c r="H796">
        <v>1</v>
      </c>
      <c r="I796">
        <v>2.16</v>
      </c>
      <c r="J796" t="str" cm="1">
        <f t="array" ref="J796">_xlfn.IFS(Table1[[#This Row],[academic_performance]]&gt;1,"Need Improvement",Table1[[#This Row],[academic_performance]]&gt;2,"Good",Table1[[#This Row],[academic_performance]]&gt;3,"Very good",Table1[[#This Row],[academic_performance]]&gt;4,"Excellent")</f>
        <v>Need Improvement</v>
      </c>
      <c r="K796">
        <v>0.1</v>
      </c>
      <c r="L796" t="str">
        <f>IF(Table1[[#This Row],[physical_activity]]&gt;1.9,"better overall ","lower rate of depression")</f>
        <v>lower rate of depression</v>
      </c>
      <c r="M796" t="s">
        <v>15</v>
      </c>
      <c r="N796">
        <v>1</v>
      </c>
      <c r="O796">
        <v>7</v>
      </c>
      <c r="P796">
        <v>5</v>
      </c>
      <c r="Q796">
        <v>0</v>
      </c>
    </row>
    <row r="797" spans="1:17" x14ac:dyDescent="0.3">
      <c r="A797">
        <v>18</v>
      </c>
      <c r="B797" t="s">
        <v>16</v>
      </c>
      <c r="C797" t="str">
        <f>IF(Table1[[#This Row],[age]]&gt;18,"Adult","Teenage")</f>
        <v>Teenage</v>
      </c>
      <c r="D797">
        <v>5.5</v>
      </c>
      <c r="E797" t="s">
        <v>14</v>
      </c>
      <c r="F797">
        <v>5.3</v>
      </c>
      <c r="G797">
        <f>Table1[[#This Row],[sleep_hours]]-Table1[[#This Row],[daily_social_media_hours]]</f>
        <v>-0.20000000000000018</v>
      </c>
      <c r="H797">
        <v>2.6</v>
      </c>
      <c r="I797">
        <v>3.09</v>
      </c>
      <c r="J797" t="str" cm="1">
        <f t="array" ref="J797">_xlfn.IFS(Table1[[#This Row],[academic_performance]]&gt;1,"Need Improvement",Table1[[#This Row],[academic_performance]]&gt;2,"Good",Table1[[#This Row],[academic_performance]]&gt;3,"Very good",Table1[[#This Row],[academic_performance]]&gt;4,"Excellent")</f>
        <v>Need Improvement</v>
      </c>
      <c r="K797">
        <v>2</v>
      </c>
      <c r="L797" t="str">
        <f>IF(Table1[[#This Row],[physical_activity]]&gt;1.9,"better overall ","lower rate of depression")</f>
        <v xml:space="preserve">better overall </v>
      </c>
      <c r="M797" t="s">
        <v>15</v>
      </c>
      <c r="N797">
        <v>8</v>
      </c>
      <c r="O797">
        <v>6</v>
      </c>
      <c r="P797">
        <v>3</v>
      </c>
      <c r="Q797">
        <v>0</v>
      </c>
    </row>
    <row r="798" spans="1:17" x14ac:dyDescent="0.3">
      <c r="A798">
        <v>19</v>
      </c>
      <c r="B798" t="s">
        <v>13</v>
      </c>
      <c r="C798" t="str">
        <f>IF(Table1[[#This Row],[age]]&gt;18,"Adult","Teenage")</f>
        <v>Adult</v>
      </c>
      <c r="D798">
        <v>5.6</v>
      </c>
      <c r="E798" t="s">
        <v>17</v>
      </c>
      <c r="F798">
        <v>6.5</v>
      </c>
      <c r="G798">
        <f>Table1[[#This Row],[sleep_hours]]-Table1[[#This Row],[daily_social_media_hours]]</f>
        <v>0.90000000000000036</v>
      </c>
      <c r="H798">
        <v>1.4</v>
      </c>
      <c r="I798">
        <v>3.19</v>
      </c>
      <c r="J798" t="str" cm="1">
        <f t="array" ref="J798">_xlfn.IFS(Table1[[#This Row],[academic_performance]]&gt;1,"Need Improvement",Table1[[#This Row],[academic_performance]]&gt;2,"Good",Table1[[#This Row],[academic_performance]]&gt;3,"Very good",Table1[[#This Row],[academic_performance]]&gt;4,"Excellent")</f>
        <v>Need Improvement</v>
      </c>
      <c r="K798">
        <v>0</v>
      </c>
      <c r="L798" t="str">
        <f>IF(Table1[[#This Row],[physical_activity]]&gt;1.9,"better overall ","lower rate of depression")</f>
        <v>lower rate of depression</v>
      </c>
      <c r="M798" t="s">
        <v>18</v>
      </c>
      <c r="N798">
        <v>9</v>
      </c>
      <c r="O798">
        <v>9</v>
      </c>
      <c r="P798">
        <v>7</v>
      </c>
      <c r="Q798">
        <v>0</v>
      </c>
    </row>
    <row r="799" spans="1:17" x14ac:dyDescent="0.3">
      <c r="A799">
        <v>14</v>
      </c>
      <c r="B799" t="s">
        <v>16</v>
      </c>
      <c r="C799" t="str">
        <f>IF(Table1[[#This Row],[age]]&gt;18,"Adult","Teenage")</f>
        <v>Teenage</v>
      </c>
      <c r="D799">
        <v>3.7</v>
      </c>
      <c r="E799" t="s">
        <v>20</v>
      </c>
      <c r="F799">
        <v>7.1</v>
      </c>
      <c r="G799">
        <f>Table1[[#This Row],[sleep_hours]]-Table1[[#This Row],[daily_social_media_hours]]</f>
        <v>3.3999999999999995</v>
      </c>
      <c r="H799">
        <v>1.7</v>
      </c>
      <c r="I799">
        <v>2.5</v>
      </c>
      <c r="J799" t="str" cm="1">
        <f t="array" ref="J799">_xlfn.IFS(Table1[[#This Row],[academic_performance]]&gt;1,"Need Improvement",Table1[[#This Row],[academic_performance]]&gt;2,"Good",Table1[[#This Row],[academic_performance]]&gt;3,"Very good",Table1[[#This Row],[academic_performance]]&gt;4,"Excellent")</f>
        <v>Need Improvement</v>
      </c>
      <c r="K799">
        <v>1.8</v>
      </c>
      <c r="L799" t="str">
        <f>IF(Table1[[#This Row],[physical_activity]]&gt;1.9,"better overall ","lower rate of depression")</f>
        <v>lower rate of depression</v>
      </c>
      <c r="M799" t="s">
        <v>19</v>
      </c>
      <c r="N799">
        <v>10</v>
      </c>
      <c r="O799">
        <v>4</v>
      </c>
      <c r="P799">
        <v>5</v>
      </c>
      <c r="Q799">
        <v>0</v>
      </c>
    </row>
    <row r="800" spans="1:17" x14ac:dyDescent="0.3">
      <c r="A800">
        <v>16</v>
      </c>
      <c r="B800" t="s">
        <v>13</v>
      </c>
      <c r="C800" t="str">
        <f>IF(Table1[[#This Row],[age]]&gt;18,"Adult","Teenage")</f>
        <v>Teenage</v>
      </c>
      <c r="D800">
        <v>1.8</v>
      </c>
      <c r="E800" t="s">
        <v>17</v>
      </c>
      <c r="F800">
        <v>7.4</v>
      </c>
      <c r="G800">
        <f>Table1[[#This Row],[sleep_hours]]-Table1[[#This Row],[daily_social_media_hours]]</f>
        <v>5.6000000000000005</v>
      </c>
      <c r="H800">
        <v>2.2999999999999998</v>
      </c>
      <c r="I800">
        <v>3.76</v>
      </c>
      <c r="J800" t="str" cm="1">
        <f t="array" ref="J800">_xlfn.IFS(Table1[[#This Row],[academic_performance]]&gt;1,"Need Improvement",Table1[[#This Row],[academic_performance]]&gt;2,"Good",Table1[[#This Row],[academic_performance]]&gt;3,"Very good",Table1[[#This Row],[academic_performance]]&gt;4,"Excellent")</f>
        <v>Need Improvement</v>
      </c>
      <c r="K800">
        <v>0.8</v>
      </c>
      <c r="L800" t="str">
        <f>IF(Table1[[#This Row],[physical_activity]]&gt;1.9,"better overall ","lower rate of depression")</f>
        <v>lower rate of depression</v>
      </c>
      <c r="M800" t="s">
        <v>15</v>
      </c>
      <c r="N800">
        <v>9</v>
      </c>
      <c r="O800">
        <v>5</v>
      </c>
      <c r="P800">
        <v>8</v>
      </c>
      <c r="Q800">
        <v>0</v>
      </c>
    </row>
    <row r="801" spans="1:17" x14ac:dyDescent="0.3">
      <c r="A801">
        <v>16</v>
      </c>
      <c r="B801" t="s">
        <v>16</v>
      </c>
      <c r="C801" t="str">
        <f>IF(Table1[[#This Row],[age]]&gt;18,"Adult","Teenage")</f>
        <v>Teenage</v>
      </c>
      <c r="D801">
        <v>7.6</v>
      </c>
      <c r="E801" t="s">
        <v>17</v>
      </c>
      <c r="F801">
        <v>4.2</v>
      </c>
      <c r="G801">
        <f>Table1[[#This Row],[sleep_hours]]-Table1[[#This Row],[daily_social_media_hours]]</f>
        <v>-3.3999999999999995</v>
      </c>
      <c r="H801">
        <v>2.8</v>
      </c>
      <c r="I801">
        <v>3.87</v>
      </c>
      <c r="J801" t="str" cm="1">
        <f t="array" ref="J801">_xlfn.IFS(Table1[[#This Row],[academic_performance]]&gt;1,"Need Improvement",Table1[[#This Row],[academic_performance]]&gt;2,"Good",Table1[[#This Row],[academic_performance]]&gt;3,"Very good",Table1[[#This Row],[academic_performance]]&gt;4,"Excellent")</f>
        <v>Need Improvement</v>
      </c>
      <c r="K801">
        <v>0.7</v>
      </c>
      <c r="L801" t="str">
        <f>IF(Table1[[#This Row],[physical_activity]]&gt;1.9,"better overall ","lower rate of depression")</f>
        <v>lower rate of depression</v>
      </c>
      <c r="M801" t="s">
        <v>18</v>
      </c>
      <c r="N801">
        <v>10</v>
      </c>
      <c r="O801">
        <v>2</v>
      </c>
      <c r="P801">
        <v>9</v>
      </c>
      <c r="Q801">
        <v>0</v>
      </c>
    </row>
    <row r="802" spans="1:17" x14ac:dyDescent="0.3">
      <c r="A802">
        <v>18</v>
      </c>
      <c r="B802" t="s">
        <v>13</v>
      </c>
      <c r="C802" t="str">
        <f>IF(Table1[[#This Row],[age]]&gt;18,"Adult","Teenage")</f>
        <v>Teenage</v>
      </c>
      <c r="D802">
        <v>5.7</v>
      </c>
      <c r="E802" t="s">
        <v>17</v>
      </c>
      <c r="F802">
        <v>8</v>
      </c>
      <c r="G802">
        <f>Table1[[#This Row],[sleep_hours]]-Table1[[#This Row],[daily_social_media_hours]]</f>
        <v>2.2999999999999998</v>
      </c>
      <c r="H802">
        <v>2.5</v>
      </c>
      <c r="I802">
        <v>3.4</v>
      </c>
      <c r="J802" t="str" cm="1">
        <f t="array" ref="J802">_xlfn.IFS(Table1[[#This Row],[academic_performance]]&gt;1,"Need Improvement",Table1[[#This Row],[academic_performance]]&gt;2,"Good",Table1[[#This Row],[academic_performance]]&gt;3,"Very good",Table1[[#This Row],[academic_performance]]&gt;4,"Excellent")</f>
        <v>Need Improvement</v>
      </c>
      <c r="K802">
        <v>0.1</v>
      </c>
      <c r="L802" t="str">
        <f>IF(Table1[[#This Row],[physical_activity]]&gt;1.9,"better overall ","lower rate of depression")</f>
        <v>lower rate of depression</v>
      </c>
      <c r="M802" t="s">
        <v>15</v>
      </c>
      <c r="N802">
        <v>5</v>
      </c>
      <c r="O802">
        <v>2</v>
      </c>
      <c r="P802">
        <v>1</v>
      </c>
      <c r="Q802">
        <v>0</v>
      </c>
    </row>
    <row r="803" spans="1:17" x14ac:dyDescent="0.3">
      <c r="A803">
        <v>14</v>
      </c>
      <c r="B803" t="s">
        <v>16</v>
      </c>
      <c r="C803" t="str">
        <f>IF(Table1[[#This Row],[age]]&gt;18,"Adult","Teenage")</f>
        <v>Teenage</v>
      </c>
      <c r="D803">
        <v>6.1</v>
      </c>
      <c r="E803" t="s">
        <v>14</v>
      </c>
      <c r="F803">
        <v>7</v>
      </c>
      <c r="G803">
        <f>Table1[[#This Row],[sleep_hours]]-Table1[[#This Row],[daily_social_media_hours]]</f>
        <v>0.90000000000000036</v>
      </c>
      <c r="H803">
        <v>2.7</v>
      </c>
      <c r="I803">
        <v>3.97</v>
      </c>
      <c r="J803" t="str" cm="1">
        <f t="array" ref="J803">_xlfn.IFS(Table1[[#This Row],[academic_performance]]&gt;1,"Need Improvement",Table1[[#This Row],[academic_performance]]&gt;2,"Good",Table1[[#This Row],[academic_performance]]&gt;3,"Very good",Table1[[#This Row],[academic_performance]]&gt;4,"Excellent")</f>
        <v>Need Improvement</v>
      </c>
      <c r="K803">
        <v>1</v>
      </c>
      <c r="L803" t="str">
        <f>IF(Table1[[#This Row],[physical_activity]]&gt;1.9,"better overall ","lower rate of depression")</f>
        <v>lower rate of depression</v>
      </c>
      <c r="M803" t="s">
        <v>19</v>
      </c>
      <c r="N803">
        <v>1</v>
      </c>
      <c r="O803">
        <v>8</v>
      </c>
      <c r="P803">
        <v>8</v>
      </c>
      <c r="Q803">
        <v>0</v>
      </c>
    </row>
    <row r="804" spans="1:17" x14ac:dyDescent="0.3">
      <c r="A804">
        <v>13</v>
      </c>
      <c r="B804" t="s">
        <v>16</v>
      </c>
      <c r="C804" t="str">
        <f>IF(Table1[[#This Row],[age]]&gt;18,"Adult","Teenage")</f>
        <v>Teenage</v>
      </c>
      <c r="D804">
        <v>6</v>
      </c>
      <c r="E804" t="s">
        <v>14</v>
      </c>
      <c r="F804">
        <v>7.2</v>
      </c>
      <c r="G804">
        <f>Table1[[#This Row],[sleep_hours]]-Table1[[#This Row],[daily_social_media_hours]]</f>
        <v>1.2000000000000002</v>
      </c>
      <c r="H804">
        <v>0.6</v>
      </c>
      <c r="I804">
        <v>2.11</v>
      </c>
      <c r="J804" t="str" cm="1">
        <f t="array" ref="J804">_xlfn.IFS(Table1[[#This Row],[academic_performance]]&gt;1,"Need Improvement",Table1[[#This Row],[academic_performance]]&gt;2,"Good",Table1[[#This Row],[academic_performance]]&gt;3,"Very good",Table1[[#This Row],[academic_performance]]&gt;4,"Excellent")</f>
        <v>Need Improvement</v>
      </c>
      <c r="K804">
        <v>1.1000000000000001</v>
      </c>
      <c r="L804" t="str">
        <f>IF(Table1[[#This Row],[physical_activity]]&gt;1.9,"better overall ","lower rate of depression")</f>
        <v>lower rate of depression</v>
      </c>
      <c r="M804" t="s">
        <v>15</v>
      </c>
      <c r="N804">
        <v>1</v>
      </c>
      <c r="O804">
        <v>3</v>
      </c>
      <c r="P804">
        <v>6</v>
      </c>
      <c r="Q804">
        <v>0</v>
      </c>
    </row>
    <row r="805" spans="1:17" x14ac:dyDescent="0.3">
      <c r="A805">
        <v>15</v>
      </c>
      <c r="B805" t="s">
        <v>16</v>
      </c>
      <c r="C805" t="str">
        <f>IF(Table1[[#This Row],[age]]&gt;18,"Adult","Teenage")</f>
        <v>Teenage</v>
      </c>
      <c r="D805">
        <v>3.1</v>
      </c>
      <c r="E805" t="s">
        <v>17</v>
      </c>
      <c r="F805">
        <v>4.2</v>
      </c>
      <c r="G805">
        <f>Table1[[#This Row],[sleep_hours]]-Table1[[#This Row],[daily_social_media_hours]]</f>
        <v>1.1000000000000001</v>
      </c>
      <c r="H805">
        <v>2.4</v>
      </c>
      <c r="I805">
        <v>3.41</v>
      </c>
      <c r="J805" t="str" cm="1">
        <f t="array" ref="J805">_xlfn.IFS(Table1[[#This Row],[academic_performance]]&gt;1,"Need Improvement",Table1[[#This Row],[academic_performance]]&gt;2,"Good",Table1[[#This Row],[academic_performance]]&gt;3,"Very good",Table1[[#This Row],[academic_performance]]&gt;4,"Excellent")</f>
        <v>Need Improvement</v>
      </c>
      <c r="K805">
        <v>0.2</v>
      </c>
      <c r="L805" t="str">
        <f>IF(Table1[[#This Row],[physical_activity]]&gt;1.9,"better overall ","lower rate of depression")</f>
        <v>lower rate of depression</v>
      </c>
      <c r="M805" t="s">
        <v>15</v>
      </c>
      <c r="N805">
        <v>3</v>
      </c>
      <c r="O805">
        <v>7</v>
      </c>
      <c r="P805">
        <v>5</v>
      </c>
      <c r="Q805">
        <v>0</v>
      </c>
    </row>
    <row r="806" spans="1:17" x14ac:dyDescent="0.3">
      <c r="A806">
        <v>17</v>
      </c>
      <c r="B806" t="s">
        <v>13</v>
      </c>
      <c r="C806" t="str">
        <f>IF(Table1[[#This Row],[age]]&gt;18,"Adult","Teenage")</f>
        <v>Teenage</v>
      </c>
      <c r="D806">
        <v>7.6</v>
      </c>
      <c r="E806" t="s">
        <v>14</v>
      </c>
      <c r="F806">
        <v>6</v>
      </c>
      <c r="G806">
        <f>Table1[[#This Row],[sleep_hours]]-Table1[[#This Row],[daily_social_media_hours]]</f>
        <v>-1.5999999999999996</v>
      </c>
      <c r="H806">
        <v>2</v>
      </c>
      <c r="I806">
        <v>3.82</v>
      </c>
      <c r="J806" t="str" cm="1">
        <f t="array" ref="J806">_xlfn.IFS(Table1[[#This Row],[academic_performance]]&gt;1,"Need Improvement",Table1[[#This Row],[academic_performance]]&gt;2,"Good",Table1[[#This Row],[academic_performance]]&gt;3,"Very good",Table1[[#This Row],[academic_performance]]&gt;4,"Excellent")</f>
        <v>Need Improvement</v>
      </c>
      <c r="K806">
        <v>1.5</v>
      </c>
      <c r="L806" t="str">
        <f>IF(Table1[[#This Row],[physical_activity]]&gt;1.9,"better overall ","lower rate of depression")</f>
        <v>lower rate of depression</v>
      </c>
      <c r="M806" t="s">
        <v>15</v>
      </c>
      <c r="N806">
        <v>8</v>
      </c>
      <c r="O806">
        <v>9</v>
      </c>
      <c r="P806">
        <v>7</v>
      </c>
      <c r="Q806">
        <v>0</v>
      </c>
    </row>
    <row r="807" spans="1:17" x14ac:dyDescent="0.3">
      <c r="A807">
        <v>17</v>
      </c>
      <c r="B807" t="s">
        <v>13</v>
      </c>
      <c r="C807" t="str">
        <f>IF(Table1[[#This Row],[age]]&gt;18,"Adult","Teenage")</f>
        <v>Teenage</v>
      </c>
      <c r="D807">
        <v>6</v>
      </c>
      <c r="E807" t="s">
        <v>20</v>
      </c>
      <c r="F807">
        <v>5.3</v>
      </c>
      <c r="G807">
        <f>Table1[[#This Row],[sleep_hours]]-Table1[[#This Row],[daily_social_media_hours]]</f>
        <v>-0.70000000000000018</v>
      </c>
      <c r="H807">
        <v>2.7</v>
      </c>
      <c r="I807">
        <v>3.2</v>
      </c>
      <c r="J807" t="str" cm="1">
        <f t="array" ref="J807">_xlfn.IFS(Table1[[#This Row],[academic_performance]]&gt;1,"Need Improvement",Table1[[#This Row],[academic_performance]]&gt;2,"Good",Table1[[#This Row],[academic_performance]]&gt;3,"Very good",Table1[[#This Row],[academic_performance]]&gt;4,"Excellent")</f>
        <v>Need Improvement</v>
      </c>
      <c r="K807">
        <v>1.4</v>
      </c>
      <c r="L807" t="str">
        <f>IF(Table1[[#This Row],[physical_activity]]&gt;1.9,"better overall ","lower rate of depression")</f>
        <v>lower rate of depression</v>
      </c>
      <c r="M807" t="s">
        <v>19</v>
      </c>
      <c r="N807">
        <v>8</v>
      </c>
      <c r="O807">
        <v>2</v>
      </c>
      <c r="P807">
        <v>4</v>
      </c>
      <c r="Q807">
        <v>0</v>
      </c>
    </row>
    <row r="808" spans="1:17" x14ac:dyDescent="0.3">
      <c r="A808">
        <v>13</v>
      </c>
      <c r="B808" t="s">
        <v>16</v>
      </c>
      <c r="C808" t="str">
        <f>IF(Table1[[#This Row],[age]]&gt;18,"Adult","Teenage")</f>
        <v>Teenage</v>
      </c>
      <c r="D808">
        <v>3.5</v>
      </c>
      <c r="E808" t="s">
        <v>14</v>
      </c>
      <c r="F808">
        <v>5.3</v>
      </c>
      <c r="G808">
        <f>Table1[[#This Row],[sleep_hours]]-Table1[[#This Row],[daily_social_media_hours]]</f>
        <v>1.7999999999999998</v>
      </c>
      <c r="H808">
        <v>2.7</v>
      </c>
      <c r="I808">
        <v>3.7</v>
      </c>
      <c r="J808" t="str" cm="1">
        <f t="array" ref="J808">_xlfn.IFS(Table1[[#This Row],[academic_performance]]&gt;1,"Need Improvement",Table1[[#This Row],[academic_performance]]&gt;2,"Good",Table1[[#This Row],[academic_performance]]&gt;3,"Very good",Table1[[#This Row],[academic_performance]]&gt;4,"Excellent")</f>
        <v>Need Improvement</v>
      </c>
      <c r="K808">
        <v>0.5</v>
      </c>
      <c r="L808" t="str">
        <f>IF(Table1[[#This Row],[physical_activity]]&gt;1.9,"better overall ","lower rate of depression")</f>
        <v>lower rate of depression</v>
      </c>
      <c r="M808" t="s">
        <v>15</v>
      </c>
      <c r="N808">
        <v>3</v>
      </c>
      <c r="O808">
        <v>7</v>
      </c>
      <c r="P808">
        <v>2</v>
      </c>
      <c r="Q808">
        <v>0</v>
      </c>
    </row>
    <row r="809" spans="1:17" x14ac:dyDescent="0.3">
      <c r="A809">
        <v>14</v>
      </c>
      <c r="B809" t="s">
        <v>16</v>
      </c>
      <c r="C809" t="str">
        <f>IF(Table1[[#This Row],[age]]&gt;18,"Adult","Teenage")</f>
        <v>Teenage</v>
      </c>
      <c r="D809">
        <v>1.3</v>
      </c>
      <c r="E809" t="s">
        <v>17</v>
      </c>
      <c r="F809">
        <v>7.5</v>
      </c>
      <c r="G809">
        <f>Table1[[#This Row],[sleep_hours]]-Table1[[#This Row],[daily_social_media_hours]]</f>
        <v>6.2</v>
      </c>
      <c r="H809">
        <v>1.4</v>
      </c>
      <c r="I809">
        <v>3.85</v>
      </c>
      <c r="J809" t="str" cm="1">
        <f t="array" ref="J809">_xlfn.IFS(Table1[[#This Row],[academic_performance]]&gt;1,"Need Improvement",Table1[[#This Row],[academic_performance]]&gt;2,"Good",Table1[[#This Row],[academic_performance]]&gt;3,"Very good",Table1[[#This Row],[academic_performance]]&gt;4,"Excellent")</f>
        <v>Need Improvement</v>
      </c>
      <c r="K809">
        <v>1.6</v>
      </c>
      <c r="L809" t="str">
        <f>IF(Table1[[#This Row],[physical_activity]]&gt;1.9,"better overall ","lower rate of depression")</f>
        <v>lower rate of depression</v>
      </c>
      <c r="M809" t="s">
        <v>19</v>
      </c>
      <c r="N809">
        <v>10</v>
      </c>
      <c r="O809">
        <v>8</v>
      </c>
      <c r="P809">
        <v>7</v>
      </c>
      <c r="Q809">
        <v>0</v>
      </c>
    </row>
    <row r="810" spans="1:17" x14ac:dyDescent="0.3">
      <c r="A810">
        <v>18</v>
      </c>
      <c r="B810" t="s">
        <v>16</v>
      </c>
      <c r="C810" t="str">
        <f>IF(Table1[[#This Row],[age]]&gt;18,"Adult","Teenage")</f>
        <v>Teenage</v>
      </c>
      <c r="D810">
        <v>2.8</v>
      </c>
      <c r="E810" t="s">
        <v>17</v>
      </c>
      <c r="F810">
        <v>7</v>
      </c>
      <c r="G810">
        <f>Table1[[#This Row],[sleep_hours]]-Table1[[#This Row],[daily_social_media_hours]]</f>
        <v>4.2</v>
      </c>
      <c r="H810">
        <v>2.9</v>
      </c>
      <c r="I810">
        <v>3.91</v>
      </c>
      <c r="J810" t="str" cm="1">
        <f t="array" ref="J810">_xlfn.IFS(Table1[[#This Row],[academic_performance]]&gt;1,"Need Improvement",Table1[[#This Row],[academic_performance]]&gt;2,"Good",Table1[[#This Row],[academic_performance]]&gt;3,"Very good",Table1[[#This Row],[academic_performance]]&gt;4,"Excellent")</f>
        <v>Need Improvement</v>
      </c>
      <c r="K810">
        <v>1.1000000000000001</v>
      </c>
      <c r="L810" t="str">
        <f>IF(Table1[[#This Row],[physical_activity]]&gt;1.9,"better overall ","lower rate of depression")</f>
        <v>lower rate of depression</v>
      </c>
      <c r="M810" t="s">
        <v>19</v>
      </c>
      <c r="N810">
        <v>9</v>
      </c>
      <c r="O810">
        <v>9</v>
      </c>
      <c r="P810">
        <v>1</v>
      </c>
      <c r="Q810">
        <v>0</v>
      </c>
    </row>
    <row r="811" spans="1:17" x14ac:dyDescent="0.3">
      <c r="A811">
        <v>14</v>
      </c>
      <c r="B811" t="s">
        <v>13</v>
      </c>
      <c r="C811" t="str">
        <f>IF(Table1[[#This Row],[age]]&gt;18,"Adult","Teenage")</f>
        <v>Teenage</v>
      </c>
      <c r="D811">
        <v>3.9</v>
      </c>
      <c r="E811" t="s">
        <v>20</v>
      </c>
      <c r="F811">
        <v>4.8</v>
      </c>
      <c r="G811">
        <f>Table1[[#This Row],[sleep_hours]]-Table1[[#This Row],[daily_social_media_hours]]</f>
        <v>0.89999999999999991</v>
      </c>
      <c r="H811">
        <v>0.8</v>
      </c>
      <c r="I811">
        <v>3.32</v>
      </c>
      <c r="J811" t="str" cm="1">
        <f t="array" ref="J811">_xlfn.IFS(Table1[[#This Row],[academic_performance]]&gt;1,"Need Improvement",Table1[[#This Row],[academic_performance]]&gt;2,"Good",Table1[[#This Row],[academic_performance]]&gt;3,"Very good",Table1[[#This Row],[academic_performance]]&gt;4,"Excellent")</f>
        <v>Need Improvement</v>
      </c>
      <c r="K811">
        <v>0.3</v>
      </c>
      <c r="L811" t="str">
        <f>IF(Table1[[#This Row],[physical_activity]]&gt;1.9,"better overall ","lower rate of depression")</f>
        <v>lower rate of depression</v>
      </c>
      <c r="M811" t="s">
        <v>18</v>
      </c>
      <c r="N811">
        <v>5</v>
      </c>
      <c r="O811">
        <v>2</v>
      </c>
      <c r="P811">
        <v>5</v>
      </c>
      <c r="Q811">
        <v>0</v>
      </c>
    </row>
    <row r="812" spans="1:17" x14ac:dyDescent="0.3">
      <c r="A812">
        <v>19</v>
      </c>
      <c r="B812" t="s">
        <v>13</v>
      </c>
      <c r="C812" t="str">
        <f>IF(Table1[[#This Row],[age]]&gt;18,"Adult","Teenage")</f>
        <v>Adult</v>
      </c>
      <c r="D812">
        <v>3.9</v>
      </c>
      <c r="E812" t="s">
        <v>20</v>
      </c>
      <c r="F812">
        <v>4.8</v>
      </c>
      <c r="G812">
        <f>Table1[[#This Row],[sleep_hours]]-Table1[[#This Row],[daily_social_media_hours]]</f>
        <v>0.89999999999999991</v>
      </c>
      <c r="H812">
        <v>2.8</v>
      </c>
      <c r="I812">
        <v>3.98</v>
      </c>
      <c r="J812" t="str" cm="1">
        <f t="array" ref="J812">_xlfn.IFS(Table1[[#This Row],[academic_performance]]&gt;1,"Need Improvement",Table1[[#This Row],[academic_performance]]&gt;2,"Good",Table1[[#This Row],[academic_performance]]&gt;3,"Very good",Table1[[#This Row],[academic_performance]]&gt;4,"Excellent")</f>
        <v>Need Improvement</v>
      </c>
      <c r="K812">
        <v>1.9</v>
      </c>
      <c r="L812" t="str">
        <f>IF(Table1[[#This Row],[physical_activity]]&gt;1.9,"better overall ","lower rate of depression")</f>
        <v>lower rate of depression</v>
      </c>
      <c r="M812" t="s">
        <v>19</v>
      </c>
      <c r="N812">
        <v>7</v>
      </c>
      <c r="O812">
        <v>5</v>
      </c>
      <c r="P812">
        <v>3</v>
      </c>
      <c r="Q812">
        <v>0</v>
      </c>
    </row>
    <row r="813" spans="1:17" x14ac:dyDescent="0.3">
      <c r="A813">
        <v>14</v>
      </c>
      <c r="B813" t="s">
        <v>13</v>
      </c>
      <c r="C813" t="str">
        <f>IF(Table1[[#This Row],[age]]&gt;18,"Adult","Teenage")</f>
        <v>Teenage</v>
      </c>
      <c r="D813">
        <v>7.4</v>
      </c>
      <c r="E813" t="s">
        <v>14</v>
      </c>
      <c r="F813">
        <v>8.9</v>
      </c>
      <c r="G813">
        <f>Table1[[#This Row],[sleep_hours]]-Table1[[#This Row],[daily_social_media_hours]]</f>
        <v>1.5</v>
      </c>
      <c r="H813">
        <v>2.4</v>
      </c>
      <c r="I813">
        <v>2.29</v>
      </c>
      <c r="J813" t="str" cm="1">
        <f t="array" ref="J813">_xlfn.IFS(Table1[[#This Row],[academic_performance]]&gt;1,"Need Improvement",Table1[[#This Row],[academic_performance]]&gt;2,"Good",Table1[[#This Row],[academic_performance]]&gt;3,"Very good",Table1[[#This Row],[academic_performance]]&gt;4,"Excellent")</f>
        <v>Need Improvement</v>
      </c>
      <c r="K813">
        <v>1.1000000000000001</v>
      </c>
      <c r="L813" t="str">
        <f>IF(Table1[[#This Row],[physical_activity]]&gt;1.9,"better overall ","lower rate of depression")</f>
        <v>lower rate of depression</v>
      </c>
      <c r="M813" t="s">
        <v>15</v>
      </c>
      <c r="N813">
        <v>10</v>
      </c>
      <c r="O813">
        <v>4</v>
      </c>
      <c r="P813">
        <v>8</v>
      </c>
      <c r="Q813">
        <v>0</v>
      </c>
    </row>
    <row r="814" spans="1:17" x14ac:dyDescent="0.3">
      <c r="A814">
        <v>19</v>
      </c>
      <c r="B814" t="s">
        <v>16</v>
      </c>
      <c r="C814" t="str">
        <f>IF(Table1[[#This Row],[age]]&gt;18,"Adult","Teenage")</f>
        <v>Adult</v>
      </c>
      <c r="D814">
        <v>5.4</v>
      </c>
      <c r="E814" t="s">
        <v>17</v>
      </c>
      <c r="F814">
        <v>7.4</v>
      </c>
      <c r="G814">
        <f>Table1[[#This Row],[sleep_hours]]-Table1[[#This Row],[daily_social_media_hours]]</f>
        <v>2</v>
      </c>
      <c r="H814">
        <v>1.7</v>
      </c>
      <c r="I814">
        <v>2.88</v>
      </c>
      <c r="J814" t="str" cm="1">
        <f t="array" ref="J814">_xlfn.IFS(Table1[[#This Row],[academic_performance]]&gt;1,"Need Improvement",Table1[[#This Row],[academic_performance]]&gt;2,"Good",Table1[[#This Row],[academic_performance]]&gt;3,"Very good",Table1[[#This Row],[academic_performance]]&gt;4,"Excellent")</f>
        <v>Need Improvement</v>
      </c>
      <c r="K814">
        <v>0.6</v>
      </c>
      <c r="L814" t="str">
        <f>IF(Table1[[#This Row],[physical_activity]]&gt;1.9,"better overall ","lower rate of depression")</f>
        <v>lower rate of depression</v>
      </c>
      <c r="M814" t="s">
        <v>15</v>
      </c>
      <c r="N814">
        <v>6</v>
      </c>
      <c r="O814">
        <v>10</v>
      </c>
      <c r="P814">
        <v>9</v>
      </c>
      <c r="Q814">
        <v>0</v>
      </c>
    </row>
    <row r="815" spans="1:17" x14ac:dyDescent="0.3">
      <c r="A815">
        <v>19</v>
      </c>
      <c r="B815" t="s">
        <v>16</v>
      </c>
      <c r="C815" t="str">
        <f>IF(Table1[[#This Row],[age]]&gt;18,"Adult","Teenage")</f>
        <v>Adult</v>
      </c>
      <c r="D815">
        <v>6.6</v>
      </c>
      <c r="E815" t="s">
        <v>20</v>
      </c>
      <c r="F815">
        <v>6.8</v>
      </c>
      <c r="G815">
        <f>Table1[[#This Row],[sleep_hours]]-Table1[[#This Row],[daily_social_media_hours]]</f>
        <v>0.20000000000000018</v>
      </c>
      <c r="H815">
        <v>0.8</v>
      </c>
      <c r="I815">
        <v>2.64</v>
      </c>
      <c r="J815" t="str" cm="1">
        <f t="array" ref="J815">_xlfn.IFS(Table1[[#This Row],[academic_performance]]&gt;1,"Need Improvement",Table1[[#This Row],[academic_performance]]&gt;2,"Good",Table1[[#This Row],[academic_performance]]&gt;3,"Very good",Table1[[#This Row],[academic_performance]]&gt;4,"Excellent")</f>
        <v>Need Improvement</v>
      </c>
      <c r="K815">
        <v>1.5</v>
      </c>
      <c r="L815" t="str">
        <f>IF(Table1[[#This Row],[physical_activity]]&gt;1.9,"better overall ","lower rate of depression")</f>
        <v>lower rate of depression</v>
      </c>
      <c r="M815" t="s">
        <v>15</v>
      </c>
      <c r="N815">
        <v>5</v>
      </c>
      <c r="O815">
        <v>4</v>
      </c>
      <c r="P815">
        <v>6</v>
      </c>
      <c r="Q815">
        <v>0</v>
      </c>
    </row>
    <row r="816" spans="1:17" x14ac:dyDescent="0.3">
      <c r="A816">
        <v>17</v>
      </c>
      <c r="B816" t="s">
        <v>13</v>
      </c>
      <c r="C816" t="str">
        <f>IF(Table1[[#This Row],[age]]&gt;18,"Adult","Teenage")</f>
        <v>Teenage</v>
      </c>
      <c r="D816">
        <v>5.9</v>
      </c>
      <c r="E816" t="s">
        <v>14</v>
      </c>
      <c r="F816">
        <v>7.4</v>
      </c>
      <c r="G816">
        <f>Table1[[#This Row],[sleep_hours]]-Table1[[#This Row],[daily_social_media_hours]]</f>
        <v>1.5</v>
      </c>
      <c r="H816">
        <v>1.7</v>
      </c>
      <c r="I816">
        <v>2.5</v>
      </c>
      <c r="J816" t="str" cm="1">
        <f t="array" ref="J816">_xlfn.IFS(Table1[[#This Row],[academic_performance]]&gt;1,"Need Improvement",Table1[[#This Row],[academic_performance]]&gt;2,"Good",Table1[[#This Row],[academic_performance]]&gt;3,"Very good",Table1[[#This Row],[academic_performance]]&gt;4,"Excellent")</f>
        <v>Need Improvement</v>
      </c>
      <c r="K816">
        <v>0.7</v>
      </c>
      <c r="L816" t="str">
        <f>IF(Table1[[#This Row],[physical_activity]]&gt;1.9,"better overall ","lower rate of depression")</f>
        <v>lower rate of depression</v>
      </c>
      <c r="M816" t="s">
        <v>18</v>
      </c>
      <c r="N816">
        <v>6</v>
      </c>
      <c r="O816">
        <v>7</v>
      </c>
      <c r="P816">
        <v>1</v>
      </c>
      <c r="Q816">
        <v>0</v>
      </c>
    </row>
    <row r="817" spans="1:17" x14ac:dyDescent="0.3">
      <c r="A817">
        <v>17</v>
      </c>
      <c r="B817" t="s">
        <v>13</v>
      </c>
      <c r="C817" t="str">
        <f>IF(Table1[[#This Row],[age]]&gt;18,"Adult","Teenage")</f>
        <v>Teenage</v>
      </c>
      <c r="D817">
        <v>3.3</v>
      </c>
      <c r="E817" t="s">
        <v>20</v>
      </c>
      <c r="F817">
        <v>5.2</v>
      </c>
      <c r="G817">
        <f>Table1[[#This Row],[sleep_hours]]-Table1[[#This Row],[daily_social_media_hours]]</f>
        <v>1.9000000000000004</v>
      </c>
      <c r="H817">
        <v>1.8</v>
      </c>
      <c r="I817">
        <v>2.1</v>
      </c>
      <c r="J817" t="str" cm="1">
        <f t="array" ref="J817">_xlfn.IFS(Table1[[#This Row],[academic_performance]]&gt;1,"Need Improvement",Table1[[#This Row],[academic_performance]]&gt;2,"Good",Table1[[#This Row],[academic_performance]]&gt;3,"Very good",Table1[[#This Row],[academic_performance]]&gt;4,"Excellent")</f>
        <v>Need Improvement</v>
      </c>
      <c r="K817">
        <v>1.2</v>
      </c>
      <c r="L817" t="str">
        <f>IF(Table1[[#This Row],[physical_activity]]&gt;1.9,"better overall ","lower rate of depression")</f>
        <v>lower rate of depression</v>
      </c>
      <c r="M817" t="s">
        <v>15</v>
      </c>
      <c r="N817">
        <v>2</v>
      </c>
      <c r="O817">
        <v>3</v>
      </c>
      <c r="P817">
        <v>9</v>
      </c>
      <c r="Q817">
        <v>0</v>
      </c>
    </row>
    <row r="818" spans="1:17" x14ac:dyDescent="0.3">
      <c r="A818">
        <v>15</v>
      </c>
      <c r="B818" t="s">
        <v>16</v>
      </c>
      <c r="C818" t="str">
        <f>IF(Table1[[#This Row],[age]]&gt;18,"Adult","Teenage")</f>
        <v>Teenage</v>
      </c>
      <c r="D818">
        <v>2.8</v>
      </c>
      <c r="E818" t="s">
        <v>14</v>
      </c>
      <c r="F818">
        <v>7.7</v>
      </c>
      <c r="G818">
        <f>Table1[[#This Row],[sleep_hours]]-Table1[[#This Row],[daily_social_media_hours]]</f>
        <v>4.9000000000000004</v>
      </c>
      <c r="H818">
        <v>1</v>
      </c>
      <c r="I818">
        <v>3.73</v>
      </c>
      <c r="J818" t="str" cm="1">
        <f t="array" ref="J818">_xlfn.IFS(Table1[[#This Row],[academic_performance]]&gt;1,"Need Improvement",Table1[[#This Row],[academic_performance]]&gt;2,"Good",Table1[[#This Row],[academic_performance]]&gt;3,"Very good",Table1[[#This Row],[academic_performance]]&gt;4,"Excellent")</f>
        <v>Need Improvement</v>
      </c>
      <c r="K818">
        <v>0.5</v>
      </c>
      <c r="L818" t="str">
        <f>IF(Table1[[#This Row],[physical_activity]]&gt;1.9,"better overall ","lower rate of depression")</f>
        <v>lower rate of depression</v>
      </c>
      <c r="M818" t="s">
        <v>19</v>
      </c>
      <c r="N818">
        <v>6</v>
      </c>
      <c r="O818">
        <v>10</v>
      </c>
      <c r="P818">
        <v>1</v>
      </c>
      <c r="Q818">
        <v>0</v>
      </c>
    </row>
    <row r="819" spans="1:17" x14ac:dyDescent="0.3">
      <c r="A819">
        <v>14</v>
      </c>
      <c r="B819" t="s">
        <v>16</v>
      </c>
      <c r="C819" t="str">
        <f>IF(Table1[[#This Row],[age]]&gt;18,"Adult","Teenage")</f>
        <v>Teenage</v>
      </c>
      <c r="D819">
        <v>7.3</v>
      </c>
      <c r="E819" t="s">
        <v>17</v>
      </c>
      <c r="F819">
        <v>8.8000000000000007</v>
      </c>
      <c r="G819">
        <f>Table1[[#This Row],[sleep_hours]]-Table1[[#This Row],[daily_social_media_hours]]</f>
        <v>1.5000000000000009</v>
      </c>
      <c r="H819">
        <v>2.5</v>
      </c>
      <c r="I819">
        <v>2.12</v>
      </c>
      <c r="J819" t="str" cm="1">
        <f t="array" ref="J819">_xlfn.IFS(Table1[[#This Row],[academic_performance]]&gt;1,"Need Improvement",Table1[[#This Row],[academic_performance]]&gt;2,"Good",Table1[[#This Row],[academic_performance]]&gt;3,"Very good",Table1[[#This Row],[academic_performance]]&gt;4,"Excellent")</f>
        <v>Need Improvement</v>
      </c>
      <c r="K819">
        <v>0.5</v>
      </c>
      <c r="L819" t="str">
        <f>IF(Table1[[#This Row],[physical_activity]]&gt;1.9,"better overall ","lower rate of depression")</f>
        <v>lower rate of depression</v>
      </c>
      <c r="M819" t="s">
        <v>18</v>
      </c>
      <c r="N819">
        <v>10</v>
      </c>
      <c r="O819">
        <v>10</v>
      </c>
      <c r="P819">
        <v>1</v>
      </c>
      <c r="Q819">
        <v>0</v>
      </c>
    </row>
    <row r="820" spans="1:17" x14ac:dyDescent="0.3">
      <c r="A820">
        <v>18</v>
      </c>
      <c r="B820" t="s">
        <v>13</v>
      </c>
      <c r="C820" t="str">
        <f>IF(Table1[[#This Row],[age]]&gt;18,"Adult","Teenage")</f>
        <v>Teenage</v>
      </c>
      <c r="D820">
        <v>2.8</v>
      </c>
      <c r="E820" t="s">
        <v>14</v>
      </c>
      <c r="F820">
        <v>6.9</v>
      </c>
      <c r="G820">
        <f>Table1[[#This Row],[sleep_hours]]-Table1[[#This Row],[daily_social_media_hours]]</f>
        <v>4.1000000000000005</v>
      </c>
      <c r="H820">
        <v>2.2999999999999998</v>
      </c>
      <c r="I820">
        <v>3.11</v>
      </c>
      <c r="J820" t="str" cm="1">
        <f t="array" ref="J820">_xlfn.IFS(Table1[[#This Row],[academic_performance]]&gt;1,"Need Improvement",Table1[[#This Row],[academic_performance]]&gt;2,"Good",Table1[[#This Row],[academic_performance]]&gt;3,"Very good",Table1[[#This Row],[academic_performance]]&gt;4,"Excellent")</f>
        <v>Need Improvement</v>
      </c>
      <c r="K820">
        <v>0.1</v>
      </c>
      <c r="L820" t="str">
        <f>IF(Table1[[#This Row],[physical_activity]]&gt;1.9,"better overall ","lower rate of depression")</f>
        <v>lower rate of depression</v>
      </c>
      <c r="M820" t="s">
        <v>19</v>
      </c>
      <c r="N820">
        <v>7</v>
      </c>
      <c r="O820">
        <v>1</v>
      </c>
      <c r="P820">
        <v>9</v>
      </c>
      <c r="Q820">
        <v>0</v>
      </c>
    </row>
    <row r="821" spans="1:17" x14ac:dyDescent="0.3">
      <c r="A821">
        <v>18</v>
      </c>
      <c r="B821" t="s">
        <v>16</v>
      </c>
      <c r="C821" t="str">
        <f>IF(Table1[[#This Row],[age]]&gt;18,"Adult","Teenage")</f>
        <v>Teenage</v>
      </c>
      <c r="D821">
        <v>7.2</v>
      </c>
      <c r="E821" t="s">
        <v>17</v>
      </c>
      <c r="F821">
        <v>7.7</v>
      </c>
      <c r="G821">
        <f>Table1[[#This Row],[sleep_hours]]-Table1[[#This Row],[daily_social_media_hours]]</f>
        <v>0.5</v>
      </c>
      <c r="H821">
        <v>1.2</v>
      </c>
      <c r="I821">
        <v>3.7</v>
      </c>
      <c r="J821" t="str" cm="1">
        <f t="array" ref="J821">_xlfn.IFS(Table1[[#This Row],[academic_performance]]&gt;1,"Need Improvement",Table1[[#This Row],[academic_performance]]&gt;2,"Good",Table1[[#This Row],[academic_performance]]&gt;3,"Very good",Table1[[#This Row],[academic_performance]]&gt;4,"Excellent")</f>
        <v>Need Improvement</v>
      </c>
      <c r="K821">
        <v>0.1</v>
      </c>
      <c r="L821" t="str">
        <f>IF(Table1[[#This Row],[physical_activity]]&gt;1.9,"better overall ","lower rate of depression")</f>
        <v>lower rate of depression</v>
      </c>
      <c r="M821" t="s">
        <v>15</v>
      </c>
      <c r="N821">
        <v>6</v>
      </c>
      <c r="O821">
        <v>3</v>
      </c>
      <c r="P821">
        <v>9</v>
      </c>
      <c r="Q821">
        <v>0</v>
      </c>
    </row>
    <row r="822" spans="1:17" x14ac:dyDescent="0.3">
      <c r="A822">
        <v>19</v>
      </c>
      <c r="B822" t="s">
        <v>16</v>
      </c>
      <c r="C822" t="str">
        <f>IF(Table1[[#This Row],[age]]&gt;18,"Adult","Teenage")</f>
        <v>Adult</v>
      </c>
      <c r="D822">
        <v>7.1</v>
      </c>
      <c r="E822" t="s">
        <v>17</v>
      </c>
      <c r="F822">
        <v>6.3</v>
      </c>
      <c r="G822">
        <f>Table1[[#This Row],[sleep_hours]]-Table1[[#This Row],[daily_social_media_hours]]</f>
        <v>-0.79999999999999982</v>
      </c>
      <c r="H822">
        <v>0.8</v>
      </c>
      <c r="I822">
        <v>3.66</v>
      </c>
      <c r="J822" t="str" cm="1">
        <f t="array" ref="J822">_xlfn.IFS(Table1[[#This Row],[academic_performance]]&gt;1,"Need Improvement",Table1[[#This Row],[academic_performance]]&gt;2,"Good",Table1[[#This Row],[academic_performance]]&gt;3,"Very good",Table1[[#This Row],[academic_performance]]&gt;4,"Excellent")</f>
        <v>Need Improvement</v>
      </c>
      <c r="K822">
        <v>0.5</v>
      </c>
      <c r="L822" t="str">
        <f>IF(Table1[[#This Row],[physical_activity]]&gt;1.9,"better overall ","lower rate of depression")</f>
        <v>lower rate of depression</v>
      </c>
      <c r="M822" t="s">
        <v>18</v>
      </c>
      <c r="N822">
        <v>3</v>
      </c>
      <c r="O822">
        <v>7</v>
      </c>
      <c r="P822">
        <v>7</v>
      </c>
      <c r="Q822">
        <v>0</v>
      </c>
    </row>
    <row r="823" spans="1:17" x14ac:dyDescent="0.3">
      <c r="A823">
        <v>13</v>
      </c>
      <c r="B823" t="s">
        <v>16</v>
      </c>
      <c r="C823" t="str">
        <f>IF(Table1[[#This Row],[age]]&gt;18,"Adult","Teenage")</f>
        <v>Teenage</v>
      </c>
      <c r="D823">
        <v>4.3</v>
      </c>
      <c r="E823" t="s">
        <v>17</v>
      </c>
      <c r="F823">
        <v>4.4000000000000004</v>
      </c>
      <c r="G823">
        <f>Table1[[#This Row],[sleep_hours]]-Table1[[#This Row],[daily_social_media_hours]]</f>
        <v>0.10000000000000053</v>
      </c>
      <c r="H823">
        <v>0.9</v>
      </c>
      <c r="I823">
        <v>2.35</v>
      </c>
      <c r="J823" t="str" cm="1">
        <f t="array" ref="J823">_xlfn.IFS(Table1[[#This Row],[academic_performance]]&gt;1,"Need Improvement",Table1[[#This Row],[academic_performance]]&gt;2,"Good",Table1[[#This Row],[academic_performance]]&gt;3,"Very good",Table1[[#This Row],[academic_performance]]&gt;4,"Excellent")</f>
        <v>Need Improvement</v>
      </c>
      <c r="K823">
        <v>1.5</v>
      </c>
      <c r="L823" t="str">
        <f>IF(Table1[[#This Row],[physical_activity]]&gt;1.9,"better overall ","lower rate of depression")</f>
        <v>lower rate of depression</v>
      </c>
      <c r="M823" t="s">
        <v>18</v>
      </c>
      <c r="N823">
        <v>3</v>
      </c>
      <c r="O823">
        <v>1</v>
      </c>
      <c r="P823">
        <v>7</v>
      </c>
      <c r="Q823">
        <v>0</v>
      </c>
    </row>
    <row r="824" spans="1:17" x14ac:dyDescent="0.3">
      <c r="A824">
        <v>19</v>
      </c>
      <c r="B824" t="s">
        <v>13</v>
      </c>
      <c r="C824" t="str">
        <f>IF(Table1[[#This Row],[age]]&gt;18,"Adult","Teenage")</f>
        <v>Adult</v>
      </c>
      <c r="D824">
        <v>1.6</v>
      </c>
      <c r="E824" t="s">
        <v>20</v>
      </c>
      <c r="F824">
        <v>4.4000000000000004</v>
      </c>
      <c r="G824">
        <f>Table1[[#This Row],[sleep_hours]]-Table1[[#This Row],[daily_social_media_hours]]</f>
        <v>2.8000000000000003</v>
      </c>
      <c r="H824">
        <v>1.4</v>
      </c>
      <c r="I824">
        <v>2.0299999999999998</v>
      </c>
      <c r="J824" t="str" cm="1">
        <f t="array" ref="J824">_xlfn.IFS(Table1[[#This Row],[academic_performance]]&gt;1,"Need Improvement",Table1[[#This Row],[academic_performance]]&gt;2,"Good",Table1[[#This Row],[academic_performance]]&gt;3,"Very good",Table1[[#This Row],[academic_performance]]&gt;4,"Excellent")</f>
        <v>Need Improvement</v>
      </c>
      <c r="K824">
        <v>1.1000000000000001</v>
      </c>
      <c r="L824" t="str">
        <f>IF(Table1[[#This Row],[physical_activity]]&gt;1.9,"better overall ","lower rate of depression")</f>
        <v>lower rate of depression</v>
      </c>
      <c r="M824" t="s">
        <v>18</v>
      </c>
      <c r="N824">
        <v>2</v>
      </c>
      <c r="O824">
        <v>9</v>
      </c>
      <c r="P824">
        <v>5</v>
      </c>
      <c r="Q824">
        <v>0</v>
      </c>
    </row>
    <row r="825" spans="1:17" x14ac:dyDescent="0.3">
      <c r="A825">
        <v>19</v>
      </c>
      <c r="B825" t="s">
        <v>16</v>
      </c>
      <c r="C825" t="str">
        <f>IF(Table1[[#This Row],[age]]&gt;18,"Adult","Teenage")</f>
        <v>Adult</v>
      </c>
      <c r="D825">
        <v>1.4</v>
      </c>
      <c r="E825" t="s">
        <v>20</v>
      </c>
      <c r="F825">
        <v>8</v>
      </c>
      <c r="G825">
        <f>Table1[[#This Row],[sleep_hours]]-Table1[[#This Row],[daily_social_media_hours]]</f>
        <v>6.6</v>
      </c>
      <c r="H825">
        <v>2.5</v>
      </c>
      <c r="I825">
        <v>3.54</v>
      </c>
      <c r="J825" t="str" cm="1">
        <f t="array" ref="J825">_xlfn.IFS(Table1[[#This Row],[academic_performance]]&gt;1,"Need Improvement",Table1[[#This Row],[academic_performance]]&gt;2,"Good",Table1[[#This Row],[academic_performance]]&gt;3,"Very good",Table1[[#This Row],[academic_performance]]&gt;4,"Excellent")</f>
        <v>Need Improvement</v>
      </c>
      <c r="K825">
        <v>1.8</v>
      </c>
      <c r="L825" t="str">
        <f>IF(Table1[[#This Row],[physical_activity]]&gt;1.9,"better overall ","lower rate of depression")</f>
        <v>lower rate of depression</v>
      </c>
      <c r="M825" t="s">
        <v>15</v>
      </c>
      <c r="N825">
        <v>4</v>
      </c>
      <c r="O825">
        <v>8</v>
      </c>
      <c r="P825">
        <v>3</v>
      </c>
      <c r="Q825">
        <v>0</v>
      </c>
    </row>
    <row r="826" spans="1:17" x14ac:dyDescent="0.3">
      <c r="A826">
        <v>18</v>
      </c>
      <c r="B826" t="s">
        <v>16</v>
      </c>
      <c r="C826" t="str">
        <f>IF(Table1[[#This Row],[age]]&gt;18,"Adult","Teenage")</f>
        <v>Teenage</v>
      </c>
      <c r="D826">
        <v>3.2</v>
      </c>
      <c r="E826" t="s">
        <v>14</v>
      </c>
      <c r="F826">
        <v>6.8</v>
      </c>
      <c r="G826">
        <f>Table1[[#This Row],[sleep_hours]]-Table1[[#This Row],[daily_social_media_hours]]</f>
        <v>3.5999999999999996</v>
      </c>
      <c r="H826">
        <v>2.2999999999999998</v>
      </c>
      <c r="I826">
        <v>3.16</v>
      </c>
      <c r="J826" t="str" cm="1">
        <f t="array" ref="J826">_xlfn.IFS(Table1[[#This Row],[academic_performance]]&gt;1,"Need Improvement",Table1[[#This Row],[academic_performance]]&gt;2,"Good",Table1[[#This Row],[academic_performance]]&gt;3,"Very good",Table1[[#This Row],[academic_performance]]&gt;4,"Excellent")</f>
        <v>Need Improvement</v>
      </c>
      <c r="K826">
        <v>1.8</v>
      </c>
      <c r="L826" t="str">
        <f>IF(Table1[[#This Row],[physical_activity]]&gt;1.9,"better overall ","lower rate of depression")</f>
        <v>lower rate of depression</v>
      </c>
      <c r="M826" t="s">
        <v>15</v>
      </c>
      <c r="N826">
        <v>4</v>
      </c>
      <c r="O826">
        <v>8</v>
      </c>
      <c r="P826">
        <v>5</v>
      </c>
      <c r="Q826">
        <v>0</v>
      </c>
    </row>
    <row r="827" spans="1:17" x14ac:dyDescent="0.3">
      <c r="A827">
        <v>17</v>
      </c>
      <c r="B827" t="s">
        <v>13</v>
      </c>
      <c r="C827" t="str">
        <f>IF(Table1[[#This Row],[age]]&gt;18,"Adult","Teenage")</f>
        <v>Teenage</v>
      </c>
      <c r="D827">
        <v>1.5</v>
      </c>
      <c r="E827" t="s">
        <v>20</v>
      </c>
      <c r="F827">
        <v>8</v>
      </c>
      <c r="G827">
        <f>Table1[[#This Row],[sleep_hours]]-Table1[[#This Row],[daily_social_media_hours]]</f>
        <v>6.5</v>
      </c>
      <c r="H827">
        <v>0.5</v>
      </c>
      <c r="I827">
        <v>3.01</v>
      </c>
      <c r="J827" t="str" cm="1">
        <f t="array" ref="J827">_xlfn.IFS(Table1[[#This Row],[academic_performance]]&gt;1,"Need Improvement",Table1[[#This Row],[academic_performance]]&gt;2,"Good",Table1[[#This Row],[academic_performance]]&gt;3,"Very good",Table1[[#This Row],[academic_performance]]&gt;4,"Excellent")</f>
        <v>Need Improvement</v>
      </c>
      <c r="K827">
        <v>0.4</v>
      </c>
      <c r="L827" t="str">
        <f>IF(Table1[[#This Row],[physical_activity]]&gt;1.9,"better overall ","lower rate of depression")</f>
        <v>lower rate of depression</v>
      </c>
      <c r="M827" t="s">
        <v>19</v>
      </c>
      <c r="N827">
        <v>10</v>
      </c>
      <c r="O827">
        <v>2</v>
      </c>
      <c r="P827">
        <v>3</v>
      </c>
      <c r="Q827">
        <v>0</v>
      </c>
    </row>
    <row r="828" spans="1:17" x14ac:dyDescent="0.3">
      <c r="A828">
        <v>18</v>
      </c>
      <c r="B828" t="s">
        <v>13</v>
      </c>
      <c r="C828" t="str">
        <f>IF(Table1[[#This Row],[age]]&gt;18,"Adult","Teenage")</f>
        <v>Teenage</v>
      </c>
      <c r="D828">
        <v>7.5</v>
      </c>
      <c r="E828" t="s">
        <v>17</v>
      </c>
      <c r="F828">
        <v>5.0999999999999996</v>
      </c>
      <c r="G828">
        <f>Table1[[#This Row],[sleep_hours]]-Table1[[#This Row],[daily_social_media_hours]]</f>
        <v>-2.4000000000000004</v>
      </c>
      <c r="H828">
        <v>2.6</v>
      </c>
      <c r="I828">
        <v>3.82</v>
      </c>
      <c r="J828" t="str" cm="1">
        <f t="array" ref="J828">_xlfn.IFS(Table1[[#This Row],[academic_performance]]&gt;1,"Need Improvement",Table1[[#This Row],[academic_performance]]&gt;2,"Good",Table1[[#This Row],[academic_performance]]&gt;3,"Very good",Table1[[#This Row],[academic_performance]]&gt;4,"Excellent")</f>
        <v>Need Improvement</v>
      </c>
      <c r="K828">
        <v>0.7</v>
      </c>
      <c r="L828" t="str">
        <f>IF(Table1[[#This Row],[physical_activity]]&gt;1.9,"better overall ","lower rate of depression")</f>
        <v>lower rate of depression</v>
      </c>
      <c r="M828" t="s">
        <v>15</v>
      </c>
      <c r="N828">
        <v>7</v>
      </c>
      <c r="O828">
        <v>3</v>
      </c>
      <c r="P828">
        <v>8</v>
      </c>
      <c r="Q828">
        <v>0</v>
      </c>
    </row>
    <row r="829" spans="1:17" x14ac:dyDescent="0.3">
      <c r="A829">
        <v>14</v>
      </c>
      <c r="B829" t="s">
        <v>16</v>
      </c>
      <c r="C829" t="str">
        <f>IF(Table1[[#This Row],[age]]&gt;18,"Adult","Teenage")</f>
        <v>Teenage</v>
      </c>
      <c r="D829">
        <v>3.5</v>
      </c>
      <c r="E829" t="s">
        <v>14</v>
      </c>
      <c r="F829">
        <v>4.5999999999999996</v>
      </c>
      <c r="G829">
        <f>Table1[[#This Row],[sleep_hours]]-Table1[[#This Row],[daily_social_media_hours]]</f>
        <v>1.0999999999999996</v>
      </c>
      <c r="H829">
        <v>0.7</v>
      </c>
      <c r="I829">
        <v>2.74</v>
      </c>
      <c r="J829" t="str" cm="1">
        <f t="array" ref="J829">_xlfn.IFS(Table1[[#This Row],[academic_performance]]&gt;1,"Need Improvement",Table1[[#This Row],[academic_performance]]&gt;2,"Good",Table1[[#This Row],[academic_performance]]&gt;3,"Very good",Table1[[#This Row],[academic_performance]]&gt;4,"Excellent")</f>
        <v>Need Improvement</v>
      </c>
      <c r="K829">
        <v>1</v>
      </c>
      <c r="L829" t="str">
        <f>IF(Table1[[#This Row],[physical_activity]]&gt;1.9,"better overall ","lower rate of depression")</f>
        <v>lower rate of depression</v>
      </c>
      <c r="M829" t="s">
        <v>15</v>
      </c>
      <c r="N829">
        <v>2</v>
      </c>
      <c r="O829">
        <v>7</v>
      </c>
      <c r="P829">
        <v>8</v>
      </c>
      <c r="Q829">
        <v>0</v>
      </c>
    </row>
    <row r="830" spans="1:17" x14ac:dyDescent="0.3">
      <c r="A830">
        <v>17</v>
      </c>
      <c r="B830" t="s">
        <v>13</v>
      </c>
      <c r="C830" t="str">
        <f>IF(Table1[[#This Row],[age]]&gt;18,"Adult","Teenage")</f>
        <v>Teenage</v>
      </c>
      <c r="D830">
        <v>4.4000000000000004</v>
      </c>
      <c r="E830" t="s">
        <v>20</v>
      </c>
      <c r="F830">
        <v>8.1999999999999993</v>
      </c>
      <c r="G830">
        <f>Table1[[#This Row],[sleep_hours]]-Table1[[#This Row],[daily_social_media_hours]]</f>
        <v>3.7999999999999989</v>
      </c>
      <c r="H830">
        <v>2.7</v>
      </c>
      <c r="I830">
        <v>3.13</v>
      </c>
      <c r="J830" t="str" cm="1">
        <f t="array" ref="J830">_xlfn.IFS(Table1[[#This Row],[academic_performance]]&gt;1,"Need Improvement",Table1[[#This Row],[academic_performance]]&gt;2,"Good",Table1[[#This Row],[academic_performance]]&gt;3,"Very good",Table1[[#This Row],[academic_performance]]&gt;4,"Excellent")</f>
        <v>Need Improvement</v>
      </c>
      <c r="K830">
        <v>0.3</v>
      </c>
      <c r="L830" t="str">
        <f>IF(Table1[[#This Row],[physical_activity]]&gt;1.9,"better overall ","lower rate of depression")</f>
        <v>lower rate of depression</v>
      </c>
      <c r="M830" t="s">
        <v>19</v>
      </c>
      <c r="N830">
        <v>3</v>
      </c>
      <c r="O830">
        <v>1</v>
      </c>
      <c r="P830">
        <v>2</v>
      </c>
      <c r="Q830">
        <v>0</v>
      </c>
    </row>
    <row r="831" spans="1:17" x14ac:dyDescent="0.3">
      <c r="A831">
        <v>17</v>
      </c>
      <c r="B831" t="s">
        <v>13</v>
      </c>
      <c r="C831" t="str">
        <f>IF(Table1[[#This Row],[age]]&gt;18,"Adult","Teenage")</f>
        <v>Teenage</v>
      </c>
      <c r="D831">
        <v>4.5999999999999996</v>
      </c>
      <c r="E831" t="s">
        <v>17</v>
      </c>
      <c r="F831">
        <v>5.0999999999999996</v>
      </c>
      <c r="G831">
        <f>Table1[[#This Row],[sleep_hours]]-Table1[[#This Row],[daily_social_media_hours]]</f>
        <v>0.5</v>
      </c>
      <c r="H831">
        <v>2.5</v>
      </c>
      <c r="I831">
        <v>2.13</v>
      </c>
      <c r="J831" t="str" cm="1">
        <f t="array" ref="J831">_xlfn.IFS(Table1[[#This Row],[academic_performance]]&gt;1,"Need Improvement",Table1[[#This Row],[academic_performance]]&gt;2,"Good",Table1[[#This Row],[academic_performance]]&gt;3,"Very good",Table1[[#This Row],[academic_performance]]&gt;4,"Excellent")</f>
        <v>Need Improvement</v>
      </c>
      <c r="K831">
        <v>1</v>
      </c>
      <c r="L831" t="str">
        <f>IF(Table1[[#This Row],[physical_activity]]&gt;1.9,"better overall ","lower rate of depression")</f>
        <v>lower rate of depression</v>
      </c>
      <c r="M831" t="s">
        <v>19</v>
      </c>
      <c r="N831">
        <v>2</v>
      </c>
      <c r="O831">
        <v>5</v>
      </c>
      <c r="P831">
        <v>6</v>
      </c>
      <c r="Q831">
        <v>0</v>
      </c>
    </row>
    <row r="832" spans="1:17" x14ac:dyDescent="0.3">
      <c r="A832">
        <v>13</v>
      </c>
      <c r="B832" t="s">
        <v>13</v>
      </c>
      <c r="C832" t="str">
        <f>IF(Table1[[#This Row],[age]]&gt;18,"Adult","Teenage")</f>
        <v>Teenage</v>
      </c>
      <c r="D832">
        <v>5.9</v>
      </c>
      <c r="E832" t="s">
        <v>17</v>
      </c>
      <c r="F832">
        <v>6.6</v>
      </c>
      <c r="G832">
        <f>Table1[[#This Row],[sleep_hours]]-Table1[[#This Row],[daily_social_media_hours]]</f>
        <v>0.69999999999999929</v>
      </c>
      <c r="H832">
        <v>2.6</v>
      </c>
      <c r="I832">
        <v>3.58</v>
      </c>
      <c r="J832" t="str" cm="1">
        <f t="array" ref="J832">_xlfn.IFS(Table1[[#This Row],[academic_performance]]&gt;1,"Need Improvement",Table1[[#This Row],[academic_performance]]&gt;2,"Good",Table1[[#This Row],[academic_performance]]&gt;3,"Very good",Table1[[#This Row],[academic_performance]]&gt;4,"Excellent")</f>
        <v>Need Improvement</v>
      </c>
      <c r="K832">
        <v>1.6</v>
      </c>
      <c r="L832" t="str">
        <f>IF(Table1[[#This Row],[physical_activity]]&gt;1.9,"better overall ","lower rate of depression")</f>
        <v>lower rate of depression</v>
      </c>
      <c r="M832" t="s">
        <v>19</v>
      </c>
      <c r="N832">
        <v>7</v>
      </c>
      <c r="O832">
        <v>7</v>
      </c>
      <c r="P832">
        <v>10</v>
      </c>
      <c r="Q832">
        <v>0</v>
      </c>
    </row>
    <row r="833" spans="1:17" x14ac:dyDescent="0.3">
      <c r="A833">
        <v>16</v>
      </c>
      <c r="B833" t="s">
        <v>16</v>
      </c>
      <c r="C833" t="str">
        <f>IF(Table1[[#This Row],[age]]&gt;18,"Adult","Teenage")</f>
        <v>Teenage</v>
      </c>
      <c r="D833">
        <v>7.8</v>
      </c>
      <c r="E833" t="s">
        <v>17</v>
      </c>
      <c r="F833">
        <v>4.7</v>
      </c>
      <c r="G833">
        <f>Table1[[#This Row],[sleep_hours]]-Table1[[#This Row],[daily_social_media_hours]]</f>
        <v>-3.0999999999999996</v>
      </c>
      <c r="H833">
        <v>1.1000000000000001</v>
      </c>
      <c r="I833">
        <v>3.53</v>
      </c>
      <c r="J833" t="str" cm="1">
        <f t="array" ref="J833">_xlfn.IFS(Table1[[#This Row],[academic_performance]]&gt;1,"Need Improvement",Table1[[#This Row],[academic_performance]]&gt;2,"Good",Table1[[#This Row],[academic_performance]]&gt;3,"Very good",Table1[[#This Row],[academic_performance]]&gt;4,"Excellent")</f>
        <v>Need Improvement</v>
      </c>
      <c r="K833">
        <v>2</v>
      </c>
      <c r="L833" t="str">
        <f>IF(Table1[[#This Row],[physical_activity]]&gt;1.9,"better overall ","lower rate of depression")</f>
        <v xml:space="preserve">better overall </v>
      </c>
      <c r="M833" t="s">
        <v>19</v>
      </c>
      <c r="N833">
        <v>9</v>
      </c>
      <c r="O833">
        <v>3</v>
      </c>
      <c r="P833">
        <v>8</v>
      </c>
      <c r="Q833">
        <v>0</v>
      </c>
    </row>
    <row r="834" spans="1:17" x14ac:dyDescent="0.3">
      <c r="A834">
        <v>15</v>
      </c>
      <c r="B834" t="s">
        <v>16</v>
      </c>
      <c r="C834" t="str">
        <f>IF(Table1[[#This Row],[age]]&gt;18,"Adult","Teenage")</f>
        <v>Teenage</v>
      </c>
      <c r="D834">
        <v>4.8</v>
      </c>
      <c r="E834" t="s">
        <v>17</v>
      </c>
      <c r="F834">
        <v>7.3</v>
      </c>
      <c r="G834">
        <f>Table1[[#This Row],[sleep_hours]]-Table1[[#This Row],[daily_social_media_hours]]</f>
        <v>2.5</v>
      </c>
      <c r="H834">
        <v>1.9</v>
      </c>
      <c r="I834">
        <v>2.76</v>
      </c>
      <c r="J834" t="str" cm="1">
        <f t="array" ref="J834">_xlfn.IFS(Table1[[#This Row],[academic_performance]]&gt;1,"Need Improvement",Table1[[#This Row],[academic_performance]]&gt;2,"Good",Table1[[#This Row],[academic_performance]]&gt;3,"Very good",Table1[[#This Row],[academic_performance]]&gt;4,"Excellent")</f>
        <v>Need Improvement</v>
      </c>
      <c r="K834">
        <v>0.9</v>
      </c>
      <c r="L834" t="str">
        <f>IF(Table1[[#This Row],[physical_activity]]&gt;1.9,"better overall ","lower rate of depression")</f>
        <v>lower rate of depression</v>
      </c>
      <c r="M834" t="s">
        <v>18</v>
      </c>
      <c r="N834">
        <v>2</v>
      </c>
      <c r="O834">
        <v>10</v>
      </c>
      <c r="P834">
        <v>1</v>
      </c>
      <c r="Q834">
        <v>0</v>
      </c>
    </row>
    <row r="835" spans="1:17" x14ac:dyDescent="0.3">
      <c r="A835">
        <v>16</v>
      </c>
      <c r="B835" t="s">
        <v>16</v>
      </c>
      <c r="C835" t="str">
        <f>IF(Table1[[#This Row],[age]]&gt;18,"Adult","Teenage")</f>
        <v>Teenage</v>
      </c>
      <c r="D835">
        <v>7.4</v>
      </c>
      <c r="E835" t="s">
        <v>17</v>
      </c>
      <c r="F835">
        <v>4.5999999999999996</v>
      </c>
      <c r="G835">
        <f>Table1[[#This Row],[sleep_hours]]-Table1[[#This Row],[daily_social_media_hours]]</f>
        <v>-2.8000000000000007</v>
      </c>
      <c r="H835">
        <v>1</v>
      </c>
      <c r="I835">
        <v>2.23</v>
      </c>
      <c r="J835" t="str" cm="1">
        <f t="array" ref="J835">_xlfn.IFS(Table1[[#This Row],[academic_performance]]&gt;1,"Need Improvement",Table1[[#This Row],[academic_performance]]&gt;2,"Good",Table1[[#This Row],[academic_performance]]&gt;3,"Very good",Table1[[#This Row],[academic_performance]]&gt;4,"Excellent")</f>
        <v>Need Improvement</v>
      </c>
      <c r="K835">
        <v>1.1000000000000001</v>
      </c>
      <c r="L835" t="str">
        <f>IF(Table1[[#This Row],[physical_activity]]&gt;1.9,"better overall ","lower rate of depression")</f>
        <v>lower rate of depression</v>
      </c>
      <c r="M835" t="s">
        <v>15</v>
      </c>
      <c r="N835">
        <v>2</v>
      </c>
      <c r="O835">
        <v>4</v>
      </c>
      <c r="P835">
        <v>5</v>
      </c>
      <c r="Q835">
        <v>0</v>
      </c>
    </row>
    <row r="836" spans="1:17" x14ac:dyDescent="0.3">
      <c r="A836">
        <v>18</v>
      </c>
      <c r="B836" t="s">
        <v>13</v>
      </c>
      <c r="C836" t="str">
        <f>IF(Table1[[#This Row],[age]]&gt;18,"Adult","Teenage")</f>
        <v>Teenage</v>
      </c>
      <c r="D836">
        <v>2.7</v>
      </c>
      <c r="E836" t="s">
        <v>14</v>
      </c>
      <c r="F836">
        <v>7.9</v>
      </c>
      <c r="G836">
        <f>Table1[[#This Row],[sleep_hours]]-Table1[[#This Row],[daily_social_media_hours]]</f>
        <v>5.2</v>
      </c>
      <c r="H836">
        <v>1.2</v>
      </c>
      <c r="I836">
        <v>2.75</v>
      </c>
      <c r="J836" t="str" cm="1">
        <f t="array" ref="J836">_xlfn.IFS(Table1[[#This Row],[academic_performance]]&gt;1,"Need Improvement",Table1[[#This Row],[academic_performance]]&gt;2,"Good",Table1[[#This Row],[academic_performance]]&gt;3,"Very good",Table1[[#This Row],[academic_performance]]&gt;4,"Excellent")</f>
        <v>Need Improvement</v>
      </c>
      <c r="K836">
        <v>1.9</v>
      </c>
      <c r="L836" t="str">
        <f>IF(Table1[[#This Row],[physical_activity]]&gt;1.9,"better overall ","lower rate of depression")</f>
        <v>lower rate of depression</v>
      </c>
      <c r="M836" t="s">
        <v>19</v>
      </c>
      <c r="N836">
        <v>5</v>
      </c>
      <c r="O836">
        <v>8</v>
      </c>
      <c r="P836">
        <v>3</v>
      </c>
      <c r="Q836">
        <v>0</v>
      </c>
    </row>
    <row r="837" spans="1:17" x14ac:dyDescent="0.3">
      <c r="A837">
        <v>13</v>
      </c>
      <c r="B837" t="s">
        <v>16</v>
      </c>
      <c r="C837" t="str">
        <f>IF(Table1[[#This Row],[age]]&gt;18,"Adult","Teenage")</f>
        <v>Teenage</v>
      </c>
      <c r="D837">
        <v>5.3</v>
      </c>
      <c r="E837" t="s">
        <v>17</v>
      </c>
      <c r="F837">
        <v>6.4</v>
      </c>
      <c r="G837">
        <f>Table1[[#This Row],[sleep_hours]]-Table1[[#This Row],[daily_social_media_hours]]</f>
        <v>1.1000000000000005</v>
      </c>
      <c r="H837">
        <v>1.1000000000000001</v>
      </c>
      <c r="I837">
        <v>3.32</v>
      </c>
      <c r="J837" t="str" cm="1">
        <f t="array" ref="J837">_xlfn.IFS(Table1[[#This Row],[academic_performance]]&gt;1,"Need Improvement",Table1[[#This Row],[academic_performance]]&gt;2,"Good",Table1[[#This Row],[academic_performance]]&gt;3,"Very good",Table1[[#This Row],[academic_performance]]&gt;4,"Excellent")</f>
        <v>Need Improvement</v>
      </c>
      <c r="K837">
        <v>1.9</v>
      </c>
      <c r="L837" t="str">
        <f>IF(Table1[[#This Row],[physical_activity]]&gt;1.9,"better overall ","lower rate of depression")</f>
        <v>lower rate of depression</v>
      </c>
      <c r="M837" t="s">
        <v>19</v>
      </c>
      <c r="N837">
        <v>8</v>
      </c>
      <c r="O837">
        <v>5</v>
      </c>
      <c r="P837">
        <v>10</v>
      </c>
      <c r="Q837">
        <v>0</v>
      </c>
    </row>
    <row r="838" spans="1:17" x14ac:dyDescent="0.3">
      <c r="A838">
        <v>16</v>
      </c>
      <c r="B838" t="s">
        <v>16</v>
      </c>
      <c r="C838" t="str">
        <f>IF(Table1[[#This Row],[age]]&gt;18,"Adult","Teenage")</f>
        <v>Teenage</v>
      </c>
      <c r="D838">
        <v>3.6</v>
      </c>
      <c r="E838" t="s">
        <v>20</v>
      </c>
      <c r="F838">
        <v>4.4000000000000004</v>
      </c>
      <c r="G838">
        <f>Table1[[#This Row],[sleep_hours]]-Table1[[#This Row],[daily_social_media_hours]]</f>
        <v>0.80000000000000027</v>
      </c>
      <c r="H838">
        <v>2.4</v>
      </c>
      <c r="I838">
        <v>2.5299999999999998</v>
      </c>
      <c r="J838" t="str" cm="1">
        <f t="array" ref="J838">_xlfn.IFS(Table1[[#This Row],[academic_performance]]&gt;1,"Need Improvement",Table1[[#This Row],[academic_performance]]&gt;2,"Good",Table1[[#This Row],[academic_performance]]&gt;3,"Very good",Table1[[#This Row],[academic_performance]]&gt;4,"Excellent")</f>
        <v>Need Improvement</v>
      </c>
      <c r="K838">
        <v>0.7</v>
      </c>
      <c r="L838" t="str">
        <f>IF(Table1[[#This Row],[physical_activity]]&gt;1.9,"better overall ","lower rate of depression")</f>
        <v>lower rate of depression</v>
      </c>
      <c r="M838" t="s">
        <v>19</v>
      </c>
      <c r="N838">
        <v>1</v>
      </c>
      <c r="O838">
        <v>7</v>
      </c>
      <c r="P838">
        <v>5</v>
      </c>
      <c r="Q838">
        <v>0</v>
      </c>
    </row>
    <row r="839" spans="1:17" x14ac:dyDescent="0.3">
      <c r="A839">
        <v>18</v>
      </c>
      <c r="B839" t="s">
        <v>13</v>
      </c>
      <c r="C839" t="str">
        <f>IF(Table1[[#This Row],[age]]&gt;18,"Adult","Teenage")</f>
        <v>Teenage</v>
      </c>
      <c r="D839">
        <v>2.5</v>
      </c>
      <c r="E839" t="s">
        <v>20</v>
      </c>
      <c r="F839">
        <v>5.7</v>
      </c>
      <c r="G839">
        <f>Table1[[#This Row],[sleep_hours]]-Table1[[#This Row],[daily_social_media_hours]]</f>
        <v>3.2</v>
      </c>
      <c r="H839">
        <v>2.1</v>
      </c>
      <c r="I839">
        <v>3.33</v>
      </c>
      <c r="J839" t="str" cm="1">
        <f t="array" ref="J839">_xlfn.IFS(Table1[[#This Row],[academic_performance]]&gt;1,"Need Improvement",Table1[[#This Row],[academic_performance]]&gt;2,"Good",Table1[[#This Row],[academic_performance]]&gt;3,"Very good",Table1[[#This Row],[academic_performance]]&gt;4,"Excellent")</f>
        <v>Need Improvement</v>
      </c>
      <c r="K839">
        <v>0.6</v>
      </c>
      <c r="L839" t="str">
        <f>IF(Table1[[#This Row],[physical_activity]]&gt;1.9,"better overall ","lower rate of depression")</f>
        <v>lower rate of depression</v>
      </c>
      <c r="M839" t="s">
        <v>15</v>
      </c>
      <c r="N839">
        <v>8</v>
      </c>
      <c r="O839">
        <v>4</v>
      </c>
      <c r="P839">
        <v>6</v>
      </c>
      <c r="Q839">
        <v>0</v>
      </c>
    </row>
    <row r="840" spans="1:17" x14ac:dyDescent="0.3">
      <c r="A840">
        <v>15</v>
      </c>
      <c r="B840" t="s">
        <v>13</v>
      </c>
      <c r="C840" t="str">
        <f>IF(Table1[[#This Row],[age]]&gt;18,"Adult","Teenage")</f>
        <v>Teenage</v>
      </c>
      <c r="D840">
        <v>4.5</v>
      </c>
      <c r="E840" t="s">
        <v>20</v>
      </c>
      <c r="F840">
        <v>7</v>
      </c>
      <c r="G840">
        <f>Table1[[#This Row],[sleep_hours]]-Table1[[#This Row],[daily_social_media_hours]]</f>
        <v>2.5</v>
      </c>
      <c r="H840">
        <v>1.5</v>
      </c>
      <c r="I840">
        <v>3.16</v>
      </c>
      <c r="J840" t="str" cm="1">
        <f t="array" ref="J840">_xlfn.IFS(Table1[[#This Row],[academic_performance]]&gt;1,"Need Improvement",Table1[[#This Row],[academic_performance]]&gt;2,"Good",Table1[[#This Row],[academic_performance]]&gt;3,"Very good",Table1[[#This Row],[academic_performance]]&gt;4,"Excellent")</f>
        <v>Need Improvement</v>
      </c>
      <c r="K840">
        <v>1.7</v>
      </c>
      <c r="L840" t="str">
        <f>IF(Table1[[#This Row],[physical_activity]]&gt;1.9,"better overall ","lower rate of depression")</f>
        <v>lower rate of depression</v>
      </c>
      <c r="M840" t="s">
        <v>19</v>
      </c>
      <c r="N840">
        <v>4</v>
      </c>
      <c r="O840">
        <v>7</v>
      </c>
      <c r="P840">
        <v>10</v>
      </c>
      <c r="Q840">
        <v>0</v>
      </c>
    </row>
    <row r="841" spans="1:17" x14ac:dyDescent="0.3">
      <c r="A841">
        <v>18</v>
      </c>
      <c r="B841" t="s">
        <v>16</v>
      </c>
      <c r="C841" t="str">
        <f>IF(Table1[[#This Row],[age]]&gt;18,"Adult","Teenage")</f>
        <v>Teenage</v>
      </c>
      <c r="D841">
        <v>1.9</v>
      </c>
      <c r="E841" t="s">
        <v>20</v>
      </c>
      <c r="F841">
        <v>5.0999999999999996</v>
      </c>
      <c r="G841">
        <f>Table1[[#This Row],[sleep_hours]]-Table1[[#This Row],[daily_social_media_hours]]</f>
        <v>3.1999999999999997</v>
      </c>
      <c r="H841">
        <v>2.9</v>
      </c>
      <c r="I841">
        <v>2.62</v>
      </c>
      <c r="J841" t="str" cm="1">
        <f t="array" ref="J841">_xlfn.IFS(Table1[[#This Row],[academic_performance]]&gt;1,"Need Improvement",Table1[[#This Row],[academic_performance]]&gt;2,"Good",Table1[[#This Row],[academic_performance]]&gt;3,"Very good",Table1[[#This Row],[academic_performance]]&gt;4,"Excellent")</f>
        <v>Need Improvement</v>
      </c>
      <c r="K841">
        <v>1</v>
      </c>
      <c r="L841" t="str">
        <f>IF(Table1[[#This Row],[physical_activity]]&gt;1.9,"better overall ","lower rate of depression")</f>
        <v>lower rate of depression</v>
      </c>
      <c r="M841" t="s">
        <v>15</v>
      </c>
      <c r="N841">
        <v>4</v>
      </c>
      <c r="O841">
        <v>3</v>
      </c>
      <c r="P841">
        <v>2</v>
      </c>
      <c r="Q841">
        <v>0</v>
      </c>
    </row>
    <row r="842" spans="1:17" x14ac:dyDescent="0.3">
      <c r="A842">
        <v>17</v>
      </c>
      <c r="B842" t="s">
        <v>13</v>
      </c>
      <c r="C842" t="str">
        <f>IF(Table1[[#This Row],[age]]&gt;18,"Adult","Teenage")</f>
        <v>Teenage</v>
      </c>
      <c r="D842">
        <v>3.8</v>
      </c>
      <c r="E842" t="s">
        <v>14</v>
      </c>
      <c r="F842">
        <v>7.7</v>
      </c>
      <c r="G842">
        <f>Table1[[#This Row],[sleep_hours]]-Table1[[#This Row],[daily_social_media_hours]]</f>
        <v>3.9000000000000004</v>
      </c>
      <c r="H842">
        <v>0.7</v>
      </c>
      <c r="I842">
        <v>3.45</v>
      </c>
      <c r="J842" t="str" cm="1">
        <f t="array" ref="J842">_xlfn.IFS(Table1[[#This Row],[academic_performance]]&gt;1,"Need Improvement",Table1[[#This Row],[academic_performance]]&gt;2,"Good",Table1[[#This Row],[academic_performance]]&gt;3,"Very good",Table1[[#This Row],[academic_performance]]&gt;4,"Excellent")</f>
        <v>Need Improvement</v>
      </c>
      <c r="K842">
        <v>1</v>
      </c>
      <c r="L842" t="str">
        <f>IF(Table1[[#This Row],[physical_activity]]&gt;1.9,"better overall ","lower rate of depression")</f>
        <v>lower rate of depression</v>
      </c>
      <c r="M842" t="s">
        <v>15</v>
      </c>
      <c r="N842">
        <v>2</v>
      </c>
      <c r="O842">
        <v>8</v>
      </c>
      <c r="P842">
        <v>9</v>
      </c>
      <c r="Q842">
        <v>0</v>
      </c>
    </row>
    <row r="843" spans="1:17" x14ac:dyDescent="0.3">
      <c r="A843">
        <v>18</v>
      </c>
      <c r="B843" t="s">
        <v>16</v>
      </c>
      <c r="C843" t="str">
        <f>IF(Table1[[#This Row],[age]]&gt;18,"Adult","Teenage")</f>
        <v>Teenage</v>
      </c>
      <c r="D843">
        <v>3.9</v>
      </c>
      <c r="E843" t="s">
        <v>20</v>
      </c>
      <c r="F843">
        <v>4</v>
      </c>
      <c r="G843">
        <f>Table1[[#This Row],[sleep_hours]]-Table1[[#This Row],[daily_social_media_hours]]</f>
        <v>0.10000000000000009</v>
      </c>
      <c r="H843">
        <v>1.8</v>
      </c>
      <c r="I843">
        <v>2.19</v>
      </c>
      <c r="J843" t="str" cm="1">
        <f t="array" ref="J843">_xlfn.IFS(Table1[[#This Row],[academic_performance]]&gt;1,"Need Improvement",Table1[[#This Row],[academic_performance]]&gt;2,"Good",Table1[[#This Row],[academic_performance]]&gt;3,"Very good",Table1[[#This Row],[academic_performance]]&gt;4,"Excellent")</f>
        <v>Need Improvement</v>
      </c>
      <c r="K843">
        <v>1.4</v>
      </c>
      <c r="L843" t="str">
        <f>IF(Table1[[#This Row],[physical_activity]]&gt;1.9,"better overall ","lower rate of depression")</f>
        <v>lower rate of depression</v>
      </c>
      <c r="M843" t="s">
        <v>18</v>
      </c>
      <c r="N843">
        <v>1</v>
      </c>
      <c r="O843">
        <v>2</v>
      </c>
      <c r="P843">
        <v>5</v>
      </c>
      <c r="Q843">
        <v>0</v>
      </c>
    </row>
    <row r="844" spans="1:17" x14ac:dyDescent="0.3">
      <c r="A844">
        <v>17</v>
      </c>
      <c r="B844" t="s">
        <v>16</v>
      </c>
      <c r="C844" t="str">
        <f>IF(Table1[[#This Row],[age]]&gt;18,"Adult","Teenage")</f>
        <v>Teenage</v>
      </c>
      <c r="D844">
        <v>1.1000000000000001</v>
      </c>
      <c r="E844" t="s">
        <v>20</v>
      </c>
      <c r="F844">
        <v>8.6999999999999993</v>
      </c>
      <c r="G844">
        <f>Table1[[#This Row],[sleep_hours]]-Table1[[#This Row],[daily_social_media_hours]]</f>
        <v>7.6</v>
      </c>
      <c r="H844">
        <v>2.1</v>
      </c>
      <c r="I844">
        <v>3.01</v>
      </c>
      <c r="J844" t="str" cm="1">
        <f t="array" ref="J844">_xlfn.IFS(Table1[[#This Row],[academic_performance]]&gt;1,"Need Improvement",Table1[[#This Row],[academic_performance]]&gt;2,"Good",Table1[[#This Row],[academic_performance]]&gt;3,"Very good",Table1[[#This Row],[academic_performance]]&gt;4,"Excellent")</f>
        <v>Need Improvement</v>
      </c>
      <c r="K844">
        <v>0.7</v>
      </c>
      <c r="L844" t="str">
        <f>IF(Table1[[#This Row],[physical_activity]]&gt;1.9,"better overall ","lower rate of depression")</f>
        <v>lower rate of depression</v>
      </c>
      <c r="M844" t="s">
        <v>19</v>
      </c>
      <c r="N844">
        <v>1</v>
      </c>
      <c r="O844">
        <v>1</v>
      </c>
      <c r="P844">
        <v>3</v>
      </c>
      <c r="Q844">
        <v>0</v>
      </c>
    </row>
    <row r="845" spans="1:17" x14ac:dyDescent="0.3">
      <c r="A845">
        <v>15</v>
      </c>
      <c r="B845" t="s">
        <v>16</v>
      </c>
      <c r="C845" t="str">
        <f>IF(Table1[[#This Row],[age]]&gt;18,"Adult","Teenage")</f>
        <v>Teenage</v>
      </c>
      <c r="D845">
        <v>3.9</v>
      </c>
      <c r="E845" t="s">
        <v>20</v>
      </c>
      <c r="F845">
        <v>8.6999999999999993</v>
      </c>
      <c r="G845">
        <f>Table1[[#This Row],[sleep_hours]]-Table1[[#This Row],[daily_social_media_hours]]</f>
        <v>4.7999999999999989</v>
      </c>
      <c r="H845">
        <v>1.1000000000000001</v>
      </c>
      <c r="I845">
        <v>2.82</v>
      </c>
      <c r="J845" t="str" cm="1">
        <f t="array" ref="J845">_xlfn.IFS(Table1[[#This Row],[academic_performance]]&gt;1,"Need Improvement",Table1[[#This Row],[academic_performance]]&gt;2,"Good",Table1[[#This Row],[academic_performance]]&gt;3,"Very good",Table1[[#This Row],[academic_performance]]&gt;4,"Excellent")</f>
        <v>Need Improvement</v>
      </c>
      <c r="K845">
        <v>0.3</v>
      </c>
      <c r="L845" t="str">
        <f>IF(Table1[[#This Row],[physical_activity]]&gt;1.9,"better overall ","lower rate of depression")</f>
        <v>lower rate of depression</v>
      </c>
      <c r="M845" t="s">
        <v>18</v>
      </c>
      <c r="N845">
        <v>5</v>
      </c>
      <c r="O845">
        <v>10</v>
      </c>
      <c r="P845">
        <v>6</v>
      </c>
      <c r="Q845">
        <v>0</v>
      </c>
    </row>
    <row r="846" spans="1:17" x14ac:dyDescent="0.3">
      <c r="A846">
        <v>16</v>
      </c>
      <c r="B846" t="s">
        <v>13</v>
      </c>
      <c r="C846" t="str">
        <f>IF(Table1[[#This Row],[age]]&gt;18,"Adult","Teenage")</f>
        <v>Teenage</v>
      </c>
      <c r="D846">
        <v>8</v>
      </c>
      <c r="E846" t="s">
        <v>14</v>
      </c>
      <c r="F846">
        <v>8.1</v>
      </c>
      <c r="G846">
        <f>Table1[[#This Row],[sleep_hours]]-Table1[[#This Row],[daily_social_media_hours]]</f>
        <v>9.9999999999999645E-2</v>
      </c>
      <c r="H846">
        <v>2.5</v>
      </c>
      <c r="I846">
        <v>2.7</v>
      </c>
      <c r="J846" t="str" cm="1">
        <f t="array" ref="J846">_xlfn.IFS(Table1[[#This Row],[academic_performance]]&gt;1,"Need Improvement",Table1[[#This Row],[academic_performance]]&gt;2,"Good",Table1[[#This Row],[academic_performance]]&gt;3,"Very good",Table1[[#This Row],[academic_performance]]&gt;4,"Excellent")</f>
        <v>Need Improvement</v>
      </c>
      <c r="K846">
        <v>1.7</v>
      </c>
      <c r="L846" t="str">
        <f>IF(Table1[[#This Row],[physical_activity]]&gt;1.9,"better overall ","lower rate of depression")</f>
        <v>lower rate of depression</v>
      </c>
      <c r="M846" t="s">
        <v>19</v>
      </c>
      <c r="N846">
        <v>4</v>
      </c>
      <c r="O846">
        <v>5</v>
      </c>
      <c r="P846">
        <v>7</v>
      </c>
      <c r="Q846">
        <v>0</v>
      </c>
    </row>
    <row r="847" spans="1:17" x14ac:dyDescent="0.3">
      <c r="A847">
        <v>14</v>
      </c>
      <c r="B847" t="s">
        <v>16</v>
      </c>
      <c r="C847" t="str">
        <f>IF(Table1[[#This Row],[age]]&gt;18,"Adult","Teenage")</f>
        <v>Teenage</v>
      </c>
      <c r="D847">
        <v>1.2</v>
      </c>
      <c r="E847" t="s">
        <v>17</v>
      </c>
      <c r="F847">
        <v>8.5</v>
      </c>
      <c r="G847">
        <f>Table1[[#This Row],[sleep_hours]]-Table1[[#This Row],[daily_social_media_hours]]</f>
        <v>7.3</v>
      </c>
      <c r="H847">
        <v>2.2999999999999998</v>
      </c>
      <c r="I847">
        <v>3.91</v>
      </c>
      <c r="J847" t="str" cm="1">
        <f t="array" ref="J847">_xlfn.IFS(Table1[[#This Row],[academic_performance]]&gt;1,"Need Improvement",Table1[[#This Row],[academic_performance]]&gt;2,"Good",Table1[[#This Row],[academic_performance]]&gt;3,"Very good",Table1[[#This Row],[academic_performance]]&gt;4,"Excellent")</f>
        <v>Need Improvement</v>
      </c>
      <c r="K847">
        <v>1.8</v>
      </c>
      <c r="L847" t="str">
        <f>IF(Table1[[#This Row],[physical_activity]]&gt;1.9,"better overall ","lower rate of depression")</f>
        <v>lower rate of depression</v>
      </c>
      <c r="M847" t="s">
        <v>18</v>
      </c>
      <c r="N847">
        <v>1</v>
      </c>
      <c r="O847">
        <v>8</v>
      </c>
      <c r="P847">
        <v>1</v>
      </c>
      <c r="Q847">
        <v>0</v>
      </c>
    </row>
    <row r="848" spans="1:17" x14ac:dyDescent="0.3">
      <c r="A848">
        <v>15</v>
      </c>
      <c r="B848" t="s">
        <v>13</v>
      </c>
      <c r="C848" t="str">
        <f>IF(Table1[[#This Row],[age]]&gt;18,"Adult","Teenage")</f>
        <v>Teenage</v>
      </c>
      <c r="D848">
        <v>2.2000000000000002</v>
      </c>
      <c r="E848" t="s">
        <v>14</v>
      </c>
      <c r="F848">
        <v>6.1</v>
      </c>
      <c r="G848">
        <f>Table1[[#This Row],[sleep_hours]]-Table1[[#This Row],[daily_social_media_hours]]</f>
        <v>3.8999999999999995</v>
      </c>
      <c r="H848">
        <v>0.9</v>
      </c>
      <c r="I848">
        <v>3.81</v>
      </c>
      <c r="J848" t="str" cm="1">
        <f t="array" ref="J848">_xlfn.IFS(Table1[[#This Row],[academic_performance]]&gt;1,"Need Improvement",Table1[[#This Row],[academic_performance]]&gt;2,"Good",Table1[[#This Row],[academic_performance]]&gt;3,"Very good",Table1[[#This Row],[academic_performance]]&gt;4,"Excellent")</f>
        <v>Need Improvement</v>
      </c>
      <c r="K848">
        <v>0.1</v>
      </c>
      <c r="L848" t="str">
        <f>IF(Table1[[#This Row],[physical_activity]]&gt;1.9,"better overall ","lower rate of depression")</f>
        <v>lower rate of depression</v>
      </c>
      <c r="M848" t="s">
        <v>18</v>
      </c>
      <c r="N848">
        <v>2</v>
      </c>
      <c r="O848">
        <v>7</v>
      </c>
      <c r="P848">
        <v>3</v>
      </c>
      <c r="Q848">
        <v>0</v>
      </c>
    </row>
    <row r="849" spans="1:17" x14ac:dyDescent="0.3">
      <c r="A849">
        <v>15</v>
      </c>
      <c r="B849" t="s">
        <v>16</v>
      </c>
      <c r="C849" t="str">
        <f>IF(Table1[[#This Row],[age]]&gt;18,"Adult","Teenage")</f>
        <v>Teenage</v>
      </c>
      <c r="D849">
        <v>4.2</v>
      </c>
      <c r="E849" t="s">
        <v>17</v>
      </c>
      <c r="F849">
        <v>6.8</v>
      </c>
      <c r="G849">
        <f>Table1[[#This Row],[sleep_hours]]-Table1[[#This Row],[daily_social_media_hours]]</f>
        <v>2.5999999999999996</v>
      </c>
      <c r="H849">
        <v>1.4</v>
      </c>
      <c r="I849">
        <v>2.0099999999999998</v>
      </c>
      <c r="J849" t="str" cm="1">
        <f t="array" ref="J849">_xlfn.IFS(Table1[[#This Row],[academic_performance]]&gt;1,"Need Improvement",Table1[[#This Row],[academic_performance]]&gt;2,"Good",Table1[[#This Row],[academic_performance]]&gt;3,"Very good",Table1[[#This Row],[academic_performance]]&gt;4,"Excellent")</f>
        <v>Need Improvement</v>
      </c>
      <c r="K849">
        <v>1</v>
      </c>
      <c r="L849" t="str">
        <f>IF(Table1[[#This Row],[physical_activity]]&gt;1.9,"better overall ","lower rate of depression")</f>
        <v>lower rate of depression</v>
      </c>
      <c r="M849" t="s">
        <v>15</v>
      </c>
      <c r="N849">
        <v>6</v>
      </c>
      <c r="O849">
        <v>6</v>
      </c>
      <c r="P849">
        <v>4</v>
      </c>
      <c r="Q849">
        <v>0</v>
      </c>
    </row>
    <row r="850" spans="1:17" x14ac:dyDescent="0.3">
      <c r="A850">
        <v>19</v>
      </c>
      <c r="B850" t="s">
        <v>13</v>
      </c>
      <c r="C850" t="str">
        <f>IF(Table1[[#This Row],[age]]&gt;18,"Adult","Teenage")</f>
        <v>Adult</v>
      </c>
      <c r="D850">
        <v>6</v>
      </c>
      <c r="E850" t="s">
        <v>20</v>
      </c>
      <c r="F850">
        <v>5.6</v>
      </c>
      <c r="G850">
        <f>Table1[[#This Row],[sleep_hours]]-Table1[[#This Row],[daily_social_media_hours]]</f>
        <v>-0.40000000000000036</v>
      </c>
      <c r="H850">
        <v>1.1000000000000001</v>
      </c>
      <c r="I850">
        <v>2.4300000000000002</v>
      </c>
      <c r="J850" t="str" cm="1">
        <f t="array" ref="J850">_xlfn.IFS(Table1[[#This Row],[academic_performance]]&gt;1,"Need Improvement",Table1[[#This Row],[academic_performance]]&gt;2,"Good",Table1[[#This Row],[academic_performance]]&gt;3,"Very good",Table1[[#This Row],[academic_performance]]&gt;4,"Excellent")</f>
        <v>Need Improvement</v>
      </c>
      <c r="K850">
        <v>1.7</v>
      </c>
      <c r="L850" t="str">
        <f>IF(Table1[[#This Row],[physical_activity]]&gt;1.9,"better overall ","lower rate of depression")</f>
        <v>lower rate of depression</v>
      </c>
      <c r="M850" t="s">
        <v>19</v>
      </c>
      <c r="N850">
        <v>1</v>
      </c>
      <c r="O850">
        <v>3</v>
      </c>
      <c r="P850">
        <v>3</v>
      </c>
      <c r="Q850">
        <v>0</v>
      </c>
    </row>
    <row r="851" spans="1:17" x14ac:dyDescent="0.3">
      <c r="A851">
        <v>19</v>
      </c>
      <c r="B851" t="s">
        <v>13</v>
      </c>
      <c r="C851" t="str">
        <f>IF(Table1[[#This Row],[age]]&gt;18,"Adult","Teenage")</f>
        <v>Adult</v>
      </c>
      <c r="D851">
        <v>5.4</v>
      </c>
      <c r="E851" t="s">
        <v>14</v>
      </c>
      <c r="F851">
        <v>4.9000000000000004</v>
      </c>
      <c r="G851">
        <f>Table1[[#This Row],[sleep_hours]]-Table1[[#This Row],[daily_social_media_hours]]</f>
        <v>-0.5</v>
      </c>
      <c r="H851">
        <v>0.6</v>
      </c>
      <c r="I851">
        <v>3.17</v>
      </c>
      <c r="J851" t="str" cm="1">
        <f t="array" ref="J851">_xlfn.IFS(Table1[[#This Row],[academic_performance]]&gt;1,"Need Improvement",Table1[[#This Row],[academic_performance]]&gt;2,"Good",Table1[[#This Row],[academic_performance]]&gt;3,"Very good",Table1[[#This Row],[academic_performance]]&gt;4,"Excellent")</f>
        <v>Need Improvement</v>
      </c>
      <c r="K851">
        <v>0</v>
      </c>
      <c r="L851" t="str">
        <f>IF(Table1[[#This Row],[physical_activity]]&gt;1.9,"better overall ","lower rate of depression")</f>
        <v>lower rate of depression</v>
      </c>
      <c r="M851" t="s">
        <v>15</v>
      </c>
      <c r="N851">
        <v>5</v>
      </c>
      <c r="O851">
        <v>6</v>
      </c>
      <c r="P851">
        <v>10</v>
      </c>
      <c r="Q851">
        <v>0</v>
      </c>
    </row>
    <row r="852" spans="1:17" x14ac:dyDescent="0.3">
      <c r="A852">
        <v>15</v>
      </c>
      <c r="B852" t="s">
        <v>16</v>
      </c>
      <c r="C852" t="str">
        <f>IF(Table1[[#This Row],[age]]&gt;18,"Adult","Teenage")</f>
        <v>Teenage</v>
      </c>
      <c r="D852">
        <v>2.7</v>
      </c>
      <c r="E852" t="s">
        <v>17</v>
      </c>
      <c r="F852">
        <v>7.6</v>
      </c>
      <c r="G852">
        <f>Table1[[#This Row],[sleep_hours]]-Table1[[#This Row],[daily_social_media_hours]]</f>
        <v>4.8999999999999995</v>
      </c>
      <c r="H852">
        <v>2.5</v>
      </c>
      <c r="I852">
        <v>2.37</v>
      </c>
      <c r="J852" t="str" cm="1">
        <f t="array" ref="J852">_xlfn.IFS(Table1[[#This Row],[academic_performance]]&gt;1,"Need Improvement",Table1[[#This Row],[academic_performance]]&gt;2,"Good",Table1[[#This Row],[academic_performance]]&gt;3,"Very good",Table1[[#This Row],[academic_performance]]&gt;4,"Excellent")</f>
        <v>Need Improvement</v>
      </c>
      <c r="K852">
        <v>1.9</v>
      </c>
      <c r="L852" t="str">
        <f>IF(Table1[[#This Row],[physical_activity]]&gt;1.9,"better overall ","lower rate of depression")</f>
        <v>lower rate of depression</v>
      </c>
      <c r="M852" t="s">
        <v>18</v>
      </c>
      <c r="N852">
        <v>1</v>
      </c>
      <c r="O852">
        <v>8</v>
      </c>
      <c r="P852">
        <v>7</v>
      </c>
      <c r="Q852">
        <v>0</v>
      </c>
    </row>
    <row r="853" spans="1:17" x14ac:dyDescent="0.3">
      <c r="A853">
        <v>19</v>
      </c>
      <c r="B853" t="s">
        <v>16</v>
      </c>
      <c r="C853" t="str">
        <f>IF(Table1[[#This Row],[age]]&gt;18,"Adult","Teenage")</f>
        <v>Adult</v>
      </c>
      <c r="D853">
        <v>1.9</v>
      </c>
      <c r="E853" t="s">
        <v>20</v>
      </c>
      <c r="F853">
        <v>6.2</v>
      </c>
      <c r="G853">
        <f>Table1[[#This Row],[sleep_hours]]-Table1[[#This Row],[daily_social_media_hours]]</f>
        <v>4.3000000000000007</v>
      </c>
      <c r="H853">
        <v>0.9</v>
      </c>
      <c r="I853">
        <v>2.4700000000000002</v>
      </c>
      <c r="J853" t="str" cm="1">
        <f t="array" ref="J853">_xlfn.IFS(Table1[[#This Row],[academic_performance]]&gt;1,"Need Improvement",Table1[[#This Row],[academic_performance]]&gt;2,"Good",Table1[[#This Row],[academic_performance]]&gt;3,"Very good",Table1[[#This Row],[academic_performance]]&gt;4,"Excellent")</f>
        <v>Need Improvement</v>
      </c>
      <c r="K853">
        <v>1.4</v>
      </c>
      <c r="L853" t="str">
        <f>IF(Table1[[#This Row],[physical_activity]]&gt;1.9,"better overall ","lower rate of depression")</f>
        <v>lower rate of depression</v>
      </c>
      <c r="M853" t="s">
        <v>15</v>
      </c>
      <c r="N853">
        <v>5</v>
      </c>
      <c r="O853">
        <v>6</v>
      </c>
      <c r="P853">
        <v>7</v>
      </c>
      <c r="Q853">
        <v>0</v>
      </c>
    </row>
    <row r="854" spans="1:17" x14ac:dyDescent="0.3">
      <c r="A854">
        <v>14</v>
      </c>
      <c r="B854" t="s">
        <v>13</v>
      </c>
      <c r="C854" t="str">
        <f>IF(Table1[[#This Row],[age]]&gt;18,"Adult","Teenage")</f>
        <v>Teenage</v>
      </c>
      <c r="D854">
        <v>1.5</v>
      </c>
      <c r="E854" t="s">
        <v>20</v>
      </c>
      <c r="F854">
        <v>6.8</v>
      </c>
      <c r="G854">
        <f>Table1[[#This Row],[sleep_hours]]-Table1[[#This Row],[daily_social_media_hours]]</f>
        <v>5.3</v>
      </c>
      <c r="H854">
        <v>0.8</v>
      </c>
      <c r="I854">
        <v>3.14</v>
      </c>
      <c r="J854" t="str" cm="1">
        <f t="array" ref="J854">_xlfn.IFS(Table1[[#This Row],[academic_performance]]&gt;1,"Need Improvement",Table1[[#This Row],[academic_performance]]&gt;2,"Good",Table1[[#This Row],[academic_performance]]&gt;3,"Very good",Table1[[#This Row],[academic_performance]]&gt;4,"Excellent")</f>
        <v>Need Improvement</v>
      </c>
      <c r="K854">
        <v>0</v>
      </c>
      <c r="L854" t="str">
        <f>IF(Table1[[#This Row],[physical_activity]]&gt;1.9,"better overall ","lower rate of depression")</f>
        <v>lower rate of depression</v>
      </c>
      <c r="M854" t="s">
        <v>19</v>
      </c>
      <c r="N854">
        <v>4</v>
      </c>
      <c r="O854">
        <v>5</v>
      </c>
      <c r="P854">
        <v>8</v>
      </c>
      <c r="Q854">
        <v>0</v>
      </c>
    </row>
    <row r="855" spans="1:17" x14ac:dyDescent="0.3">
      <c r="A855">
        <v>17</v>
      </c>
      <c r="B855" t="s">
        <v>16</v>
      </c>
      <c r="C855" t="str">
        <f>IF(Table1[[#This Row],[age]]&gt;18,"Adult","Teenage")</f>
        <v>Teenage</v>
      </c>
      <c r="D855">
        <v>2.6</v>
      </c>
      <c r="E855" t="s">
        <v>17</v>
      </c>
      <c r="F855">
        <v>4.8</v>
      </c>
      <c r="G855">
        <f>Table1[[#This Row],[sleep_hours]]-Table1[[#This Row],[daily_social_media_hours]]</f>
        <v>2.1999999999999997</v>
      </c>
      <c r="H855">
        <v>0.7</v>
      </c>
      <c r="I855">
        <v>2.52</v>
      </c>
      <c r="J855" t="str" cm="1">
        <f t="array" ref="J855">_xlfn.IFS(Table1[[#This Row],[academic_performance]]&gt;1,"Need Improvement",Table1[[#This Row],[academic_performance]]&gt;2,"Good",Table1[[#This Row],[academic_performance]]&gt;3,"Very good",Table1[[#This Row],[academic_performance]]&gt;4,"Excellent")</f>
        <v>Need Improvement</v>
      </c>
      <c r="K855">
        <v>1.8</v>
      </c>
      <c r="L855" t="str">
        <f>IF(Table1[[#This Row],[physical_activity]]&gt;1.9,"better overall ","lower rate of depression")</f>
        <v>lower rate of depression</v>
      </c>
      <c r="M855" t="s">
        <v>19</v>
      </c>
      <c r="N855">
        <v>9</v>
      </c>
      <c r="O855">
        <v>6</v>
      </c>
      <c r="P855">
        <v>6</v>
      </c>
      <c r="Q855">
        <v>0</v>
      </c>
    </row>
    <row r="856" spans="1:17" x14ac:dyDescent="0.3">
      <c r="A856">
        <v>16</v>
      </c>
      <c r="B856" t="s">
        <v>13</v>
      </c>
      <c r="C856" t="str">
        <f>IF(Table1[[#This Row],[age]]&gt;18,"Adult","Teenage")</f>
        <v>Teenage</v>
      </c>
      <c r="D856">
        <v>1.2</v>
      </c>
      <c r="E856" t="s">
        <v>14</v>
      </c>
      <c r="F856">
        <v>7.3</v>
      </c>
      <c r="G856">
        <f>Table1[[#This Row],[sleep_hours]]-Table1[[#This Row],[daily_social_media_hours]]</f>
        <v>6.1</v>
      </c>
      <c r="H856">
        <v>1</v>
      </c>
      <c r="I856">
        <v>2.36</v>
      </c>
      <c r="J856" t="str" cm="1">
        <f t="array" ref="J856">_xlfn.IFS(Table1[[#This Row],[academic_performance]]&gt;1,"Need Improvement",Table1[[#This Row],[academic_performance]]&gt;2,"Good",Table1[[#This Row],[academic_performance]]&gt;3,"Very good",Table1[[#This Row],[academic_performance]]&gt;4,"Excellent")</f>
        <v>Need Improvement</v>
      </c>
      <c r="K856">
        <v>1.1000000000000001</v>
      </c>
      <c r="L856" t="str">
        <f>IF(Table1[[#This Row],[physical_activity]]&gt;1.9,"better overall ","lower rate of depression")</f>
        <v>lower rate of depression</v>
      </c>
      <c r="M856" t="s">
        <v>19</v>
      </c>
      <c r="N856">
        <v>5</v>
      </c>
      <c r="O856">
        <v>3</v>
      </c>
      <c r="P856">
        <v>6</v>
      </c>
      <c r="Q856">
        <v>0</v>
      </c>
    </row>
    <row r="857" spans="1:17" x14ac:dyDescent="0.3">
      <c r="A857">
        <v>18</v>
      </c>
      <c r="B857" t="s">
        <v>16</v>
      </c>
      <c r="C857" t="str">
        <f>IF(Table1[[#This Row],[age]]&gt;18,"Adult","Teenage")</f>
        <v>Teenage</v>
      </c>
      <c r="D857">
        <v>1.8</v>
      </c>
      <c r="E857" t="s">
        <v>20</v>
      </c>
      <c r="F857">
        <v>7.8</v>
      </c>
      <c r="G857">
        <f>Table1[[#This Row],[sleep_hours]]-Table1[[#This Row],[daily_social_media_hours]]</f>
        <v>6</v>
      </c>
      <c r="H857">
        <v>2</v>
      </c>
      <c r="I857">
        <v>2.67</v>
      </c>
      <c r="J857" t="str" cm="1">
        <f t="array" ref="J857">_xlfn.IFS(Table1[[#This Row],[academic_performance]]&gt;1,"Need Improvement",Table1[[#This Row],[academic_performance]]&gt;2,"Good",Table1[[#This Row],[academic_performance]]&gt;3,"Very good",Table1[[#This Row],[academic_performance]]&gt;4,"Excellent")</f>
        <v>Need Improvement</v>
      </c>
      <c r="K857">
        <v>0.8</v>
      </c>
      <c r="L857" t="str">
        <f>IF(Table1[[#This Row],[physical_activity]]&gt;1.9,"better overall ","lower rate of depression")</f>
        <v>lower rate of depression</v>
      </c>
      <c r="M857" t="s">
        <v>15</v>
      </c>
      <c r="N857">
        <v>4</v>
      </c>
      <c r="O857">
        <v>6</v>
      </c>
      <c r="P857">
        <v>3</v>
      </c>
      <c r="Q857">
        <v>0</v>
      </c>
    </row>
    <row r="858" spans="1:17" x14ac:dyDescent="0.3">
      <c r="A858">
        <v>19</v>
      </c>
      <c r="B858" t="s">
        <v>13</v>
      </c>
      <c r="C858" t="str">
        <f>IF(Table1[[#This Row],[age]]&gt;18,"Adult","Teenage")</f>
        <v>Adult</v>
      </c>
      <c r="D858">
        <v>4.8</v>
      </c>
      <c r="E858" t="s">
        <v>20</v>
      </c>
      <c r="F858">
        <v>7.5</v>
      </c>
      <c r="G858">
        <f>Table1[[#This Row],[sleep_hours]]-Table1[[#This Row],[daily_social_media_hours]]</f>
        <v>2.7</v>
      </c>
      <c r="H858">
        <v>1</v>
      </c>
      <c r="I858">
        <v>2.68</v>
      </c>
      <c r="J858" t="str" cm="1">
        <f t="array" ref="J858">_xlfn.IFS(Table1[[#This Row],[academic_performance]]&gt;1,"Need Improvement",Table1[[#This Row],[academic_performance]]&gt;2,"Good",Table1[[#This Row],[academic_performance]]&gt;3,"Very good",Table1[[#This Row],[academic_performance]]&gt;4,"Excellent")</f>
        <v>Need Improvement</v>
      </c>
      <c r="K858">
        <v>1.5</v>
      </c>
      <c r="L858" t="str">
        <f>IF(Table1[[#This Row],[physical_activity]]&gt;1.9,"better overall ","lower rate of depression")</f>
        <v>lower rate of depression</v>
      </c>
      <c r="M858" t="s">
        <v>15</v>
      </c>
      <c r="N858">
        <v>9</v>
      </c>
      <c r="O858">
        <v>4</v>
      </c>
      <c r="P858">
        <v>6</v>
      </c>
      <c r="Q858">
        <v>0</v>
      </c>
    </row>
    <row r="859" spans="1:17" x14ac:dyDescent="0.3">
      <c r="A859">
        <v>19</v>
      </c>
      <c r="B859" t="s">
        <v>13</v>
      </c>
      <c r="C859" t="str">
        <f>IF(Table1[[#This Row],[age]]&gt;18,"Adult","Teenage")</f>
        <v>Adult</v>
      </c>
      <c r="D859">
        <v>2.1</v>
      </c>
      <c r="E859" t="s">
        <v>20</v>
      </c>
      <c r="F859">
        <v>5.6</v>
      </c>
      <c r="G859">
        <f>Table1[[#This Row],[sleep_hours]]-Table1[[#This Row],[daily_social_media_hours]]</f>
        <v>3.4999999999999996</v>
      </c>
      <c r="H859">
        <v>2.4</v>
      </c>
      <c r="I859">
        <v>3.56</v>
      </c>
      <c r="J859" t="str" cm="1">
        <f t="array" ref="J859">_xlfn.IFS(Table1[[#This Row],[academic_performance]]&gt;1,"Need Improvement",Table1[[#This Row],[academic_performance]]&gt;2,"Good",Table1[[#This Row],[academic_performance]]&gt;3,"Very good",Table1[[#This Row],[academic_performance]]&gt;4,"Excellent")</f>
        <v>Need Improvement</v>
      </c>
      <c r="K859">
        <v>1</v>
      </c>
      <c r="L859" t="str">
        <f>IF(Table1[[#This Row],[physical_activity]]&gt;1.9,"better overall ","lower rate of depression")</f>
        <v>lower rate of depression</v>
      </c>
      <c r="M859" t="s">
        <v>18</v>
      </c>
      <c r="N859">
        <v>9</v>
      </c>
      <c r="O859">
        <v>3</v>
      </c>
      <c r="P859">
        <v>4</v>
      </c>
      <c r="Q859">
        <v>0</v>
      </c>
    </row>
    <row r="860" spans="1:17" x14ac:dyDescent="0.3">
      <c r="A860">
        <v>15</v>
      </c>
      <c r="B860" t="s">
        <v>13</v>
      </c>
      <c r="C860" t="str">
        <f>IF(Table1[[#This Row],[age]]&gt;18,"Adult","Teenage")</f>
        <v>Teenage</v>
      </c>
      <c r="D860">
        <v>4.4000000000000004</v>
      </c>
      <c r="E860" t="s">
        <v>14</v>
      </c>
      <c r="F860">
        <v>6</v>
      </c>
      <c r="G860">
        <f>Table1[[#This Row],[sleep_hours]]-Table1[[#This Row],[daily_social_media_hours]]</f>
        <v>1.5999999999999996</v>
      </c>
      <c r="H860">
        <v>0.5</v>
      </c>
      <c r="I860">
        <v>3.33</v>
      </c>
      <c r="J860" t="str" cm="1">
        <f t="array" ref="J860">_xlfn.IFS(Table1[[#This Row],[academic_performance]]&gt;1,"Need Improvement",Table1[[#This Row],[academic_performance]]&gt;2,"Good",Table1[[#This Row],[academic_performance]]&gt;3,"Very good",Table1[[#This Row],[academic_performance]]&gt;4,"Excellent")</f>
        <v>Need Improvement</v>
      </c>
      <c r="K860">
        <v>0.7</v>
      </c>
      <c r="L860" t="str">
        <f>IF(Table1[[#This Row],[physical_activity]]&gt;1.9,"better overall ","lower rate of depression")</f>
        <v>lower rate of depression</v>
      </c>
      <c r="M860" t="s">
        <v>19</v>
      </c>
      <c r="N860">
        <v>1</v>
      </c>
      <c r="O860">
        <v>6</v>
      </c>
      <c r="P860">
        <v>10</v>
      </c>
      <c r="Q860">
        <v>0</v>
      </c>
    </row>
    <row r="861" spans="1:17" x14ac:dyDescent="0.3">
      <c r="A861">
        <v>14</v>
      </c>
      <c r="B861" t="s">
        <v>13</v>
      </c>
      <c r="C861" t="str">
        <f>IF(Table1[[#This Row],[age]]&gt;18,"Adult","Teenage")</f>
        <v>Teenage</v>
      </c>
      <c r="D861">
        <v>2.8</v>
      </c>
      <c r="E861" t="s">
        <v>20</v>
      </c>
      <c r="F861">
        <v>4.3</v>
      </c>
      <c r="G861">
        <f>Table1[[#This Row],[sleep_hours]]-Table1[[#This Row],[daily_social_media_hours]]</f>
        <v>1.5</v>
      </c>
      <c r="H861">
        <v>3</v>
      </c>
      <c r="I861">
        <v>2.14</v>
      </c>
      <c r="J861" t="str" cm="1">
        <f t="array" ref="J861">_xlfn.IFS(Table1[[#This Row],[academic_performance]]&gt;1,"Need Improvement",Table1[[#This Row],[academic_performance]]&gt;2,"Good",Table1[[#This Row],[academic_performance]]&gt;3,"Very good",Table1[[#This Row],[academic_performance]]&gt;4,"Excellent")</f>
        <v>Need Improvement</v>
      </c>
      <c r="K861">
        <v>1.9</v>
      </c>
      <c r="L861" t="str">
        <f>IF(Table1[[#This Row],[physical_activity]]&gt;1.9,"better overall ","lower rate of depression")</f>
        <v>lower rate of depression</v>
      </c>
      <c r="M861" t="s">
        <v>19</v>
      </c>
      <c r="N861">
        <v>9</v>
      </c>
      <c r="O861">
        <v>3</v>
      </c>
      <c r="P861">
        <v>7</v>
      </c>
      <c r="Q861">
        <v>0</v>
      </c>
    </row>
    <row r="862" spans="1:17" x14ac:dyDescent="0.3">
      <c r="A862">
        <v>15</v>
      </c>
      <c r="B862" t="s">
        <v>13</v>
      </c>
      <c r="C862" t="str">
        <f>IF(Table1[[#This Row],[age]]&gt;18,"Adult","Teenage")</f>
        <v>Teenage</v>
      </c>
      <c r="D862">
        <v>3.5</v>
      </c>
      <c r="E862" t="s">
        <v>17</v>
      </c>
      <c r="F862">
        <v>4.5</v>
      </c>
      <c r="G862">
        <f>Table1[[#This Row],[sleep_hours]]-Table1[[#This Row],[daily_social_media_hours]]</f>
        <v>1</v>
      </c>
      <c r="H862">
        <v>2.7</v>
      </c>
      <c r="I862">
        <v>2.4700000000000002</v>
      </c>
      <c r="J862" t="str" cm="1">
        <f t="array" ref="J862">_xlfn.IFS(Table1[[#This Row],[academic_performance]]&gt;1,"Need Improvement",Table1[[#This Row],[academic_performance]]&gt;2,"Good",Table1[[#This Row],[academic_performance]]&gt;3,"Very good",Table1[[#This Row],[academic_performance]]&gt;4,"Excellent")</f>
        <v>Need Improvement</v>
      </c>
      <c r="K862">
        <v>1.4</v>
      </c>
      <c r="L862" t="str">
        <f>IF(Table1[[#This Row],[physical_activity]]&gt;1.9,"better overall ","lower rate of depression")</f>
        <v>lower rate of depression</v>
      </c>
      <c r="M862" t="s">
        <v>15</v>
      </c>
      <c r="N862">
        <v>1</v>
      </c>
      <c r="O862">
        <v>5</v>
      </c>
      <c r="P862">
        <v>10</v>
      </c>
      <c r="Q862">
        <v>0</v>
      </c>
    </row>
    <row r="863" spans="1:17" x14ac:dyDescent="0.3">
      <c r="A863">
        <v>15</v>
      </c>
      <c r="B863" t="s">
        <v>13</v>
      </c>
      <c r="C863" t="str">
        <f>IF(Table1[[#This Row],[age]]&gt;18,"Adult","Teenage")</f>
        <v>Teenage</v>
      </c>
      <c r="D863">
        <v>6.8</v>
      </c>
      <c r="E863" t="s">
        <v>20</v>
      </c>
      <c r="F863">
        <v>6.6</v>
      </c>
      <c r="G863">
        <f>Table1[[#This Row],[sleep_hours]]-Table1[[#This Row],[daily_social_media_hours]]</f>
        <v>-0.20000000000000018</v>
      </c>
      <c r="H863">
        <v>2.1</v>
      </c>
      <c r="I863">
        <v>3.43</v>
      </c>
      <c r="J863" t="str" cm="1">
        <f t="array" ref="J863">_xlfn.IFS(Table1[[#This Row],[academic_performance]]&gt;1,"Need Improvement",Table1[[#This Row],[academic_performance]]&gt;2,"Good",Table1[[#This Row],[academic_performance]]&gt;3,"Very good",Table1[[#This Row],[academic_performance]]&gt;4,"Excellent")</f>
        <v>Need Improvement</v>
      </c>
      <c r="K863">
        <v>1.7</v>
      </c>
      <c r="L863" t="str">
        <f>IF(Table1[[#This Row],[physical_activity]]&gt;1.9,"better overall ","lower rate of depression")</f>
        <v>lower rate of depression</v>
      </c>
      <c r="M863" t="s">
        <v>15</v>
      </c>
      <c r="N863">
        <v>10</v>
      </c>
      <c r="O863">
        <v>10</v>
      </c>
      <c r="P863">
        <v>8</v>
      </c>
      <c r="Q863">
        <v>0</v>
      </c>
    </row>
    <row r="864" spans="1:17" x14ac:dyDescent="0.3">
      <c r="A864">
        <v>14</v>
      </c>
      <c r="B864" t="s">
        <v>13</v>
      </c>
      <c r="C864" t="str">
        <f>IF(Table1[[#This Row],[age]]&gt;18,"Adult","Teenage")</f>
        <v>Teenage</v>
      </c>
      <c r="D864">
        <v>7</v>
      </c>
      <c r="E864" t="s">
        <v>14</v>
      </c>
      <c r="F864">
        <v>5.2</v>
      </c>
      <c r="G864">
        <f>Table1[[#This Row],[sleep_hours]]-Table1[[#This Row],[daily_social_media_hours]]</f>
        <v>-1.7999999999999998</v>
      </c>
      <c r="H864">
        <v>1.4</v>
      </c>
      <c r="I864">
        <v>3.27</v>
      </c>
      <c r="J864" t="str" cm="1">
        <f t="array" ref="J864">_xlfn.IFS(Table1[[#This Row],[academic_performance]]&gt;1,"Need Improvement",Table1[[#This Row],[academic_performance]]&gt;2,"Good",Table1[[#This Row],[academic_performance]]&gt;3,"Very good",Table1[[#This Row],[academic_performance]]&gt;4,"Excellent")</f>
        <v>Need Improvement</v>
      </c>
      <c r="K864">
        <v>1.7</v>
      </c>
      <c r="L864" t="str">
        <f>IF(Table1[[#This Row],[physical_activity]]&gt;1.9,"better overall ","lower rate of depression")</f>
        <v>lower rate of depression</v>
      </c>
      <c r="M864" t="s">
        <v>19</v>
      </c>
      <c r="N864">
        <v>5</v>
      </c>
      <c r="O864">
        <v>7</v>
      </c>
      <c r="P864">
        <v>8</v>
      </c>
      <c r="Q864">
        <v>0</v>
      </c>
    </row>
    <row r="865" spans="1:17" x14ac:dyDescent="0.3">
      <c r="A865">
        <v>17</v>
      </c>
      <c r="B865" t="s">
        <v>16</v>
      </c>
      <c r="C865" t="str">
        <f>IF(Table1[[#This Row],[age]]&gt;18,"Adult","Teenage")</f>
        <v>Teenage</v>
      </c>
      <c r="D865">
        <v>7.5</v>
      </c>
      <c r="E865" t="s">
        <v>20</v>
      </c>
      <c r="F865">
        <v>8.1</v>
      </c>
      <c r="G865">
        <f>Table1[[#This Row],[sleep_hours]]-Table1[[#This Row],[daily_social_media_hours]]</f>
        <v>0.59999999999999964</v>
      </c>
      <c r="H865">
        <v>2.8</v>
      </c>
      <c r="I865">
        <v>2.58</v>
      </c>
      <c r="J865" t="str" cm="1">
        <f t="array" ref="J865">_xlfn.IFS(Table1[[#This Row],[academic_performance]]&gt;1,"Need Improvement",Table1[[#This Row],[academic_performance]]&gt;2,"Good",Table1[[#This Row],[academic_performance]]&gt;3,"Very good",Table1[[#This Row],[academic_performance]]&gt;4,"Excellent")</f>
        <v>Need Improvement</v>
      </c>
      <c r="K865">
        <v>0.5</v>
      </c>
      <c r="L865" t="str">
        <f>IF(Table1[[#This Row],[physical_activity]]&gt;1.9,"better overall ","lower rate of depression")</f>
        <v>lower rate of depression</v>
      </c>
      <c r="M865" t="s">
        <v>19</v>
      </c>
      <c r="N865">
        <v>2</v>
      </c>
      <c r="O865">
        <v>2</v>
      </c>
      <c r="P865">
        <v>3</v>
      </c>
      <c r="Q865">
        <v>0</v>
      </c>
    </row>
    <row r="866" spans="1:17" x14ac:dyDescent="0.3">
      <c r="A866">
        <v>17</v>
      </c>
      <c r="B866" t="s">
        <v>16</v>
      </c>
      <c r="C866" t="str">
        <f>IF(Table1[[#This Row],[age]]&gt;18,"Adult","Teenage")</f>
        <v>Teenage</v>
      </c>
      <c r="D866">
        <v>2.5</v>
      </c>
      <c r="E866" t="s">
        <v>14</v>
      </c>
      <c r="F866">
        <v>4.4000000000000004</v>
      </c>
      <c r="G866">
        <f>Table1[[#This Row],[sleep_hours]]-Table1[[#This Row],[daily_social_media_hours]]</f>
        <v>1.9000000000000004</v>
      </c>
      <c r="H866">
        <v>2</v>
      </c>
      <c r="I866">
        <v>3.29</v>
      </c>
      <c r="J866" t="str" cm="1">
        <f t="array" ref="J866">_xlfn.IFS(Table1[[#This Row],[academic_performance]]&gt;1,"Need Improvement",Table1[[#This Row],[academic_performance]]&gt;2,"Good",Table1[[#This Row],[academic_performance]]&gt;3,"Very good",Table1[[#This Row],[academic_performance]]&gt;4,"Excellent")</f>
        <v>Need Improvement</v>
      </c>
      <c r="K866">
        <v>0.7</v>
      </c>
      <c r="L866" t="str">
        <f>IF(Table1[[#This Row],[physical_activity]]&gt;1.9,"better overall ","lower rate of depression")</f>
        <v>lower rate of depression</v>
      </c>
      <c r="M866" t="s">
        <v>15</v>
      </c>
      <c r="N866">
        <v>4</v>
      </c>
      <c r="O866">
        <v>6</v>
      </c>
      <c r="P866">
        <v>5</v>
      </c>
      <c r="Q866">
        <v>0</v>
      </c>
    </row>
    <row r="867" spans="1:17" x14ac:dyDescent="0.3">
      <c r="A867">
        <v>15</v>
      </c>
      <c r="B867" t="s">
        <v>13</v>
      </c>
      <c r="C867" t="str">
        <f>IF(Table1[[#This Row],[age]]&gt;18,"Adult","Teenage")</f>
        <v>Teenage</v>
      </c>
      <c r="D867">
        <v>6.5</v>
      </c>
      <c r="E867" t="s">
        <v>17</v>
      </c>
      <c r="F867">
        <v>5.4</v>
      </c>
      <c r="G867">
        <f>Table1[[#This Row],[sleep_hours]]-Table1[[#This Row],[daily_social_media_hours]]</f>
        <v>-1.0999999999999996</v>
      </c>
      <c r="H867">
        <v>2.1</v>
      </c>
      <c r="I867">
        <v>3.44</v>
      </c>
      <c r="J867" t="str" cm="1">
        <f t="array" ref="J867">_xlfn.IFS(Table1[[#This Row],[academic_performance]]&gt;1,"Need Improvement",Table1[[#This Row],[academic_performance]]&gt;2,"Good",Table1[[#This Row],[academic_performance]]&gt;3,"Very good",Table1[[#This Row],[academic_performance]]&gt;4,"Excellent")</f>
        <v>Need Improvement</v>
      </c>
      <c r="K867">
        <v>1.8</v>
      </c>
      <c r="L867" t="str">
        <f>IF(Table1[[#This Row],[physical_activity]]&gt;1.9,"better overall ","lower rate of depression")</f>
        <v>lower rate of depression</v>
      </c>
      <c r="M867" t="s">
        <v>15</v>
      </c>
      <c r="N867">
        <v>7</v>
      </c>
      <c r="O867">
        <v>3</v>
      </c>
      <c r="P867">
        <v>6</v>
      </c>
      <c r="Q867">
        <v>0</v>
      </c>
    </row>
    <row r="868" spans="1:17" x14ac:dyDescent="0.3">
      <c r="A868">
        <v>13</v>
      </c>
      <c r="B868" t="s">
        <v>13</v>
      </c>
      <c r="C868" t="str">
        <f>IF(Table1[[#This Row],[age]]&gt;18,"Adult","Teenage")</f>
        <v>Teenage</v>
      </c>
      <c r="D868">
        <v>7.7</v>
      </c>
      <c r="E868" t="s">
        <v>14</v>
      </c>
      <c r="F868">
        <v>4.4000000000000004</v>
      </c>
      <c r="G868">
        <f>Table1[[#This Row],[sleep_hours]]-Table1[[#This Row],[daily_social_media_hours]]</f>
        <v>-3.3</v>
      </c>
      <c r="H868">
        <v>2</v>
      </c>
      <c r="I868">
        <v>3.09</v>
      </c>
      <c r="J868" t="str" cm="1">
        <f t="array" ref="J868">_xlfn.IFS(Table1[[#This Row],[academic_performance]]&gt;1,"Need Improvement",Table1[[#This Row],[academic_performance]]&gt;2,"Good",Table1[[#This Row],[academic_performance]]&gt;3,"Very good",Table1[[#This Row],[academic_performance]]&gt;4,"Excellent")</f>
        <v>Need Improvement</v>
      </c>
      <c r="K868">
        <v>1</v>
      </c>
      <c r="L868" t="str">
        <f>IF(Table1[[#This Row],[physical_activity]]&gt;1.9,"better overall ","lower rate of depression")</f>
        <v>lower rate of depression</v>
      </c>
      <c r="M868" t="s">
        <v>18</v>
      </c>
      <c r="N868">
        <v>8</v>
      </c>
      <c r="O868">
        <v>7</v>
      </c>
      <c r="P868">
        <v>8</v>
      </c>
      <c r="Q868">
        <v>1</v>
      </c>
    </row>
    <row r="869" spans="1:17" x14ac:dyDescent="0.3">
      <c r="A869">
        <v>18</v>
      </c>
      <c r="B869" t="s">
        <v>16</v>
      </c>
      <c r="C869" t="str">
        <f>IF(Table1[[#This Row],[age]]&gt;18,"Adult","Teenage")</f>
        <v>Teenage</v>
      </c>
      <c r="D869">
        <v>3.2</v>
      </c>
      <c r="E869" t="s">
        <v>20</v>
      </c>
      <c r="F869">
        <v>7.8</v>
      </c>
      <c r="G869">
        <f>Table1[[#This Row],[sleep_hours]]-Table1[[#This Row],[daily_social_media_hours]]</f>
        <v>4.5999999999999996</v>
      </c>
      <c r="H869">
        <v>0.7</v>
      </c>
      <c r="I869">
        <v>3.46</v>
      </c>
      <c r="J869" t="str" cm="1">
        <f t="array" ref="J869">_xlfn.IFS(Table1[[#This Row],[academic_performance]]&gt;1,"Need Improvement",Table1[[#This Row],[academic_performance]]&gt;2,"Good",Table1[[#This Row],[academic_performance]]&gt;3,"Very good",Table1[[#This Row],[academic_performance]]&gt;4,"Excellent")</f>
        <v>Need Improvement</v>
      </c>
      <c r="K869">
        <v>1.3</v>
      </c>
      <c r="L869" t="str">
        <f>IF(Table1[[#This Row],[physical_activity]]&gt;1.9,"better overall ","lower rate of depression")</f>
        <v>lower rate of depression</v>
      </c>
      <c r="M869" t="s">
        <v>15</v>
      </c>
      <c r="N869">
        <v>5</v>
      </c>
      <c r="O869">
        <v>10</v>
      </c>
      <c r="P869">
        <v>6</v>
      </c>
      <c r="Q869">
        <v>0</v>
      </c>
    </row>
    <row r="870" spans="1:17" x14ac:dyDescent="0.3">
      <c r="A870">
        <v>16</v>
      </c>
      <c r="B870" t="s">
        <v>16</v>
      </c>
      <c r="C870" t="str">
        <f>IF(Table1[[#This Row],[age]]&gt;18,"Adult","Teenage")</f>
        <v>Teenage</v>
      </c>
      <c r="D870">
        <v>5.3</v>
      </c>
      <c r="E870" t="s">
        <v>17</v>
      </c>
      <c r="F870">
        <v>4.3</v>
      </c>
      <c r="G870">
        <f>Table1[[#This Row],[sleep_hours]]-Table1[[#This Row],[daily_social_media_hours]]</f>
        <v>-1</v>
      </c>
      <c r="H870">
        <v>1.5</v>
      </c>
      <c r="I870">
        <v>2.54</v>
      </c>
      <c r="J870" t="str" cm="1">
        <f t="array" ref="J870">_xlfn.IFS(Table1[[#This Row],[academic_performance]]&gt;1,"Need Improvement",Table1[[#This Row],[academic_performance]]&gt;2,"Good",Table1[[#This Row],[academic_performance]]&gt;3,"Very good",Table1[[#This Row],[academic_performance]]&gt;4,"Excellent")</f>
        <v>Need Improvement</v>
      </c>
      <c r="K870">
        <v>0.3</v>
      </c>
      <c r="L870" t="str">
        <f>IF(Table1[[#This Row],[physical_activity]]&gt;1.9,"better overall ","lower rate of depression")</f>
        <v>lower rate of depression</v>
      </c>
      <c r="M870" t="s">
        <v>18</v>
      </c>
      <c r="N870">
        <v>7</v>
      </c>
      <c r="O870">
        <v>7</v>
      </c>
      <c r="P870">
        <v>10</v>
      </c>
      <c r="Q870">
        <v>1</v>
      </c>
    </row>
    <row r="871" spans="1:17" x14ac:dyDescent="0.3">
      <c r="A871">
        <v>14</v>
      </c>
      <c r="B871" t="s">
        <v>13</v>
      </c>
      <c r="C871" t="str">
        <f>IF(Table1[[#This Row],[age]]&gt;18,"Adult","Teenage")</f>
        <v>Teenage</v>
      </c>
      <c r="D871">
        <v>5</v>
      </c>
      <c r="E871" t="s">
        <v>17</v>
      </c>
      <c r="F871">
        <v>5.2</v>
      </c>
      <c r="G871">
        <f>Table1[[#This Row],[sleep_hours]]-Table1[[#This Row],[daily_social_media_hours]]</f>
        <v>0.20000000000000018</v>
      </c>
      <c r="H871">
        <v>0.5</v>
      </c>
      <c r="I871">
        <v>3.55</v>
      </c>
      <c r="J871" t="str" cm="1">
        <f t="array" ref="J871">_xlfn.IFS(Table1[[#This Row],[academic_performance]]&gt;1,"Need Improvement",Table1[[#This Row],[academic_performance]]&gt;2,"Good",Table1[[#This Row],[academic_performance]]&gt;3,"Very good",Table1[[#This Row],[academic_performance]]&gt;4,"Excellent")</f>
        <v>Need Improvement</v>
      </c>
      <c r="K871">
        <v>0.4</v>
      </c>
      <c r="L871" t="str">
        <f>IF(Table1[[#This Row],[physical_activity]]&gt;1.9,"better overall ","lower rate of depression")</f>
        <v>lower rate of depression</v>
      </c>
      <c r="M871" t="s">
        <v>15</v>
      </c>
      <c r="N871">
        <v>10</v>
      </c>
      <c r="O871">
        <v>6</v>
      </c>
      <c r="P871">
        <v>8</v>
      </c>
      <c r="Q871">
        <v>0</v>
      </c>
    </row>
    <row r="872" spans="1:17" x14ac:dyDescent="0.3">
      <c r="A872">
        <v>19</v>
      </c>
      <c r="B872" t="s">
        <v>13</v>
      </c>
      <c r="C872" t="str">
        <f>IF(Table1[[#This Row],[age]]&gt;18,"Adult","Teenage")</f>
        <v>Adult</v>
      </c>
      <c r="D872">
        <v>6.1</v>
      </c>
      <c r="E872" t="s">
        <v>14</v>
      </c>
      <c r="F872">
        <v>7.1</v>
      </c>
      <c r="G872">
        <f>Table1[[#This Row],[sleep_hours]]-Table1[[#This Row],[daily_social_media_hours]]</f>
        <v>1</v>
      </c>
      <c r="H872">
        <v>2.2999999999999998</v>
      </c>
      <c r="I872">
        <v>3.22</v>
      </c>
      <c r="J872" t="str" cm="1">
        <f t="array" ref="J872">_xlfn.IFS(Table1[[#This Row],[academic_performance]]&gt;1,"Need Improvement",Table1[[#This Row],[academic_performance]]&gt;2,"Good",Table1[[#This Row],[academic_performance]]&gt;3,"Very good",Table1[[#This Row],[academic_performance]]&gt;4,"Excellent")</f>
        <v>Need Improvement</v>
      </c>
      <c r="K872">
        <v>0.5</v>
      </c>
      <c r="L872" t="str">
        <f>IF(Table1[[#This Row],[physical_activity]]&gt;1.9,"better overall ","lower rate of depression")</f>
        <v>lower rate of depression</v>
      </c>
      <c r="M872" t="s">
        <v>15</v>
      </c>
      <c r="N872">
        <v>4</v>
      </c>
      <c r="O872">
        <v>3</v>
      </c>
      <c r="P872">
        <v>7</v>
      </c>
      <c r="Q872">
        <v>0</v>
      </c>
    </row>
    <row r="873" spans="1:17" x14ac:dyDescent="0.3">
      <c r="A873">
        <v>17</v>
      </c>
      <c r="B873" t="s">
        <v>13</v>
      </c>
      <c r="C873" t="str">
        <f>IF(Table1[[#This Row],[age]]&gt;18,"Adult","Teenage")</f>
        <v>Teenage</v>
      </c>
      <c r="D873">
        <v>4.2</v>
      </c>
      <c r="E873" t="s">
        <v>17</v>
      </c>
      <c r="F873">
        <v>7.3</v>
      </c>
      <c r="G873">
        <f>Table1[[#This Row],[sleep_hours]]-Table1[[#This Row],[daily_social_media_hours]]</f>
        <v>3.0999999999999996</v>
      </c>
      <c r="H873">
        <v>2.6</v>
      </c>
      <c r="I873">
        <v>3.2</v>
      </c>
      <c r="J873" t="str" cm="1">
        <f t="array" ref="J873">_xlfn.IFS(Table1[[#This Row],[academic_performance]]&gt;1,"Need Improvement",Table1[[#This Row],[academic_performance]]&gt;2,"Good",Table1[[#This Row],[academic_performance]]&gt;3,"Very good",Table1[[#This Row],[academic_performance]]&gt;4,"Excellent")</f>
        <v>Need Improvement</v>
      </c>
      <c r="K873">
        <v>0.2</v>
      </c>
      <c r="L873" t="str">
        <f>IF(Table1[[#This Row],[physical_activity]]&gt;1.9,"better overall ","lower rate of depression")</f>
        <v>lower rate of depression</v>
      </c>
      <c r="M873" t="s">
        <v>18</v>
      </c>
      <c r="N873">
        <v>7</v>
      </c>
      <c r="O873">
        <v>1</v>
      </c>
      <c r="P873">
        <v>3</v>
      </c>
      <c r="Q873">
        <v>0</v>
      </c>
    </row>
    <row r="874" spans="1:17" x14ac:dyDescent="0.3">
      <c r="A874">
        <v>15</v>
      </c>
      <c r="B874" t="s">
        <v>13</v>
      </c>
      <c r="C874" t="str">
        <f>IF(Table1[[#This Row],[age]]&gt;18,"Adult","Teenage")</f>
        <v>Teenage</v>
      </c>
      <c r="D874">
        <v>4.7</v>
      </c>
      <c r="E874" t="s">
        <v>14</v>
      </c>
      <c r="F874">
        <v>8.1999999999999993</v>
      </c>
      <c r="G874">
        <f>Table1[[#This Row],[sleep_hours]]-Table1[[#This Row],[daily_social_media_hours]]</f>
        <v>3.4999999999999991</v>
      </c>
      <c r="H874">
        <v>2.2999999999999998</v>
      </c>
      <c r="I874">
        <v>3.35</v>
      </c>
      <c r="J874" t="str" cm="1">
        <f t="array" ref="J874">_xlfn.IFS(Table1[[#This Row],[academic_performance]]&gt;1,"Need Improvement",Table1[[#This Row],[academic_performance]]&gt;2,"Good",Table1[[#This Row],[academic_performance]]&gt;3,"Very good",Table1[[#This Row],[academic_performance]]&gt;4,"Excellent")</f>
        <v>Need Improvement</v>
      </c>
      <c r="K874">
        <v>0.6</v>
      </c>
      <c r="L874" t="str">
        <f>IF(Table1[[#This Row],[physical_activity]]&gt;1.9,"better overall ","lower rate of depression")</f>
        <v>lower rate of depression</v>
      </c>
      <c r="M874" t="s">
        <v>15</v>
      </c>
      <c r="N874">
        <v>6</v>
      </c>
      <c r="O874">
        <v>2</v>
      </c>
      <c r="P874">
        <v>5</v>
      </c>
      <c r="Q874">
        <v>0</v>
      </c>
    </row>
    <row r="875" spans="1:17" x14ac:dyDescent="0.3">
      <c r="A875">
        <v>18</v>
      </c>
      <c r="B875" t="s">
        <v>13</v>
      </c>
      <c r="C875" t="str">
        <f>IF(Table1[[#This Row],[age]]&gt;18,"Adult","Teenage")</f>
        <v>Teenage</v>
      </c>
      <c r="D875">
        <v>1.6</v>
      </c>
      <c r="E875" t="s">
        <v>17</v>
      </c>
      <c r="F875">
        <v>5.8</v>
      </c>
      <c r="G875">
        <f>Table1[[#This Row],[sleep_hours]]-Table1[[#This Row],[daily_social_media_hours]]</f>
        <v>4.1999999999999993</v>
      </c>
      <c r="H875">
        <v>0.6</v>
      </c>
      <c r="I875">
        <v>3.63</v>
      </c>
      <c r="J875" t="str" cm="1">
        <f t="array" ref="J875">_xlfn.IFS(Table1[[#This Row],[academic_performance]]&gt;1,"Need Improvement",Table1[[#This Row],[academic_performance]]&gt;2,"Good",Table1[[#This Row],[academic_performance]]&gt;3,"Very good",Table1[[#This Row],[academic_performance]]&gt;4,"Excellent")</f>
        <v>Need Improvement</v>
      </c>
      <c r="K875">
        <v>1.1000000000000001</v>
      </c>
      <c r="L875" t="str">
        <f>IF(Table1[[#This Row],[physical_activity]]&gt;1.9,"better overall ","lower rate of depression")</f>
        <v>lower rate of depression</v>
      </c>
      <c r="M875" t="s">
        <v>18</v>
      </c>
      <c r="N875">
        <v>6</v>
      </c>
      <c r="O875">
        <v>9</v>
      </c>
      <c r="P875">
        <v>7</v>
      </c>
      <c r="Q875">
        <v>0</v>
      </c>
    </row>
    <row r="876" spans="1:17" x14ac:dyDescent="0.3">
      <c r="A876">
        <v>14</v>
      </c>
      <c r="B876" t="s">
        <v>16</v>
      </c>
      <c r="C876" t="str">
        <f>IF(Table1[[#This Row],[age]]&gt;18,"Adult","Teenage")</f>
        <v>Teenage</v>
      </c>
      <c r="D876">
        <v>1.7</v>
      </c>
      <c r="E876" t="s">
        <v>17</v>
      </c>
      <c r="F876">
        <v>6.5</v>
      </c>
      <c r="G876">
        <f>Table1[[#This Row],[sleep_hours]]-Table1[[#This Row],[daily_social_media_hours]]</f>
        <v>4.8</v>
      </c>
      <c r="H876">
        <v>2.7</v>
      </c>
      <c r="I876">
        <v>2.06</v>
      </c>
      <c r="J876" t="str" cm="1">
        <f t="array" ref="J876">_xlfn.IFS(Table1[[#This Row],[academic_performance]]&gt;1,"Need Improvement",Table1[[#This Row],[academic_performance]]&gt;2,"Good",Table1[[#This Row],[academic_performance]]&gt;3,"Very good",Table1[[#This Row],[academic_performance]]&gt;4,"Excellent")</f>
        <v>Need Improvement</v>
      </c>
      <c r="K876">
        <v>0.1</v>
      </c>
      <c r="L876" t="str">
        <f>IF(Table1[[#This Row],[physical_activity]]&gt;1.9,"better overall ","lower rate of depression")</f>
        <v>lower rate of depression</v>
      </c>
      <c r="M876" t="s">
        <v>19</v>
      </c>
      <c r="N876">
        <v>9</v>
      </c>
      <c r="O876">
        <v>5</v>
      </c>
      <c r="P876">
        <v>9</v>
      </c>
      <c r="Q876">
        <v>0</v>
      </c>
    </row>
    <row r="877" spans="1:17" x14ac:dyDescent="0.3">
      <c r="A877">
        <v>18</v>
      </c>
      <c r="B877" t="s">
        <v>13</v>
      </c>
      <c r="C877" t="str">
        <f>IF(Table1[[#This Row],[age]]&gt;18,"Adult","Teenage")</f>
        <v>Teenage</v>
      </c>
      <c r="D877">
        <v>4.5999999999999996</v>
      </c>
      <c r="E877" t="s">
        <v>14</v>
      </c>
      <c r="F877">
        <v>4.0999999999999996</v>
      </c>
      <c r="G877">
        <f>Table1[[#This Row],[sleep_hours]]-Table1[[#This Row],[daily_social_media_hours]]</f>
        <v>-0.5</v>
      </c>
      <c r="H877">
        <v>1.4</v>
      </c>
      <c r="I877">
        <v>2.2799999999999998</v>
      </c>
      <c r="J877" t="str" cm="1">
        <f t="array" ref="J877">_xlfn.IFS(Table1[[#This Row],[academic_performance]]&gt;1,"Need Improvement",Table1[[#This Row],[academic_performance]]&gt;2,"Good",Table1[[#This Row],[academic_performance]]&gt;3,"Very good",Table1[[#This Row],[academic_performance]]&gt;4,"Excellent")</f>
        <v>Need Improvement</v>
      </c>
      <c r="K877">
        <v>0.4</v>
      </c>
      <c r="L877" t="str">
        <f>IF(Table1[[#This Row],[physical_activity]]&gt;1.9,"better overall ","lower rate of depression")</f>
        <v>lower rate of depression</v>
      </c>
      <c r="M877" t="s">
        <v>19</v>
      </c>
      <c r="N877">
        <v>4</v>
      </c>
      <c r="O877">
        <v>10</v>
      </c>
      <c r="P877">
        <v>10</v>
      </c>
      <c r="Q877">
        <v>0</v>
      </c>
    </row>
    <row r="878" spans="1:17" x14ac:dyDescent="0.3">
      <c r="A878">
        <v>13</v>
      </c>
      <c r="B878" t="s">
        <v>16</v>
      </c>
      <c r="C878" t="str">
        <f>IF(Table1[[#This Row],[age]]&gt;18,"Adult","Teenage")</f>
        <v>Teenage</v>
      </c>
      <c r="D878">
        <v>2.5</v>
      </c>
      <c r="E878" t="s">
        <v>17</v>
      </c>
      <c r="F878">
        <v>6.8</v>
      </c>
      <c r="G878">
        <f>Table1[[#This Row],[sleep_hours]]-Table1[[#This Row],[daily_social_media_hours]]</f>
        <v>4.3</v>
      </c>
      <c r="H878">
        <v>2.8</v>
      </c>
      <c r="I878">
        <v>2.77</v>
      </c>
      <c r="J878" t="str" cm="1">
        <f t="array" ref="J878">_xlfn.IFS(Table1[[#This Row],[academic_performance]]&gt;1,"Need Improvement",Table1[[#This Row],[academic_performance]]&gt;2,"Good",Table1[[#This Row],[academic_performance]]&gt;3,"Very good",Table1[[#This Row],[academic_performance]]&gt;4,"Excellent")</f>
        <v>Need Improvement</v>
      </c>
      <c r="K878">
        <v>0.5</v>
      </c>
      <c r="L878" t="str">
        <f>IF(Table1[[#This Row],[physical_activity]]&gt;1.9,"better overall ","lower rate of depression")</f>
        <v>lower rate of depression</v>
      </c>
      <c r="M878" t="s">
        <v>15</v>
      </c>
      <c r="N878">
        <v>2</v>
      </c>
      <c r="O878">
        <v>6</v>
      </c>
      <c r="P878">
        <v>10</v>
      </c>
      <c r="Q878">
        <v>0</v>
      </c>
    </row>
    <row r="879" spans="1:17" x14ac:dyDescent="0.3">
      <c r="A879">
        <v>16</v>
      </c>
      <c r="B879" t="s">
        <v>16</v>
      </c>
      <c r="C879" t="str">
        <f>IF(Table1[[#This Row],[age]]&gt;18,"Adult","Teenage")</f>
        <v>Teenage</v>
      </c>
      <c r="D879">
        <v>4.2</v>
      </c>
      <c r="E879" t="s">
        <v>17</v>
      </c>
      <c r="F879">
        <v>6.3</v>
      </c>
      <c r="G879">
        <f>Table1[[#This Row],[sleep_hours]]-Table1[[#This Row],[daily_social_media_hours]]</f>
        <v>2.0999999999999996</v>
      </c>
      <c r="H879">
        <v>1.2</v>
      </c>
      <c r="I879">
        <v>3.72</v>
      </c>
      <c r="J879" t="str" cm="1">
        <f t="array" ref="J879">_xlfn.IFS(Table1[[#This Row],[academic_performance]]&gt;1,"Need Improvement",Table1[[#This Row],[academic_performance]]&gt;2,"Good",Table1[[#This Row],[academic_performance]]&gt;3,"Very good",Table1[[#This Row],[academic_performance]]&gt;4,"Excellent")</f>
        <v>Need Improvement</v>
      </c>
      <c r="K879">
        <v>1.9</v>
      </c>
      <c r="L879" t="str">
        <f>IF(Table1[[#This Row],[physical_activity]]&gt;1.9,"better overall ","lower rate of depression")</f>
        <v>lower rate of depression</v>
      </c>
      <c r="M879" t="s">
        <v>15</v>
      </c>
      <c r="N879">
        <v>5</v>
      </c>
      <c r="O879">
        <v>3</v>
      </c>
      <c r="P879">
        <v>7</v>
      </c>
      <c r="Q879">
        <v>0</v>
      </c>
    </row>
    <row r="880" spans="1:17" x14ac:dyDescent="0.3">
      <c r="A880">
        <v>19</v>
      </c>
      <c r="B880" t="s">
        <v>16</v>
      </c>
      <c r="C880" t="str">
        <f>IF(Table1[[#This Row],[age]]&gt;18,"Adult","Teenage")</f>
        <v>Adult</v>
      </c>
      <c r="D880">
        <v>1.2</v>
      </c>
      <c r="E880" t="s">
        <v>17</v>
      </c>
      <c r="F880">
        <v>4.8</v>
      </c>
      <c r="G880">
        <f>Table1[[#This Row],[sleep_hours]]-Table1[[#This Row],[daily_social_media_hours]]</f>
        <v>3.5999999999999996</v>
      </c>
      <c r="H880">
        <v>1.7</v>
      </c>
      <c r="I880">
        <v>2.16</v>
      </c>
      <c r="J880" t="str" cm="1">
        <f t="array" ref="J880">_xlfn.IFS(Table1[[#This Row],[academic_performance]]&gt;1,"Need Improvement",Table1[[#This Row],[academic_performance]]&gt;2,"Good",Table1[[#This Row],[academic_performance]]&gt;3,"Very good",Table1[[#This Row],[academic_performance]]&gt;4,"Excellent")</f>
        <v>Need Improvement</v>
      </c>
      <c r="K880">
        <v>0.6</v>
      </c>
      <c r="L880" t="str">
        <f>IF(Table1[[#This Row],[physical_activity]]&gt;1.9,"better overall ","lower rate of depression")</f>
        <v>lower rate of depression</v>
      </c>
      <c r="M880" t="s">
        <v>19</v>
      </c>
      <c r="N880">
        <v>10</v>
      </c>
      <c r="O880">
        <v>10</v>
      </c>
      <c r="P880">
        <v>10</v>
      </c>
      <c r="Q880">
        <v>0</v>
      </c>
    </row>
    <row r="881" spans="1:17" x14ac:dyDescent="0.3">
      <c r="A881">
        <v>15</v>
      </c>
      <c r="B881" t="s">
        <v>13</v>
      </c>
      <c r="C881" t="str">
        <f>IF(Table1[[#This Row],[age]]&gt;18,"Adult","Teenage")</f>
        <v>Teenage</v>
      </c>
      <c r="D881">
        <v>2.7</v>
      </c>
      <c r="E881" t="s">
        <v>14</v>
      </c>
      <c r="F881">
        <v>7.2</v>
      </c>
      <c r="G881">
        <f>Table1[[#This Row],[sleep_hours]]-Table1[[#This Row],[daily_social_media_hours]]</f>
        <v>4.5</v>
      </c>
      <c r="H881">
        <v>2.9</v>
      </c>
      <c r="I881">
        <v>3.27</v>
      </c>
      <c r="J881" t="str" cm="1">
        <f t="array" ref="J881">_xlfn.IFS(Table1[[#This Row],[academic_performance]]&gt;1,"Need Improvement",Table1[[#This Row],[academic_performance]]&gt;2,"Good",Table1[[#This Row],[academic_performance]]&gt;3,"Very good",Table1[[#This Row],[academic_performance]]&gt;4,"Excellent")</f>
        <v>Need Improvement</v>
      </c>
      <c r="K881">
        <v>0.8</v>
      </c>
      <c r="L881" t="str">
        <f>IF(Table1[[#This Row],[physical_activity]]&gt;1.9,"better overall ","lower rate of depression")</f>
        <v>lower rate of depression</v>
      </c>
      <c r="M881" t="s">
        <v>19</v>
      </c>
      <c r="N881">
        <v>5</v>
      </c>
      <c r="O881">
        <v>2</v>
      </c>
      <c r="P881">
        <v>9</v>
      </c>
      <c r="Q881">
        <v>0</v>
      </c>
    </row>
    <row r="882" spans="1:17" x14ac:dyDescent="0.3">
      <c r="A882">
        <v>13</v>
      </c>
      <c r="B882" t="s">
        <v>13</v>
      </c>
      <c r="C882" t="str">
        <f>IF(Table1[[#This Row],[age]]&gt;18,"Adult","Teenage")</f>
        <v>Teenage</v>
      </c>
      <c r="D882">
        <v>1.5</v>
      </c>
      <c r="E882" t="s">
        <v>20</v>
      </c>
      <c r="F882">
        <v>5.2</v>
      </c>
      <c r="G882">
        <f>Table1[[#This Row],[sleep_hours]]-Table1[[#This Row],[daily_social_media_hours]]</f>
        <v>3.7</v>
      </c>
      <c r="H882">
        <v>0.8</v>
      </c>
      <c r="I882">
        <v>2.16</v>
      </c>
      <c r="J882" t="str" cm="1">
        <f t="array" ref="J882">_xlfn.IFS(Table1[[#This Row],[academic_performance]]&gt;1,"Need Improvement",Table1[[#This Row],[academic_performance]]&gt;2,"Good",Table1[[#This Row],[academic_performance]]&gt;3,"Very good",Table1[[#This Row],[academic_performance]]&gt;4,"Excellent")</f>
        <v>Need Improvement</v>
      </c>
      <c r="K882">
        <v>0.9</v>
      </c>
      <c r="L882" t="str">
        <f>IF(Table1[[#This Row],[physical_activity]]&gt;1.9,"better overall ","lower rate of depression")</f>
        <v>lower rate of depression</v>
      </c>
      <c r="M882" t="s">
        <v>19</v>
      </c>
      <c r="N882">
        <v>10</v>
      </c>
      <c r="O882">
        <v>6</v>
      </c>
      <c r="P882">
        <v>8</v>
      </c>
      <c r="Q882">
        <v>0</v>
      </c>
    </row>
    <row r="883" spans="1:17" x14ac:dyDescent="0.3">
      <c r="A883">
        <v>15</v>
      </c>
      <c r="B883" t="s">
        <v>13</v>
      </c>
      <c r="C883" t="str">
        <f>IF(Table1[[#This Row],[age]]&gt;18,"Adult","Teenage")</f>
        <v>Teenage</v>
      </c>
      <c r="D883">
        <v>3.2</v>
      </c>
      <c r="E883" t="s">
        <v>14</v>
      </c>
      <c r="F883">
        <v>5.6</v>
      </c>
      <c r="G883">
        <f>Table1[[#This Row],[sleep_hours]]-Table1[[#This Row],[daily_social_media_hours]]</f>
        <v>2.3999999999999995</v>
      </c>
      <c r="H883">
        <v>0.7</v>
      </c>
      <c r="I883">
        <v>3.1</v>
      </c>
      <c r="J883" t="str" cm="1">
        <f t="array" ref="J883">_xlfn.IFS(Table1[[#This Row],[academic_performance]]&gt;1,"Need Improvement",Table1[[#This Row],[academic_performance]]&gt;2,"Good",Table1[[#This Row],[academic_performance]]&gt;3,"Very good",Table1[[#This Row],[academic_performance]]&gt;4,"Excellent")</f>
        <v>Need Improvement</v>
      </c>
      <c r="K883">
        <v>1.5</v>
      </c>
      <c r="L883" t="str">
        <f>IF(Table1[[#This Row],[physical_activity]]&gt;1.9,"better overall ","lower rate of depression")</f>
        <v>lower rate of depression</v>
      </c>
      <c r="M883" t="s">
        <v>18</v>
      </c>
      <c r="N883">
        <v>6</v>
      </c>
      <c r="O883">
        <v>3</v>
      </c>
      <c r="P883">
        <v>1</v>
      </c>
      <c r="Q883">
        <v>0</v>
      </c>
    </row>
    <row r="884" spans="1:17" x14ac:dyDescent="0.3">
      <c r="A884">
        <v>19</v>
      </c>
      <c r="B884" t="s">
        <v>16</v>
      </c>
      <c r="C884" t="str">
        <f>IF(Table1[[#This Row],[age]]&gt;18,"Adult","Teenage")</f>
        <v>Adult</v>
      </c>
      <c r="D884">
        <v>7.3</v>
      </c>
      <c r="E884" t="s">
        <v>20</v>
      </c>
      <c r="F884">
        <v>7.4</v>
      </c>
      <c r="G884">
        <f>Table1[[#This Row],[sleep_hours]]-Table1[[#This Row],[daily_social_media_hours]]</f>
        <v>0.10000000000000053</v>
      </c>
      <c r="H884">
        <v>1.5</v>
      </c>
      <c r="I884">
        <v>2.84</v>
      </c>
      <c r="J884" t="str" cm="1">
        <f t="array" ref="J884">_xlfn.IFS(Table1[[#This Row],[academic_performance]]&gt;1,"Need Improvement",Table1[[#This Row],[academic_performance]]&gt;2,"Good",Table1[[#This Row],[academic_performance]]&gt;3,"Very good",Table1[[#This Row],[academic_performance]]&gt;4,"Excellent")</f>
        <v>Need Improvement</v>
      </c>
      <c r="K884">
        <v>1</v>
      </c>
      <c r="L884" t="str">
        <f>IF(Table1[[#This Row],[physical_activity]]&gt;1.9,"better overall ","lower rate of depression")</f>
        <v>lower rate of depression</v>
      </c>
      <c r="M884" t="s">
        <v>19</v>
      </c>
      <c r="N884">
        <v>9</v>
      </c>
      <c r="O884">
        <v>8</v>
      </c>
      <c r="P884">
        <v>5</v>
      </c>
      <c r="Q884">
        <v>0</v>
      </c>
    </row>
    <row r="885" spans="1:17" x14ac:dyDescent="0.3">
      <c r="A885">
        <v>16</v>
      </c>
      <c r="B885" t="s">
        <v>13</v>
      </c>
      <c r="C885" t="str">
        <f>IF(Table1[[#This Row],[age]]&gt;18,"Adult","Teenage")</f>
        <v>Teenage</v>
      </c>
      <c r="D885">
        <v>2</v>
      </c>
      <c r="E885" t="s">
        <v>14</v>
      </c>
      <c r="F885">
        <v>8.1999999999999993</v>
      </c>
      <c r="G885">
        <f>Table1[[#This Row],[sleep_hours]]-Table1[[#This Row],[daily_social_media_hours]]</f>
        <v>6.1999999999999993</v>
      </c>
      <c r="H885">
        <v>1</v>
      </c>
      <c r="I885">
        <v>3.15</v>
      </c>
      <c r="J885" t="str" cm="1">
        <f t="array" ref="J885">_xlfn.IFS(Table1[[#This Row],[academic_performance]]&gt;1,"Need Improvement",Table1[[#This Row],[academic_performance]]&gt;2,"Good",Table1[[#This Row],[academic_performance]]&gt;3,"Very good",Table1[[#This Row],[academic_performance]]&gt;4,"Excellent")</f>
        <v>Need Improvement</v>
      </c>
      <c r="K885">
        <v>0.9</v>
      </c>
      <c r="L885" t="str">
        <f>IF(Table1[[#This Row],[physical_activity]]&gt;1.9,"better overall ","lower rate of depression")</f>
        <v>lower rate of depression</v>
      </c>
      <c r="M885" t="s">
        <v>19</v>
      </c>
      <c r="N885">
        <v>9</v>
      </c>
      <c r="O885">
        <v>7</v>
      </c>
      <c r="P885">
        <v>10</v>
      </c>
      <c r="Q885">
        <v>0</v>
      </c>
    </row>
    <row r="886" spans="1:17" x14ac:dyDescent="0.3">
      <c r="A886">
        <v>19</v>
      </c>
      <c r="B886" t="s">
        <v>13</v>
      </c>
      <c r="C886" t="str">
        <f>IF(Table1[[#This Row],[age]]&gt;18,"Adult","Teenage")</f>
        <v>Adult</v>
      </c>
      <c r="D886">
        <v>2.5</v>
      </c>
      <c r="E886" t="s">
        <v>17</v>
      </c>
      <c r="F886">
        <v>7.1</v>
      </c>
      <c r="G886">
        <f>Table1[[#This Row],[sleep_hours]]-Table1[[#This Row],[daily_social_media_hours]]</f>
        <v>4.5999999999999996</v>
      </c>
      <c r="H886">
        <v>1.9</v>
      </c>
      <c r="I886">
        <v>2.35</v>
      </c>
      <c r="J886" t="str" cm="1">
        <f t="array" ref="J886">_xlfn.IFS(Table1[[#This Row],[academic_performance]]&gt;1,"Need Improvement",Table1[[#This Row],[academic_performance]]&gt;2,"Good",Table1[[#This Row],[academic_performance]]&gt;3,"Very good",Table1[[#This Row],[academic_performance]]&gt;4,"Excellent")</f>
        <v>Need Improvement</v>
      </c>
      <c r="K886">
        <v>1.1000000000000001</v>
      </c>
      <c r="L886" t="str">
        <f>IF(Table1[[#This Row],[physical_activity]]&gt;1.9,"better overall ","lower rate of depression")</f>
        <v>lower rate of depression</v>
      </c>
      <c r="M886" t="s">
        <v>15</v>
      </c>
      <c r="N886">
        <v>4</v>
      </c>
      <c r="O886">
        <v>4</v>
      </c>
      <c r="P886">
        <v>8</v>
      </c>
      <c r="Q886">
        <v>0</v>
      </c>
    </row>
    <row r="887" spans="1:17" x14ac:dyDescent="0.3">
      <c r="A887">
        <v>16</v>
      </c>
      <c r="B887" t="s">
        <v>16</v>
      </c>
      <c r="C887" t="str">
        <f>IF(Table1[[#This Row],[age]]&gt;18,"Adult","Teenage")</f>
        <v>Teenage</v>
      </c>
      <c r="D887">
        <v>7.7</v>
      </c>
      <c r="E887" t="s">
        <v>14</v>
      </c>
      <c r="F887">
        <v>4.7</v>
      </c>
      <c r="G887">
        <f>Table1[[#This Row],[sleep_hours]]-Table1[[#This Row],[daily_social_media_hours]]</f>
        <v>-3</v>
      </c>
      <c r="H887">
        <v>2.9</v>
      </c>
      <c r="I887">
        <v>2.17</v>
      </c>
      <c r="J887" t="str" cm="1">
        <f t="array" ref="J887">_xlfn.IFS(Table1[[#This Row],[academic_performance]]&gt;1,"Need Improvement",Table1[[#This Row],[academic_performance]]&gt;2,"Good",Table1[[#This Row],[academic_performance]]&gt;3,"Very good",Table1[[#This Row],[academic_performance]]&gt;4,"Excellent")</f>
        <v>Need Improvement</v>
      </c>
      <c r="K887">
        <v>1.2</v>
      </c>
      <c r="L887" t="str">
        <f>IF(Table1[[#This Row],[physical_activity]]&gt;1.9,"better overall ","lower rate of depression")</f>
        <v>lower rate of depression</v>
      </c>
      <c r="M887" t="s">
        <v>19</v>
      </c>
      <c r="N887">
        <v>5</v>
      </c>
      <c r="O887">
        <v>7</v>
      </c>
      <c r="P887">
        <v>6</v>
      </c>
      <c r="Q887">
        <v>0</v>
      </c>
    </row>
    <row r="888" spans="1:17" x14ac:dyDescent="0.3">
      <c r="A888">
        <v>19</v>
      </c>
      <c r="B888" t="s">
        <v>16</v>
      </c>
      <c r="C888" t="str">
        <f>IF(Table1[[#This Row],[age]]&gt;18,"Adult","Teenage")</f>
        <v>Adult</v>
      </c>
      <c r="D888">
        <v>3.9</v>
      </c>
      <c r="E888" t="s">
        <v>20</v>
      </c>
      <c r="F888">
        <v>7.9</v>
      </c>
      <c r="G888">
        <f>Table1[[#This Row],[sleep_hours]]-Table1[[#This Row],[daily_social_media_hours]]</f>
        <v>4</v>
      </c>
      <c r="H888">
        <v>2.1</v>
      </c>
      <c r="I888">
        <v>3.52</v>
      </c>
      <c r="J888" t="str" cm="1">
        <f t="array" ref="J888">_xlfn.IFS(Table1[[#This Row],[academic_performance]]&gt;1,"Need Improvement",Table1[[#This Row],[academic_performance]]&gt;2,"Good",Table1[[#This Row],[academic_performance]]&gt;3,"Very good",Table1[[#This Row],[academic_performance]]&gt;4,"Excellent")</f>
        <v>Need Improvement</v>
      </c>
      <c r="K888">
        <v>0.6</v>
      </c>
      <c r="L888" t="str">
        <f>IF(Table1[[#This Row],[physical_activity]]&gt;1.9,"better overall ","lower rate of depression")</f>
        <v>lower rate of depression</v>
      </c>
      <c r="M888" t="s">
        <v>18</v>
      </c>
      <c r="N888">
        <v>3</v>
      </c>
      <c r="O888">
        <v>2</v>
      </c>
      <c r="P888">
        <v>4</v>
      </c>
      <c r="Q888">
        <v>0</v>
      </c>
    </row>
    <row r="889" spans="1:17" x14ac:dyDescent="0.3">
      <c r="A889">
        <v>16</v>
      </c>
      <c r="B889" t="s">
        <v>16</v>
      </c>
      <c r="C889" t="str">
        <f>IF(Table1[[#This Row],[age]]&gt;18,"Adult","Teenage")</f>
        <v>Teenage</v>
      </c>
      <c r="D889">
        <v>3.5</v>
      </c>
      <c r="E889" t="s">
        <v>17</v>
      </c>
      <c r="F889">
        <v>6.1</v>
      </c>
      <c r="G889">
        <f>Table1[[#This Row],[sleep_hours]]-Table1[[#This Row],[daily_social_media_hours]]</f>
        <v>2.5999999999999996</v>
      </c>
      <c r="H889">
        <v>2.7</v>
      </c>
      <c r="I889">
        <v>3.83</v>
      </c>
      <c r="J889" t="str" cm="1">
        <f t="array" ref="J889">_xlfn.IFS(Table1[[#This Row],[academic_performance]]&gt;1,"Need Improvement",Table1[[#This Row],[academic_performance]]&gt;2,"Good",Table1[[#This Row],[academic_performance]]&gt;3,"Very good",Table1[[#This Row],[academic_performance]]&gt;4,"Excellent")</f>
        <v>Need Improvement</v>
      </c>
      <c r="K889">
        <v>0.1</v>
      </c>
      <c r="L889" t="str">
        <f>IF(Table1[[#This Row],[physical_activity]]&gt;1.9,"better overall ","lower rate of depression")</f>
        <v>lower rate of depression</v>
      </c>
      <c r="M889" t="s">
        <v>19</v>
      </c>
      <c r="N889">
        <v>4</v>
      </c>
      <c r="O889">
        <v>5</v>
      </c>
      <c r="P889">
        <v>10</v>
      </c>
      <c r="Q889">
        <v>0</v>
      </c>
    </row>
    <row r="890" spans="1:17" x14ac:dyDescent="0.3">
      <c r="A890">
        <v>17</v>
      </c>
      <c r="B890" t="s">
        <v>13</v>
      </c>
      <c r="C890" t="str">
        <f>IF(Table1[[#This Row],[age]]&gt;18,"Adult","Teenage")</f>
        <v>Teenage</v>
      </c>
      <c r="D890">
        <v>4.9000000000000004</v>
      </c>
      <c r="E890" t="s">
        <v>14</v>
      </c>
      <c r="F890">
        <v>6.4</v>
      </c>
      <c r="G890">
        <f>Table1[[#This Row],[sleep_hours]]-Table1[[#This Row],[daily_social_media_hours]]</f>
        <v>1.5</v>
      </c>
      <c r="H890">
        <v>2.5</v>
      </c>
      <c r="I890">
        <v>2.64</v>
      </c>
      <c r="J890" t="str" cm="1">
        <f t="array" ref="J890">_xlfn.IFS(Table1[[#This Row],[academic_performance]]&gt;1,"Need Improvement",Table1[[#This Row],[academic_performance]]&gt;2,"Good",Table1[[#This Row],[academic_performance]]&gt;3,"Very good",Table1[[#This Row],[academic_performance]]&gt;4,"Excellent")</f>
        <v>Need Improvement</v>
      </c>
      <c r="K890">
        <v>1.9</v>
      </c>
      <c r="L890" t="str">
        <f>IF(Table1[[#This Row],[physical_activity]]&gt;1.9,"better overall ","lower rate of depression")</f>
        <v>lower rate of depression</v>
      </c>
      <c r="M890" t="s">
        <v>19</v>
      </c>
      <c r="N890">
        <v>6</v>
      </c>
      <c r="O890">
        <v>2</v>
      </c>
      <c r="P890">
        <v>10</v>
      </c>
      <c r="Q890">
        <v>0</v>
      </c>
    </row>
    <row r="891" spans="1:17" x14ac:dyDescent="0.3">
      <c r="A891">
        <v>14</v>
      </c>
      <c r="B891" t="s">
        <v>13</v>
      </c>
      <c r="C891" t="str">
        <f>IF(Table1[[#This Row],[age]]&gt;18,"Adult","Teenage")</f>
        <v>Teenage</v>
      </c>
      <c r="D891">
        <v>3.4</v>
      </c>
      <c r="E891" t="s">
        <v>20</v>
      </c>
      <c r="F891">
        <v>5.8</v>
      </c>
      <c r="G891">
        <f>Table1[[#This Row],[sleep_hours]]-Table1[[#This Row],[daily_social_media_hours]]</f>
        <v>2.4</v>
      </c>
      <c r="H891">
        <v>3</v>
      </c>
      <c r="I891">
        <v>3.32</v>
      </c>
      <c r="J891" t="str" cm="1">
        <f t="array" ref="J891">_xlfn.IFS(Table1[[#This Row],[academic_performance]]&gt;1,"Need Improvement",Table1[[#This Row],[academic_performance]]&gt;2,"Good",Table1[[#This Row],[academic_performance]]&gt;3,"Very good",Table1[[#This Row],[academic_performance]]&gt;4,"Excellent")</f>
        <v>Need Improvement</v>
      </c>
      <c r="K891">
        <v>0.6</v>
      </c>
      <c r="L891" t="str">
        <f>IF(Table1[[#This Row],[physical_activity]]&gt;1.9,"better overall ","lower rate of depression")</f>
        <v>lower rate of depression</v>
      </c>
      <c r="M891" t="s">
        <v>19</v>
      </c>
      <c r="N891">
        <v>1</v>
      </c>
      <c r="O891">
        <v>4</v>
      </c>
      <c r="P891">
        <v>4</v>
      </c>
      <c r="Q891">
        <v>0</v>
      </c>
    </row>
    <row r="892" spans="1:17" x14ac:dyDescent="0.3">
      <c r="A892">
        <v>18</v>
      </c>
      <c r="B892" t="s">
        <v>13</v>
      </c>
      <c r="C892" t="str">
        <f>IF(Table1[[#This Row],[age]]&gt;18,"Adult","Teenage")</f>
        <v>Teenage</v>
      </c>
      <c r="D892">
        <v>2.5</v>
      </c>
      <c r="E892" t="s">
        <v>17</v>
      </c>
      <c r="F892">
        <v>4.5999999999999996</v>
      </c>
      <c r="G892">
        <f>Table1[[#This Row],[sleep_hours]]-Table1[[#This Row],[daily_social_media_hours]]</f>
        <v>2.0999999999999996</v>
      </c>
      <c r="H892">
        <v>2.2000000000000002</v>
      </c>
      <c r="I892">
        <v>2.0499999999999998</v>
      </c>
      <c r="J892" t="str" cm="1">
        <f t="array" ref="J892">_xlfn.IFS(Table1[[#This Row],[academic_performance]]&gt;1,"Need Improvement",Table1[[#This Row],[academic_performance]]&gt;2,"Good",Table1[[#This Row],[academic_performance]]&gt;3,"Very good",Table1[[#This Row],[academic_performance]]&gt;4,"Excellent")</f>
        <v>Need Improvement</v>
      </c>
      <c r="K892">
        <v>0.7</v>
      </c>
      <c r="L892" t="str">
        <f>IF(Table1[[#This Row],[physical_activity]]&gt;1.9,"better overall ","lower rate of depression")</f>
        <v>lower rate of depression</v>
      </c>
      <c r="M892" t="s">
        <v>19</v>
      </c>
      <c r="N892">
        <v>9</v>
      </c>
      <c r="O892">
        <v>5</v>
      </c>
      <c r="P892">
        <v>10</v>
      </c>
      <c r="Q892">
        <v>0</v>
      </c>
    </row>
    <row r="893" spans="1:17" x14ac:dyDescent="0.3">
      <c r="A893">
        <v>16</v>
      </c>
      <c r="B893" t="s">
        <v>13</v>
      </c>
      <c r="C893" t="str">
        <f>IF(Table1[[#This Row],[age]]&gt;18,"Adult","Teenage")</f>
        <v>Teenage</v>
      </c>
      <c r="D893">
        <v>4.8</v>
      </c>
      <c r="E893" t="s">
        <v>20</v>
      </c>
      <c r="F893">
        <v>5.4</v>
      </c>
      <c r="G893">
        <f>Table1[[#This Row],[sleep_hours]]-Table1[[#This Row],[daily_social_media_hours]]</f>
        <v>0.60000000000000053</v>
      </c>
      <c r="H893">
        <v>0.9</v>
      </c>
      <c r="I893">
        <v>2.06</v>
      </c>
      <c r="J893" t="str" cm="1">
        <f t="array" ref="J893">_xlfn.IFS(Table1[[#This Row],[academic_performance]]&gt;1,"Need Improvement",Table1[[#This Row],[academic_performance]]&gt;2,"Good",Table1[[#This Row],[academic_performance]]&gt;3,"Very good",Table1[[#This Row],[academic_performance]]&gt;4,"Excellent")</f>
        <v>Need Improvement</v>
      </c>
      <c r="K893">
        <v>1.9</v>
      </c>
      <c r="L893" t="str">
        <f>IF(Table1[[#This Row],[physical_activity]]&gt;1.9,"better overall ","lower rate of depression")</f>
        <v>lower rate of depression</v>
      </c>
      <c r="M893" t="s">
        <v>15</v>
      </c>
      <c r="N893">
        <v>8</v>
      </c>
      <c r="O893">
        <v>3</v>
      </c>
      <c r="P893">
        <v>2</v>
      </c>
      <c r="Q893">
        <v>0</v>
      </c>
    </row>
    <row r="894" spans="1:17" x14ac:dyDescent="0.3">
      <c r="A894">
        <v>19</v>
      </c>
      <c r="B894" t="s">
        <v>13</v>
      </c>
      <c r="C894" t="str">
        <f>IF(Table1[[#This Row],[age]]&gt;18,"Adult","Teenage")</f>
        <v>Adult</v>
      </c>
      <c r="D894">
        <v>7.4</v>
      </c>
      <c r="E894" t="s">
        <v>17</v>
      </c>
      <c r="F894">
        <v>6.1</v>
      </c>
      <c r="G894">
        <f>Table1[[#This Row],[sleep_hours]]-Table1[[#This Row],[daily_social_media_hours]]</f>
        <v>-1.3000000000000007</v>
      </c>
      <c r="H894">
        <v>1.1000000000000001</v>
      </c>
      <c r="I894">
        <v>2.15</v>
      </c>
      <c r="J894" t="str" cm="1">
        <f t="array" ref="J894">_xlfn.IFS(Table1[[#This Row],[academic_performance]]&gt;1,"Need Improvement",Table1[[#This Row],[academic_performance]]&gt;2,"Good",Table1[[#This Row],[academic_performance]]&gt;3,"Very good",Table1[[#This Row],[academic_performance]]&gt;4,"Excellent")</f>
        <v>Need Improvement</v>
      </c>
      <c r="K894">
        <v>1.6</v>
      </c>
      <c r="L894" t="str">
        <f>IF(Table1[[#This Row],[physical_activity]]&gt;1.9,"better overall ","lower rate of depression")</f>
        <v>lower rate of depression</v>
      </c>
      <c r="M894" t="s">
        <v>18</v>
      </c>
      <c r="N894">
        <v>4</v>
      </c>
      <c r="O894">
        <v>4</v>
      </c>
      <c r="P894">
        <v>1</v>
      </c>
      <c r="Q894">
        <v>0</v>
      </c>
    </row>
    <row r="895" spans="1:17" x14ac:dyDescent="0.3">
      <c r="A895">
        <v>16</v>
      </c>
      <c r="B895" t="s">
        <v>16</v>
      </c>
      <c r="C895" t="str">
        <f>IF(Table1[[#This Row],[age]]&gt;18,"Adult","Teenage")</f>
        <v>Teenage</v>
      </c>
      <c r="D895">
        <v>2.1</v>
      </c>
      <c r="E895" t="s">
        <v>14</v>
      </c>
      <c r="F895">
        <v>4.8</v>
      </c>
      <c r="G895">
        <f>Table1[[#This Row],[sleep_hours]]-Table1[[#This Row],[daily_social_media_hours]]</f>
        <v>2.6999999999999997</v>
      </c>
      <c r="H895">
        <v>1.3</v>
      </c>
      <c r="I895">
        <v>2.29</v>
      </c>
      <c r="J895" t="str" cm="1">
        <f t="array" ref="J895">_xlfn.IFS(Table1[[#This Row],[academic_performance]]&gt;1,"Need Improvement",Table1[[#This Row],[academic_performance]]&gt;2,"Good",Table1[[#This Row],[academic_performance]]&gt;3,"Very good",Table1[[#This Row],[academic_performance]]&gt;4,"Excellent")</f>
        <v>Need Improvement</v>
      </c>
      <c r="K895">
        <v>1.8</v>
      </c>
      <c r="L895" t="str">
        <f>IF(Table1[[#This Row],[physical_activity]]&gt;1.9,"better overall ","lower rate of depression")</f>
        <v>lower rate of depression</v>
      </c>
      <c r="M895" t="s">
        <v>18</v>
      </c>
      <c r="N895">
        <v>6</v>
      </c>
      <c r="O895">
        <v>9</v>
      </c>
      <c r="P895">
        <v>2</v>
      </c>
      <c r="Q895">
        <v>0</v>
      </c>
    </row>
    <row r="896" spans="1:17" x14ac:dyDescent="0.3">
      <c r="A896">
        <v>19</v>
      </c>
      <c r="B896" t="s">
        <v>13</v>
      </c>
      <c r="C896" t="str">
        <f>IF(Table1[[#This Row],[age]]&gt;18,"Adult","Teenage")</f>
        <v>Adult</v>
      </c>
      <c r="D896">
        <v>2.1</v>
      </c>
      <c r="E896" t="s">
        <v>17</v>
      </c>
      <c r="F896">
        <v>6.8</v>
      </c>
      <c r="G896">
        <f>Table1[[#This Row],[sleep_hours]]-Table1[[#This Row],[daily_social_media_hours]]</f>
        <v>4.6999999999999993</v>
      </c>
      <c r="H896">
        <v>2.2000000000000002</v>
      </c>
      <c r="I896">
        <v>2.33</v>
      </c>
      <c r="J896" t="str" cm="1">
        <f t="array" ref="J896">_xlfn.IFS(Table1[[#This Row],[academic_performance]]&gt;1,"Need Improvement",Table1[[#This Row],[academic_performance]]&gt;2,"Good",Table1[[#This Row],[academic_performance]]&gt;3,"Very good",Table1[[#This Row],[academic_performance]]&gt;4,"Excellent")</f>
        <v>Need Improvement</v>
      </c>
      <c r="K896">
        <v>1</v>
      </c>
      <c r="L896" t="str">
        <f>IF(Table1[[#This Row],[physical_activity]]&gt;1.9,"better overall ","lower rate of depression")</f>
        <v>lower rate of depression</v>
      </c>
      <c r="M896" t="s">
        <v>19</v>
      </c>
      <c r="N896">
        <v>7</v>
      </c>
      <c r="O896">
        <v>6</v>
      </c>
      <c r="P896">
        <v>7</v>
      </c>
      <c r="Q896">
        <v>0</v>
      </c>
    </row>
    <row r="897" spans="1:17" x14ac:dyDescent="0.3">
      <c r="A897">
        <v>16</v>
      </c>
      <c r="B897" t="s">
        <v>13</v>
      </c>
      <c r="C897" t="str">
        <f>IF(Table1[[#This Row],[age]]&gt;18,"Adult","Teenage")</f>
        <v>Teenage</v>
      </c>
      <c r="D897">
        <v>1.8</v>
      </c>
      <c r="E897" t="s">
        <v>14</v>
      </c>
      <c r="F897">
        <v>4.9000000000000004</v>
      </c>
      <c r="G897">
        <f>Table1[[#This Row],[sleep_hours]]-Table1[[#This Row],[daily_social_media_hours]]</f>
        <v>3.1000000000000005</v>
      </c>
      <c r="H897">
        <v>2.2999999999999998</v>
      </c>
      <c r="I897">
        <v>2.67</v>
      </c>
      <c r="J897" t="str" cm="1">
        <f t="array" ref="J897">_xlfn.IFS(Table1[[#This Row],[academic_performance]]&gt;1,"Need Improvement",Table1[[#This Row],[academic_performance]]&gt;2,"Good",Table1[[#This Row],[academic_performance]]&gt;3,"Very good",Table1[[#This Row],[academic_performance]]&gt;4,"Excellent")</f>
        <v>Need Improvement</v>
      </c>
      <c r="K897">
        <v>1.4</v>
      </c>
      <c r="L897" t="str">
        <f>IF(Table1[[#This Row],[physical_activity]]&gt;1.9,"better overall ","lower rate of depression")</f>
        <v>lower rate of depression</v>
      </c>
      <c r="M897" t="s">
        <v>19</v>
      </c>
      <c r="N897">
        <v>3</v>
      </c>
      <c r="O897">
        <v>8</v>
      </c>
      <c r="P897">
        <v>6</v>
      </c>
      <c r="Q897">
        <v>0</v>
      </c>
    </row>
    <row r="898" spans="1:17" x14ac:dyDescent="0.3">
      <c r="A898">
        <v>18</v>
      </c>
      <c r="B898" t="s">
        <v>13</v>
      </c>
      <c r="C898" t="str">
        <f>IF(Table1[[#This Row],[age]]&gt;18,"Adult","Teenage")</f>
        <v>Teenage</v>
      </c>
      <c r="D898">
        <v>6.8</v>
      </c>
      <c r="E898" t="s">
        <v>20</v>
      </c>
      <c r="F898">
        <v>5.4</v>
      </c>
      <c r="G898">
        <f>Table1[[#This Row],[sleep_hours]]-Table1[[#This Row],[daily_social_media_hours]]</f>
        <v>-1.3999999999999995</v>
      </c>
      <c r="H898">
        <v>0.9</v>
      </c>
      <c r="I898">
        <v>2.64</v>
      </c>
      <c r="J898" t="str" cm="1">
        <f t="array" ref="J898">_xlfn.IFS(Table1[[#This Row],[academic_performance]]&gt;1,"Need Improvement",Table1[[#This Row],[academic_performance]]&gt;2,"Good",Table1[[#This Row],[academic_performance]]&gt;3,"Very good",Table1[[#This Row],[academic_performance]]&gt;4,"Excellent")</f>
        <v>Need Improvement</v>
      </c>
      <c r="K898">
        <v>0.3</v>
      </c>
      <c r="L898" t="str">
        <f>IF(Table1[[#This Row],[physical_activity]]&gt;1.9,"better overall ","lower rate of depression")</f>
        <v>lower rate of depression</v>
      </c>
      <c r="M898" t="s">
        <v>18</v>
      </c>
      <c r="N898">
        <v>9</v>
      </c>
      <c r="O898">
        <v>1</v>
      </c>
      <c r="P898">
        <v>8</v>
      </c>
      <c r="Q898">
        <v>0</v>
      </c>
    </row>
    <row r="899" spans="1:17" x14ac:dyDescent="0.3">
      <c r="A899">
        <v>18</v>
      </c>
      <c r="B899" t="s">
        <v>13</v>
      </c>
      <c r="C899" t="str">
        <f>IF(Table1[[#This Row],[age]]&gt;18,"Adult","Teenage")</f>
        <v>Teenage</v>
      </c>
      <c r="D899">
        <v>7.9</v>
      </c>
      <c r="E899" t="s">
        <v>14</v>
      </c>
      <c r="F899">
        <v>4.0999999999999996</v>
      </c>
      <c r="G899">
        <f>Table1[[#This Row],[sleep_hours]]-Table1[[#This Row],[daily_social_media_hours]]</f>
        <v>-3.8000000000000007</v>
      </c>
      <c r="H899">
        <v>2.8</v>
      </c>
      <c r="I899">
        <v>3.25</v>
      </c>
      <c r="J899" t="str" cm="1">
        <f t="array" ref="J899">_xlfn.IFS(Table1[[#This Row],[academic_performance]]&gt;1,"Need Improvement",Table1[[#This Row],[academic_performance]]&gt;2,"Good",Table1[[#This Row],[academic_performance]]&gt;3,"Very good",Table1[[#This Row],[academic_performance]]&gt;4,"Excellent")</f>
        <v>Need Improvement</v>
      </c>
      <c r="K899">
        <v>1.4</v>
      </c>
      <c r="L899" t="str">
        <f>IF(Table1[[#This Row],[physical_activity]]&gt;1.9,"better overall ","lower rate of depression")</f>
        <v>lower rate of depression</v>
      </c>
      <c r="M899" t="s">
        <v>18</v>
      </c>
      <c r="N899">
        <v>4</v>
      </c>
      <c r="O899">
        <v>2</v>
      </c>
      <c r="P899">
        <v>4</v>
      </c>
      <c r="Q899">
        <v>0</v>
      </c>
    </row>
    <row r="900" spans="1:17" x14ac:dyDescent="0.3">
      <c r="A900">
        <v>15</v>
      </c>
      <c r="B900" t="s">
        <v>13</v>
      </c>
      <c r="C900" t="str">
        <f>IF(Table1[[#This Row],[age]]&gt;18,"Adult","Teenage")</f>
        <v>Teenage</v>
      </c>
      <c r="D900">
        <v>7.6</v>
      </c>
      <c r="E900" t="s">
        <v>20</v>
      </c>
      <c r="F900">
        <v>6</v>
      </c>
      <c r="G900">
        <f>Table1[[#This Row],[sleep_hours]]-Table1[[#This Row],[daily_social_media_hours]]</f>
        <v>-1.5999999999999996</v>
      </c>
      <c r="H900">
        <v>2.9</v>
      </c>
      <c r="I900">
        <v>2.72</v>
      </c>
      <c r="J900" t="str" cm="1">
        <f t="array" ref="J900">_xlfn.IFS(Table1[[#This Row],[academic_performance]]&gt;1,"Need Improvement",Table1[[#This Row],[academic_performance]]&gt;2,"Good",Table1[[#This Row],[academic_performance]]&gt;3,"Very good",Table1[[#This Row],[academic_performance]]&gt;4,"Excellent")</f>
        <v>Need Improvement</v>
      </c>
      <c r="K900">
        <v>1.8</v>
      </c>
      <c r="L900" t="str">
        <f>IF(Table1[[#This Row],[physical_activity]]&gt;1.9,"better overall ","lower rate of depression")</f>
        <v>lower rate of depression</v>
      </c>
      <c r="M900" t="s">
        <v>18</v>
      </c>
      <c r="N900">
        <v>1</v>
      </c>
      <c r="O900">
        <v>9</v>
      </c>
      <c r="P900">
        <v>6</v>
      </c>
      <c r="Q900">
        <v>0</v>
      </c>
    </row>
    <row r="901" spans="1:17" x14ac:dyDescent="0.3">
      <c r="A901">
        <v>18</v>
      </c>
      <c r="B901" t="s">
        <v>13</v>
      </c>
      <c r="C901" t="str">
        <f>IF(Table1[[#This Row],[age]]&gt;18,"Adult","Teenage")</f>
        <v>Teenage</v>
      </c>
      <c r="D901">
        <v>6.1</v>
      </c>
      <c r="E901" t="s">
        <v>17</v>
      </c>
      <c r="F901">
        <v>5.8</v>
      </c>
      <c r="G901">
        <f>Table1[[#This Row],[sleep_hours]]-Table1[[#This Row],[daily_social_media_hours]]</f>
        <v>-0.29999999999999982</v>
      </c>
      <c r="H901">
        <v>1.8</v>
      </c>
      <c r="I901">
        <v>3.59</v>
      </c>
      <c r="J901" t="str" cm="1">
        <f t="array" ref="J901">_xlfn.IFS(Table1[[#This Row],[academic_performance]]&gt;1,"Need Improvement",Table1[[#This Row],[academic_performance]]&gt;2,"Good",Table1[[#This Row],[academic_performance]]&gt;3,"Very good",Table1[[#This Row],[academic_performance]]&gt;4,"Excellent")</f>
        <v>Need Improvement</v>
      </c>
      <c r="K901">
        <v>0.2</v>
      </c>
      <c r="L901" t="str">
        <f>IF(Table1[[#This Row],[physical_activity]]&gt;1.9,"better overall ","lower rate of depression")</f>
        <v>lower rate of depression</v>
      </c>
      <c r="M901" t="s">
        <v>15</v>
      </c>
      <c r="N901">
        <v>2</v>
      </c>
      <c r="O901">
        <v>5</v>
      </c>
      <c r="P901">
        <v>4</v>
      </c>
      <c r="Q901">
        <v>0</v>
      </c>
    </row>
    <row r="902" spans="1:17" x14ac:dyDescent="0.3">
      <c r="A902">
        <v>16</v>
      </c>
      <c r="B902" t="s">
        <v>16</v>
      </c>
      <c r="C902" t="str">
        <f>IF(Table1[[#This Row],[age]]&gt;18,"Adult","Teenage")</f>
        <v>Teenage</v>
      </c>
      <c r="D902">
        <v>1.4</v>
      </c>
      <c r="E902" t="s">
        <v>20</v>
      </c>
      <c r="F902">
        <v>5.7</v>
      </c>
      <c r="G902">
        <f>Table1[[#This Row],[sleep_hours]]-Table1[[#This Row],[daily_social_media_hours]]</f>
        <v>4.3000000000000007</v>
      </c>
      <c r="H902">
        <v>1.8</v>
      </c>
      <c r="I902">
        <v>2</v>
      </c>
      <c r="J902" t="str" cm="1">
        <f t="array" ref="J902">_xlfn.IFS(Table1[[#This Row],[academic_performance]]&gt;1,"Need Improvement",Table1[[#This Row],[academic_performance]]&gt;2,"Good",Table1[[#This Row],[academic_performance]]&gt;3,"Very good",Table1[[#This Row],[academic_performance]]&gt;4,"Excellent")</f>
        <v>Need Improvement</v>
      </c>
      <c r="K902">
        <v>1.4</v>
      </c>
      <c r="L902" t="str">
        <f>IF(Table1[[#This Row],[physical_activity]]&gt;1.9,"better overall ","lower rate of depression")</f>
        <v>lower rate of depression</v>
      </c>
      <c r="M902" t="s">
        <v>15</v>
      </c>
      <c r="N902">
        <v>4</v>
      </c>
      <c r="O902">
        <v>8</v>
      </c>
      <c r="P902">
        <v>7</v>
      </c>
      <c r="Q902">
        <v>0</v>
      </c>
    </row>
    <row r="903" spans="1:17" x14ac:dyDescent="0.3">
      <c r="A903">
        <v>19</v>
      </c>
      <c r="B903" t="s">
        <v>13</v>
      </c>
      <c r="C903" t="str">
        <f>IF(Table1[[#This Row],[age]]&gt;18,"Adult","Teenage")</f>
        <v>Adult</v>
      </c>
      <c r="D903">
        <v>6.3</v>
      </c>
      <c r="E903" t="s">
        <v>17</v>
      </c>
      <c r="F903">
        <v>5.7</v>
      </c>
      <c r="G903">
        <f>Table1[[#This Row],[sleep_hours]]-Table1[[#This Row],[daily_social_media_hours]]</f>
        <v>-0.59999999999999964</v>
      </c>
      <c r="H903">
        <v>1.4</v>
      </c>
      <c r="I903">
        <v>2.0299999999999998</v>
      </c>
      <c r="J903" t="str" cm="1">
        <f t="array" ref="J903">_xlfn.IFS(Table1[[#This Row],[academic_performance]]&gt;1,"Need Improvement",Table1[[#This Row],[academic_performance]]&gt;2,"Good",Table1[[#This Row],[academic_performance]]&gt;3,"Very good",Table1[[#This Row],[academic_performance]]&gt;4,"Excellent")</f>
        <v>Need Improvement</v>
      </c>
      <c r="K903">
        <v>1.1000000000000001</v>
      </c>
      <c r="L903" t="str">
        <f>IF(Table1[[#This Row],[physical_activity]]&gt;1.9,"better overall ","lower rate of depression")</f>
        <v>lower rate of depression</v>
      </c>
      <c r="M903" t="s">
        <v>15</v>
      </c>
      <c r="N903">
        <v>4</v>
      </c>
      <c r="O903">
        <v>6</v>
      </c>
      <c r="P903">
        <v>1</v>
      </c>
      <c r="Q903">
        <v>0</v>
      </c>
    </row>
    <row r="904" spans="1:17" x14ac:dyDescent="0.3">
      <c r="A904">
        <v>13</v>
      </c>
      <c r="B904" t="s">
        <v>13</v>
      </c>
      <c r="C904" t="str">
        <f>IF(Table1[[#This Row],[age]]&gt;18,"Adult","Teenage")</f>
        <v>Teenage</v>
      </c>
      <c r="D904">
        <v>1.3</v>
      </c>
      <c r="E904" t="s">
        <v>14</v>
      </c>
      <c r="F904">
        <v>5.7</v>
      </c>
      <c r="G904">
        <f>Table1[[#This Row],[sleep_hours]]-Table1[[#This Row],[daily_social_media_hours]]</f>
        <v>4.4000000000000004</v>
      </c>
      <c r="H904">
        <v>1.1000000000000001</v>
      </c>
      <c r="I904">
        <v>3.74</v>
      </c>
      <c r="J904" t="str" cm="1">
        <f t="array" ref="J904">_xlfn.IFS(Table1[[#This Row],[academic_performance]]&gt;1,"Need Improvement",Table1[[#This Row],[academic_performance]]&gt;2,"Good",Table1[[#This Row],[academic_performance]]&gt;3,"Very good",Table1[[#This Row],[academic_performance]]&gt;4,"Excellent")</f>
        <v>Need Improvement</v>
      </c>
      <c r="K904">
        <v>1.3</v>
      </c>
      <c r="L904" t="str">
        <f>IF(Table1[[#This Row],[physical_activity]]&gt;1.9,"better overall ","lower rate of depression")</f>
        <v>lower rate of depression</v>
      </c>
      <c r="M904" t="s">
        <v>15</v>
      </c>
      <c r="N904">
        <v>9</v>
      </c>
      <c r="O904">
        <v>5</v>
      </c>
      <c r="P904">
        <v>10</v>
      </c>
      <c r="Q904">
        <v>0</v>
      </c>
    </row>
    <row r="905" spans="1:17" x14ac:dyDescent="0.3">
      <c r="A905">
        <v>17</v>
      </c>
      <c r="B905" t="s">
        <v>13</v>
      </c>
      <c r="C905" t="str">
        <f>IF(Table1[[#This Row],[age]]&gt;18,"Adult","Teenage")</f>
        <v>Teenage</v>
      </c>
      <c r="D905">
        <v>5.0999999999999996</v>
      </c>
      <c r="E905" t="s">
        <v>17</v>
      </c>
      <c r="F905">
        <v>5.0999999999999996</v>
      </c>
      <c r="G905">
        <f>Table1[[#This Row],[sleep_hours]]-Table1[[#This Row],[daily_social_media_hours]]</f>
        <v>0</v>
      </c>
      <c r="H905">
        <v>2.9</v>
      </c>
      <c r="I905">
        <v>3.99</v>
      </c>
      <c r="J905" t="str" cm="1">
        <f t="array" ref="J905">_xlfn.IFS(Table1[[#This Row],[academic_performance]]&gt;1,"Need Improvement",Table1[[#This Row],[academic_performance]]&gt;2,"Good",Table1[[#This Row],[academic_performance]]&gt;3,"Very good",Table1[[#This Row],[academic_performance]]&gt;4,"Excellent")</f>
        <v>Need Improvement</v>
      </c>
      <c r="K905">
        <v>0.6</v>
      </c>
      <c r="L905" t="str">
        <f>IF(Table1[[#This Row],[physical_activity]]&gt;1.9,"better overall ","lower rate of depression")</f>
        <v>lower rate of depression</v>
      </c>
      <c r="M905" t="s">
        <v>19</v>
      </c>
      <c r="N905">
        <v>4</v>
      </c>
      <c r="O905">
        <v>2</v>
      </c>
      <c r="P905">
        <v>9</v>
      </c>
      <c r="Q905">
        <v>0</v>
      </c>
    </row>
    <row r="906" spans="1:17" x14ac:dyDescent="0.3">
      <c r="A906">
        <v>19</v>
      </c>
      <c r="B906" t="s">
        <v>16</v>
      </c>
      <c r="C906" t="str">
        <f>IF(Table1[[#This Row],[age]]&gt;18,"Adult","Teenage")</f>
        <v>Adult</v>
      </c>
      <c r="D906">
        <v>4</v>
      </c>
      <c r="E906" t="s">
        <v>14</v>
      </c>
      <c r="F906">
        <v>8.1999999999999993</v>
      </c>
      <c r="G906">
        <f>Table1[[#This Row],[sleep_hours]]-Table1[[#This Row],[daily_social_media_hours]]</f>
        <v>4.1999999999999993</v>
      </c>
      <c r="H906">
        <v>1.4</v>
      </c>
      <c r="I906">
        <v>3.63</v>
      </c>
      <c r="J906" t="str" cm="1">
        <f t="array" ref="J906">_xlfn.IFS(Table1[[#This Row],[academic_performance]]&gt;1,"Need Improvement",Table1[[#This Row],[academic_performance]]&gt;2,"Good",Table1[[#This Row],[academic_performance]]&gt;3,"Very good",Table1[[#This Row],[academic_performance]]&gt;4,"Excellent")</f>
        <v>Need Improvement</v>
      </c>
      <c r="K906">
        <v>1.3</v>
      </c>
      <c r="L906" t="str">
        <f>IF(Table1[[#This Row],[physical_activity]]&gt;1.9,"better overall ","lower rate of depression")</f>
        <v>lower rate of depression</v>
      </c>
      <c r="M906" t="s">
        <v>15</v>
      </c>
      <c r="N906">
        <v>5</v>
      </c>
      <c r="O906">
        <v>3</v>
      </c>
      <c r="P906">
        <v>10</v>
      </c>
      <c r="Q906">
        <v>0</v>
      </c>
    </row>
    <row r="907" spans="1:17" x14ac:dyDescent="0.3">
      <c r="A907">
        <v>17</v>
      </c>
      <c r="B907" t="s">
        <v>16</v>
      </c>
      <c r="C907" t="str">
        <f>IF(Table1[[#This Row],[age]]&gt;18,"Adult","Teenage")</f>
        <v>Teenage</v>
      </c>
      <c r="D907">
        <v>7.6</v>
      </c>
      <c r="E907" t="s">
        <v>14</v>
      </c>
      <c r="F907">
        <v>7.3</v>
      </c>
      <c r="G907">
        <f>Table1[[#This Row],[sleep_hours]]-Table1[[#This Row],[daily_social_media_hours]]</f>
        <v>-0.29999999999999982</v>
      </c>
      <c r="H907">
        <v>1.9</v>
      </c>
      <c r="I907">
        <v>3.05</v>
      </c>
      <c r="J907" t="str" cm="1">
        <f t="array" ref="J907">_xlfn.IFS(Table1[[#This Row],[academic_performance]]&gt;1,"Need Improvement",Table1[[#This Row],[academic_performance]]&gt;2,"Good",Table1[[#This Row],[academic_performance]]&gt;3,"Very good",Table1[[#This Row],[academic_performance]]&gt;4,"Excellent")</f>
        <v>Need Improvement</v>
      </c>
      <c r="K907">
        <v>1.1000000000000001</v>
      </c>
      <c r="L907" t="str">
        <f>IF(Table1[[#This Row],[physical_activity]]&gt;1.9,"better overall ","lower rate of depression")</f>
        <v>lower rate of depression</v>
      </c>
      <c r="M907" t="s">
        <v>19</v>
      </c>
      <c r="N907">
        <v>10</v>
      </c>
      <c r="O907">
        <v>8</v>
      </c>
      <c r="P907">
        <v>1</v>
      </c>
      <c r="Q907">
        <v>0</v>
      </c>
    </row>
    <row r="908" spans="1:17" x14ac:dyDescent="0.3">
      <c r="A908">
        <v>19</v>
      </c>
      <c r="B908" t="s">
        <v>13</v>
      </c>
      <c r="C908" t="str">
        <f>IF(Table1[[#This Row],[age]]&gt;18,"Adult","Teenage")</f>
        <v>Adult</v>
      </c>
      <c r="D908">
        <v>3.8</v>
      </c>
      <c r="E908" t="s">
        <v>17</v>
      </c>
      <c r="F908">
        <v>7.4</v>
      </c>
      <c r="G908">
        <f>Table1[[#This Row],[sleep_hours]]-Table1[[#This Row],[daily_social_media_hours]]</f>
        <v>3.6000000000000005</v>
      </c>
      <c r="H908">
        <v>2.6</v>
      </c>
      <c r="I908">
        <v>2.25</v>
      </c>
      <c r="J908" t="str" cm="1">
        <f t="array" ref="J908">_xlfn.IFS(Table1[[#This Row],[academic_performance]]&gt;1,"Need Improvement",Table1[[#This Row],[academic_performance]]&gt;2,"Good",Table1[[#This Row],[academic_performance]]&gt;3,"Very good",Table1[[#This Row],[academic_performance]]&gt;4,"Excellent")</f>
        <v>Need Improvement</v>
      </c>
      <c r="K908">
        <v>0.5</v>
      </c>
      <c r="L908" t="str">
        <f>IF(Table1[[#This Row],[physical_activity]]&gt;1.9,"better overall ","lower rate of depression")</f>
        <v>lower rate of depression</v>
      </c>
      <c r="M908" t="s">
        <v>15</v>
      </c>
      <c r="N908">
        <v>7</v>
      </c>
      <c r="O908">
        <v>4</v>
      </c>
      <c r="P908">
        <v>8</v>
      </c>
      <c r="Q908">
        <v>0</v>
      </c>
    </row>
    <row r="909" spans="1:17" x14ac:dyDescent="0.3">
      <c r="A909">
        <v>17</v>
      </c>
      <c r="B909" t="s">
        <v>13</v>
      </c>
      <c r="C909" t="str">
        <f>IF(Table1[[#This Row],[age]]&gt;18,"Adult","Teenage")</f>
        <v>Teenage</v>
      </c>
      <c r="D909">
        <v>5.2</v>
      </c>
      <c r="E909" t="s">
        <v>14</v>
      </c>
      <c r="F909">
        <v>4.7</v>
      </c>
      <c r="G909">
        <f>Table1[[#This Row],[sleep_hours]]-Table1[[#This Row],[daily_social_media_hours]]</f>
        <v>-0.5</v>
      </c>
      <c r="H909">
        <v>2.4</v>
      </c>
      <c r="I909">
        <v>2.77</v>
      </c>
      <c r="J909" t="str" cm="1">
        <f t="array" ref="J909">_xlfn.IFS(Table1[[#This Row],[academic_performance]]&gt;1,"Need Improvement",Table1[[#This Row],[academic_performance]]&gt;2,"Good",Table1[[#This Row],[academic_performance]]&gt;3,"Very good",Table1[[#This Row],[academic_performance]]&gt;4,"Excellent")</f>
        <v>Need Improvement</v>
      </c>
      <c r="K909">
        <v>1.3</v>
      </c>
      <c r="L909" t="str">
        <f>IF(Table1[[#This Row],[physical_activity]]&gt;1.9,"better overall ","lower rate of depression")</f>
        <v>lower rate of depression</v>
      </c>
      <c r="M909" t="s">
        <v>18</v>
      </c>
      <c r="N909">
        <v>9</v>
      </c>
      <c r="O909">
        <v>6</v>
      </c>
      <c r="P909">
        <v>9</v>
      </c>
      <c r="Q909">
        <v>0</v>
      </c>
    </row>
    <row r="910" spans="1:17" x14ac:dyDescent="0.3">
      <c r="A910">
        <v>13</v>
      </c>
      <c r="B910" t="s">
        <v>13</v>
      </c>
      <c r="C910" t="str">
        <f>IF(Table1[[#This Row],[age]]&gt;18,"Adult","Teenage")</f>
        <v>Teenage</v>
      </c>
      <c r="D910">
        <v>5</v>
      </c>
      <c r="E910" t="s">
        <v>20</v>
      </c>
      <c r="F910">
        <v>8.6</v>
      </c>
      <c r="G910">
        <f>Table1[[#This Row],[sleep_hours]]-Table1[[#This Row],[daily_social_media_hours]]</f>
        <v>3.5999999999999996</v>
      </c>
      <c r="H910">
        <v>0.7</v>
      </c>
      <c r="I910">
        <v>2.99</v>
      </c>
      <c r="J910" t="str" cm="1">
        <f t="array" ref="J910">_xlfn.IFS(Table1[[#This Row],[academic_performance]]&gt;1,"Need Improvement",Table1[[#This Row],[academic_performance]]&gt;2,"Good",Table1[[#This Row],[academic_performance]]&gt;3,"Very good",Table1[[#This Row],[academic_performance]]&gt;4,"Excellent")</f>
        <v>Need Improvement</v>
      </c>
      <c r="K910">
        <v>1.5</v>
      </c>
      <c r="L910" t="str">
        <f>IF(Table1[[#This Row],[physical_activity]]&gt;1.9,"better overall ","lower rate of depression")</f>
        <v>lower rate of depression</v>
      </c>
      <c r="M910" t="s">
        <v>15</v>
      </c>
      <c r="N910">
        <v>3</v>
      </c>
      <c r="O910">
        <v>8</v>
      </c>
      <c r="P910">
        <v>3</v>
      </c>
      <c r="Q910">
        <v>0</v>
      </c>
    </row>
    <row r="911" spans="1:17" x14ac:dyDescent="0.3">
      <c r="A911">
        <v>19</v>
      </c>
      <c r="B911" t="s">
        <v>16</v>
      </c>
      <c r="C911" t="str">
        <f>IF(Table1[[#This Row],[age]]&gt;18,"Adult","Teenage")</f>
        <v>Adult</v>
      </c>
      <c r="D911">
        <v>7.4</v>
      </c>
      <c r="E911" t="s">
        <v>20</v>
      </c>
      <c r="F911">
        <v>8.3000000000000007</v>
      </c>
      <c r="G911">
        <f>Table1[[#This Row],[sleep_hours]]-Table1[[#This Row],[daily_social_media_hours]]</f>
        <v>0.90000000000000036</v>
      </c>
      <c r="H911">
        <v>1.4</v>
      </c>
      <c r="I911">
        <v>3.64</v>
      </c>
      <c r="J911" t="str" cm="1">
        <f t="array" ref="J911">_xlfn.IFS(Table1[[#This Row],[academic_performance]]&gt;1,"Need Improvement",Table1[[#This Row],[academic_performance]]&gt;2,"Good",Table1[[#This Row],[academic_performance]]&gt;3,"Very good",Table1[[#This Row],[academic_performance]]&gt;4,"Excellent")</f>
        <v>Need Improvement</v>
      </c>
      <c r="K911">
        <v>0.4</v>
      </c>
      <c r="L911" t="str">
        <f>IF(Table1[[#This Row],[physical_activity]]&gt;1.9,"better overall ","lower rate of depression")</f>
        <v>lower rate of depression</v>
      </c>
      <c r="M911" t="s">
        <v>15</v>
      </c>
      <c r="N911">
        <v>6</v>
      </c>
      <c r="O911">
        <v>9</v>
      </c>
      <c r="P911">
        <v>6</v>
      </c>
      <c r="Q911">
        <v>0</v>
      </c>
    </row>
    <row r="912" spans="1:17" x14ac:dyDescent="0.3">
      <c r="A912">
        <v>16</v>
      </c>
      <c r="B912" t="s">
        <v>13</v>
      </c>
      <c r="C912" t="str">
        <f>IF(Table1[[#This Row],[age]]&gt;18,"Adult","Teenage")</f>
        <v>Teenage</v>
      </c>
      <c r="D912">
        <v>6.1</v>
      </c>
      <c r="E912" t="s">
        <v>17</v>
      </c>
      <c r="F912">
        <v>6.8</v>
      </c>
      <c r="G912">
        <f>Table1[[#This Row],[sleep_hours]]-Table1[[#This Row],[daily_social_media_hours]]</f>
        <v>0.70000000000000018</v>
      </c>
      <c r="H912">
        <v>0.8</v>
      </c>
      <c r="I912">
        <v>2.61</v>
      </c>
      <c r="J912" t="str" cm="1">
        <f t="array" ref="J912">_xlfn.IFS(Table1[[#This Row],[academic_performance]]&gt;1,"Need Improvement",Table1[[#This Row],[academic_performance]]&gt;2,"Good",Table1[[#This Row],[academic_performance]]&gt;3,"Very good",Table1[[#This Row],[academic_performance]]&gt;4,"Excellent")</f>
        <v>Need Improvement</v>
      </c>
      <c r="K912">
        <v>0.9</v>
      </c>
      <c r="L912" t="str">
        <f>IF(Table1[[#This Row],[physical_activity]]&gt;1.9,"better overall ","lower rate of depression")</f>
        <v>lower rate of depression</v>
      </c>
      <c r="M912" t="s">
        <v>15</v>
      </c>
      <c r="N912">
        <v>10</v>
      </c>
      <c r="O912">
        <v>10</v>
      </c>
      <c r="P912">
        <v>4</v>
      </c>
      <c r="Q912">
        <v>0</v>
      </c>
    </row>
    <row r="913" spans="1:17" x14ac:dyDescent="0.3">
      <c r="A913">
        <v>13</v>
      </c>
      <c r="B913" t="s">
        <v>16</v>
      </c>
      <c r="C913" t="str">
        <f>IF(Table1[[#This Row],[age]]&gt;18,"Adult","Teenage")</f>
        <v>Teenage</v>
      </c>
      <c r="D913">
        <v>7.4</v>
      </c>
      <c r="E913" t="s">
        <v>20</v>
      </c>
      <c r="F913">
        <v>6.7</v>
      </c>
      <c r="G913">
        <f>Table1[[#This Row],[sleep_hours]]-Table1[[#This Row],[daily_social_media_hours]]</f>
        <v>-0.70000000000000018</v>
      </c>
      <c r="H913">
        <v>2</v>
      </c>
      <c r="I913">
        <v>2.42</v>
      </c>
      <c r="J913" t="str" cm="1">
        <f t="array" ref="J913">_xlfn.IFS(Table1[[#This Row],[academic_performance]]&gt;1,"Need Improvement",Table1[[#This Row],[academic_performance]]&gt;2,"Good",Table1[[#This Row],[academic_performance]]&gt;3,"Very good",Table1[[#This Row],[academic_performance]]&gt;4,"Excellent")</f>
        <v>Need Improvement</v>
      </c>
      <c r="K913">
        <v>1.5</v>
      </c>
      <c r="L913" t="str">
        <f>IF(Table1[[#This Row],[physical_activity]]&gt;1.9,"better overall ","lower rate of depression")</f>
        <v>lower rate of depression</v>
      </c>
      <c r="M913" t="s">
        <v>15</v>
      </c>
      <c r="N913">
        <v>10</v>
      </c>
      <c r="O913">
        <v>1</v>
      </c>
      <c r="P913">
        <v>1</v>
      </c>
      <c r="Q913">
        <v>0</v>
      </c>
    </row>
    <row r="914" spans="1:17" x14ac:dyDescent="0.3">
      <c r="A914">
        <v>16</v>
      </c>
      <c r="B914" t="s">
        <v>13</v>
      </c>
      <c r="C914" t="str">
        <f>IF(Table1[[#This Row],[age]]&gt;18,"Adult","Teenage")</f>
        <v>Teenage</v>
      </c>
      <c r="D914">
        <v>3.5</v>
      </c>
      <c r="E914" t="s">
        <v>20</v>
      </c>
      <c r="F914">
        <v>4.4000000000000004</v>
      </c>
      <c r="G914">
        <f>Table1[[#This Row],[sleep_hours]]-Table1[[#This Row],[daily_social_media_hours]]</f>
        <v>0.90000000000000036</v>
      </c>
      <c r="H914">
        <v>1.5</v>
      </c>
      <c r="I914">
        <v>2.7</v>
      </c>
      <c r="J914" t="str" cm="1">
        <f t="array" ref="J914">_xlfn.IFS(Table1[[#This Row],[academic_performance]]&gt;1,"Need Improvement",Table1[[#This Row],[academic_performance]]&gt;2,"Good",Table1[[#This Row],[academic_performance]]&gt;3,"Very good",Table1[[#This Row],[academic_performance]]&gt;4,"Excellent")</f>
        <v>Need Improvement</v>
      </c>
      <c r="K914">
        <v>0.8</v>
      </c>
      <c r="L914" t="str">
        <f>IF(Table1[[#This Row],[physical_activity]]&gt;1.9,"better overall ","lower rate of depression")</f>
        <v>lower rate of depression</v>
      </c>
      <c r="M914" t="s">
        <v>18</v>
      </c>
      <c r="N914">
        <v>2</v>
      </c>
      <c r="O914">
        <v>10</v>
      </c>
      <c r="P914">
        <v>8</v>
      </c>
      <c r="Q914">
        <v>0</v>
      </c>
    </row>
    <row r="915" spans="1:17" x14ac:dyDescent="0.3">
      <c r="A915">
        <v>14</v>
      </c>
      <c r="B915" t="s">
        <v>13</v>
      </c>
      <c r="C915" t="str">
        <f>IF(Table1[[#This Row],[age]]&gt;18,"Adult","Teenage")</f>
        <v>Teenage</v>
      </c>
      <c r="D915">
        <v>5.0999999999999996</v>
      </c>
      <c r="E915" t="s">
        <v>14</v>
      </c>
      <c r="F915">
        <v>6.3</v>
      </c>
      <c r="G915">
        <f>Table1[[#This Row],[sleep_hours]]-Table1[[#This Row],[daily_social_media_hours]]</f>
        <v>1.2000000000000002</v>
      </c>
      <c r="H915">
        <v>1.6</v>
      </c>
      <c r="I915">
        <v>2.7</v>
      </c>
      <c r="J915" t="str" cm="1">
        <f t="array" ref="J915">_xlfn.IFS(Table1[[#This Row],[academic_performance]]&gt;1,"Need Improvement",Table1[[#This Row],[academic_performance]]&gt;2,"Good",Table1[[#This Row],[academic_performance]]&gt;3,"Very good",Table1[[#This Row],[academic_performance]]&gt;4,"Excellent")</f>
        <v>Need Improvement</v>
      </c>
      <c r="K915">
        <v>0.1</v>
      </c>
      <c r="L915" t="str">
        <f>IF(Table1[[#This Row],[physical_activity]]&gt;1.9,"better overall ","lower rate of depression")</f>
        <v>lower rate of depression</v>
      </c>
      <c r="M915" t="s">
        <v>19</v>
      </c>
      <c r="N915">
        <v>7</v>
      </c>
      <c r="O915">
        <v>2</v>
      </c>
      <c r="P915">
        <v>7</v>
      </c>
      <c r="Q915">
        <v>0</v>
      </c>
    </row>
    <row r="916" spans="1:17" x14ac:dyDescent="0.3">
      <c r="A916">
        <v>17</v>
      </c>
      <c r="B916" t="s">
        <v>13</v>
      </c>
      <c r="C916" t="str">
        <f>IF(Table1[[#This Row],[age]]&gt;18,"Adult","Teenage")</f>
        <v>Teenage</v>
      </c>
      <c r="D916">
        <v>4.8</v>
      </c>
      <c r="E916" t="s">
        <v>17</v>
      </c>
      <c r="F916">
        <v>6</v>
      </c>
      <c r="G916">
        <f>Table1[[#This Row],[sleep_hours]]-Table1[[#This Row],[daily_social_media_hours]]</f>
        <v>1.2000000000000002</v>
      </c>
      <c r="H916">
        <v>2.1</v>
      </c>
      <c r="I916">
        <v>2.39</v>
      </c>
      <c r="J916" t="str" cm="1">
        <f t="array" ref="J916">_xlfn.IFS(Table1[[#This Row],[academic_performance]]&gt;1,"Need Improvement",Table1[[#This Row],[academic_performance]]&gt;2,"Good",Table1[[#This Row],[academic_performance]]&gt;3,"Very good",Table1[[#This Row],[academic_performance]]&gt;4,"Excellent")</f>
        <v>Need Improvement</v>
      </c>
      <c r="K916">
        <v>1.8</v>
      </c>
      <c r="L916" t="str">
        <f>IF(Table1[[#This Row],[physical_activity]]&gt;1.9,"better overall ","lower rate of depression")</f>
        <v>lower rate of depression</v>
      </c>
      <c r="M916" t="s">
        <v>18</v>
      </c>
      <c r="N916">
        <v>5</v>
      </c>
      <c r="O916">
        <v>8</v>
      </c>
      <c r="P916">
        <v>7</v>
      </c>
      <c r="Q916">
        <v>0</v>
      </c>
    </row>
    <row r="917" spans="1:17" x14ac:dyDescent="0.3">
      <c r="A917">
        <v>14</v>
      </c>
      <c r="B917" t="s">
        <v>13</v>
      </c>
      <c r="C917" t="str">
        <f>IF(Table1[[#This Row],[age]]&gt;18,"Adult","Teenage")</f>
        <v>Teenage</v>
      </c>
      <c r="D917">
        <v>7.5</v>
      </c>
      <c r="E917" t="s">
        <v>20</v>
      </c>
      <c r="F917">
        <v>7.6</v>
      </c>
      <c r="G917">
        <f>Table1[[#This Row],[sleep_hours]]-Table1[[#This Row],[daily_social_media_hours]]</f>
        <v>9.9999999999999645E-2</v>
      </c>
      <c r="H917">
        <v>2.8</v>
      </c>
      <c r="I917">
        <v>3.1</v>
      </c>
      <c r="J917" t="str" cm="1">
        <f t="array" ref="J917">_xlfn.IFS(Table1[[#This Row],[academic_performance]]&gt;1,"Need Improvement",Table1[[#This Row],[academic_performance]]&gt;2,"Good",Table1[[#This Row],[academic_performance]]&gt;3,"Very good",Table1[[#This Row],[academic_performance]]&gt;4,"Excellent")</f>
        <v>Need Improvement</v>
      </c>
      <c r="K917">
        <v>0.7</v>
      </c>
      <c r="L917" t="str">
        <f>IF(Table1[[#This Row],[physical_activity]]&gt;1.9,"better overall ","lower rate of depression")</f>
        <v>lower rate of depression</v>
      </c>
      <c r="M917" t="s">
        <v>19</v>
      </c>
      <c r="N917">
        <v>3</v>
      </c>
      <c r="O917">
        <v>1</v>
      </c>
      <c r="P917">
        <v>2</v>
      </c>
      <c r="Q917">
        <v>0</v>
      </c>
    </row>
    <row r="918" spans="1:17" x14ac:dyDescent="0.3">
      <c r="A918">
        <v>19</v>
      </c>
      <c r="B918" t="s">
        <v>13</v>
      </c>
      <c r="C918" t="str">
        <f>IF(Table1[[#This Row],[age]]&gt;18,"Adult","Teenage")</f>
        <v>Adult</v>
      </c>
      <c r="D918">
        <v>4.7</v>
      </c>
      <c r="E918" t="s">
        <v>20</v>
      </c>
      <c r="F918">
        <v>8.6999999999999993</v>
      </c>
      <c r="G918">
        <f>Table1[[#This Row],[sleep_hours]]-Table1[[#This Row],[daily_social_media_hours]]</f>
        <v>3.9999999999999991</v>
      </c>
      <c r="H918">
        <v>2</v>
      </c>
      <c r="I918">
        <v>3.23</v>
      </c>
      <c r="J918" t="str" cm="1">
        <f t="array" ref="J918">_xlfn.IFS(Table1[[#This Row],[academic_performance]]&gt;1,"Need Improvement",Table1[[#This Row],[academic_performance]]&gt;2,"Good",Table1[[#This Row],[academic_performance]]&gt;3,"Very good",Table1[[#This Row],[academic_performance]]&gt;4,"Excellent")</f>
        <v>Need Improvement</v>
      </c>
      <c r="K918">
        <v>1.7</v>
      </c>
      <c r="L918" t="str">
        <f>IF(Table1[[#This Row],[physical_activity]]&gt;1.9,"better overall ","lower rate of depression")</f>
        <v>lower rate of depression</v>
      </c>
      <c r="M918" t="s">
        <v>15</v>
      </c>
      <c r="N918">
        <v>4</v>
      </c>
      <c r="O918">
        <v>10</v>
      </c>
      <c r="P918">
        <v>3</v>
      </c>
      <c r="Q918">
        <v>0</v>
      </c>
    </row>
    <row r="919" spans="1:17" x14ac:dyDescent="0.3">
      <c r="A919">
        <v>19</v>
      </c>
      <c r="B919" t="s">
        <v>13</v>
      </c>
      <c r="C919" t="str">
        <f>IF(Table1[[#This Row],[age]]&gt;18,"Adult","Teenage")</f>
        <v>Adult</v>
      </c>
      <c r="D919">
        <v>3.3</v>
      </c>
      <c r="E919" t="s">
        <v>17</v>
      </c>
      <c r="F919">
        <v>8.5</v>
      </c>
      <c r="G919">
        <f>Table1[[#This Row],[sleep_hours]]-Table1[[#This Row],[daily_social_media_hours]]</f>
        <v>5.2</v>
      </c>
      <c r="H919">
        <v>1.2</v>
      </c>
      <c r="I919">
        <v>3.29</v>
      </c>
      <c r="J919" t="str" cm="1">
        <f t="array" ref="J919">_xlfn.IFS(Table1[[#This Row],[academic_performance]]&gt;1,"Need Improvement",Table1[[#This Row],[academic_performance]]&gt;2,"Good",Table1[[#This Row],[academic_performance]]&gt;3,"Very good",Table1[[#This Row],[academic_performance]]&gt;4,"Excellent")</f>
        <v>Need Improvement</v>
      </c>
      <c r="K919">
        <v>0.5</v>
      </c>
      <c r="L919" t="str">
        <f>IF(Table1[[#This Row],[physical_activity]]&gt;1.9,"better overall ","lower rate of depression")</f>
        <v>lower rate of depression</v>
      </c>
      <c r="M919" t="s">
        <v>19</v>
      </c>
      <c r="N919">
        <v>6</v>
      </c>
      <c r="O919">
        <v>2</v>
      </c>
      <c r="P919">
        <v>9</v>
      </c>
      <c r="Q919">
        <v>0</v>
      </c>
    </row>
    <row r="920" spans="1:17" x14ac:dyDescent="0.3">
      <c r="A920">
        <v>16</v>
      </c>
      <c r="B920" t="s">
        <v>16</v>
      </c>
      <c r="C920" t="str">
        <f>IF(Table1[[#This Row],[age]]&gt;18,"Adult","Teenage")</f>
        <v>Teenage</v>
      </c>
      <c r="D920">
        <v>6.9</v>
      </c>
      <c r="E920" t="s">
        <v>14</v>
      </c>
      <c r="F920">
        <v>5.8</v>
      </c>
      <c r="G920">
        <f>Table1[[#This Row],[sleep_hours]]-Table1[[#This Row],[daily_social_media_hours]]</f>
        <v>-1.1000000000000005</v>
      </c>
      <c r="H920">
        <v>0.6</v>
      </c>
      <c r="I920">
        <v>3.65</v>
      </c>
      <c r="J920" t="str" cm="1">
        <f t="array" ref="J920">_xlfn.IFS(Table1[[#This Row],[academic_performance]]&gt;1,"Need Improvement",Table1[[#This Row],[academic_performance]]&gt;2,"Good",Table1[[#This Row],[academic_performance]]&gt;3,"Very good",Table1[[#This Row],[academic_performance]]&gt;4,"Excellent")</f>
        <v>Need Improvement</v>
      </c>
      <c r="K920">
        <v>0.5</v>
      </c>
      <c r="L920" t="str">
        <f>IF(Table1[[#This Row],[physical_activity]]&gt;1.9,"better overall ","lower rate of depression")</f>
        <v>lower rate of depression</v>
      </c>
      <c r="M920" t="s">
        <v>18</v>
      </c>
      <c r="N920">
        <v>10</v>
      </c>
      <c r="O920">
        <v>8</v>
      </c>
      <c r="P920">
        <v>10</v>
      </c>
      <c r="Q920">
        <v>1</v>
      </c>
    </row>
    <row r="921" spans="1:17" x14ac:dyDescent="0.3">
      <c r="A921">
        <v>15</v>
      </c>
      <c r="B921" t="s">
        <v>13</v>
      </c>
      <c r="C921" t="str">
        <f>IF(Table1[[#This Row],[age]]&gt;18,"Adult","Teenage")</f>
        <v>Teenage</v>
      </c>
      <c r="D921">
        <v>5.4</v>
      </c>
      <c r="E921" t="s">
        <v>14</v>
      </c>
      <c r="F921">
        <v>4.2</v>
      </c>
      <c r="G921">
        <f>Table1[[#This Row],[sleep_hours]]-Table1[[#This Row],[daily_social_media_hours]]</f>
        <v>-1.2000000000000002</v>
      </c>
      <c r="H921">
        <v>1.5</v>
      </c>
      <c r="I921">
        <v>2.72</v>
      </c>
      <c r="J921" t="str" cm="1">
        <f t="array" ref="J921">_xlfn.IFS(Table1[[#This Row],[academic_performance]]&gt;1,"Need Improvement",Table1[[#This Row],[academic_performance]]&gt;2,"Good",Table1[[#This Row],[academic_performance]]&gt;3,"Very good",Table1[[#This Row],[academic_performance]]&gt;4,"Excellent")</f>
        <v>Need Improvement</v>
      </c>
      <c r="K921">
        <v>0.4</v>
      </c>
      <c r="L921" t="str">
        <f>IF(Table1[[#This Row],[physical_activity]]&gt;1.9,"better overall ","lower rate of depression")</f>
        <v>lower rate of depression</v>
      </c>
      <c r="M921" t="s">
        <v>18</v>
      </c>
      <c r="N921">
        <v>1</v>
      </c>
      <c r="O921">
        <v>6</v>
      </c>
      <c r="P921">
        <v>5</v>
      </c>
      <c r="Q921">
        <v>0</v>
      </c>
    </row>
    <row r="922" spans="1:17" x14ac:dyDescent="0.3">
      <c r="A922">
        <v>13</v>
      </c>
      <c r="B922" t="s">
        <v>16</v>
      </c>
      <c r="C922" t="str">
        <f>IF(Table1[[#This Row],[age]]&gt;18,"Adult","Teenage")</f>
        <v>Teenage</v>
      </c>
      <c r="D922">
        <v>5.2</v>
      </c>
      <c r="E922" t="s">
        <v>20</v>
      </c>
      <c r="F922">
        <v>7.7</v>
      </c>
      <c r="G922">
        <f>Table1[[#This Row],[sleep_hours]]-Table1[[#This Row],[daily_social_media_hours]]</f>
        <v>2.5</v>
      </c>
      <c r="H922">
        <v>2.7</v>
      </c>
      <c r="I922">
        <v>2.84</v>
      </c>
      <c r="J922" t="str" cm="1">
        <f t="array" ref="J922">_xlfn.IFS(Table1[[#This Row],[academic_performance]]&gt;1,"Need Improvement",Table1[[#This Row],[academic_performance]]&gt;2,"Good",Table1[[#This Row],[academic_performance]]&gt;3,"Very good",Table1[[#This Row],[academic_performance]]&gt;4,"Excellent")</f>
        <v>Need Improvement</v>
      </c>
      <c r="K922">
        <v>0.8</v>
      </c>
      <c r="L922" t="str">
        <f>IF(Table1[[#This Row],[physical_activity]]&gt;1.9,"better overall ","lower rate of depression")</f>
        <v>lower rate of depression</v>
      </c>
      <c r="M922" t="s">
        <v>18</v>
      </c>
      <c r="N922">
        <v>2</v>
      </c>
      <c r="O922">
        <v>5</v>
      </c>
      <c r="P922">
        <v>5</v>
      </c>
      <c r="Q922">
        <v>0</v>
      </c>
    </row>
    <row r="923" spans="1:17" x14ac:dyDescent="0.3">
      <c r="A923">
        <v>15</v>
      </c>
      <c r="B923" t="s">
        <v>16</v>
      </c>
      <c r="C923" t="str">
        <f>IF(Table1[[#This Row],[age]]&gt;18,"Adult","Teenage")</f>
        <v>Teenage</v>
      </c>
      <c r="D923">
        <v>3.3</v>
      </c>
      <c r="E923" t="s">
        <v>14</v>
      </c>
      <c r="F923">
        <v>6.5</v>
      </c>
      <c r="G923">
        <f>Table1[[#This Row],[sleep_hours]]-Table1[[#This Row],[daily_social_media_hours]]</f>
        <v>3.2</v>
      </c>
      <c r="H923">
        <v>1.3</v>
      </c>
      <c r="I923">
        <v>2.44</v>
      </c>
      <c r="J923" t="str" cm="1">
        <f t="array" ref="J923">_xlfn.IFS(Table1[[#This Row],[academic_performance]]&gt;1,"Need Improvement",Table1[[#This Row],[academic_performance]]&gt;2,"Good",Table1[[#This Row],[academic_performance]]&gt;3,"Very good",Table1[[#This Row],[academic_performance]]&gt;4,"Excellent")</f>
        <v>Need Improvement</v>
      </c>
      <c r="K923">
        <v>0.3</v>
      </c>
      <c r="L923" t="str">
        <f>IF(Table1[[#This Row],[physical_activity]]&gt;1.9,"better overall ","lower rate of depression")</f>
        <v>lower rate of depression</v>
      </c>
      <c r="M923" t="s">
        <v>19</v>
      </c>
      <c r="N923">
        <v>7</v>
      </c>
      <c r="O923">
        <v>6</v>
      </c>
      <c r="P923">
        <v>7</v>
      </c>
      <c r="Q923">
        <v>0</v>
      </c>
    </row>
    <row r="924" spans="1:17" x14ac:dyDescent="0.3">
      <c r="A924">
        <v>15</v>
      </c>
      <c r="B924" t="s">
        <v>16</v>
      </c>
      <c r="C924" t="str">
        <f>IF(Table1[[#This Row],[age]]&gt;18,"Adult","Teenage")</f>
        <v>Teenage</v>
      </c>
      <c r="D924">
        <v>7.3</v>
      </c>
      <c r="E924" t="s">
        <v>20</v>
      </c>
      <c r="F924">
        <v>7.6</v>
      </c>
      <c r="G924">
        <f>Table1[[#This Row],[sleep_hours]]-Table1[[#This Row],[daily_social_media_hours]]</f>
        <v>0.29999999999999982</v>
      </c>
      <c r="H924">
        <v>1.9</v>
      </c>
      <c r="I924">
        <v>2.31</v>
      </c>
      <c r="J924" t="str" cm="1">
        <f t="array" ref="J924">_xlfn.IFS(Table1[[#This Row],[academic_performance]]&gt;1,"Need Improvement",Table1[[#This Row],[academic_performance]]&gt;2,"Good",Table1[[#This Row],[academic_performance]]&gt;3,"Very good",Table1[[#This Row],[academic_performance]]&gt;4,"Excellent")</f>
        <v>Need Improvement</v>
      </c>
      <c r="K924">
        <v>0.8</v>
      </c>
      <c r="L924" t="str">
        <f>IF(Table1[[#This Row],[physical_activity]]&gt;1.9,"better overall ","lower rate of depression")</f>
        <v>lower rate of depression</v>
      </c>
      <c r="M924" t="s">
        <v>19</v>
      </c>
      <c r="N924">
        <v>8</v>
      </c>
      <c r="O924">
        <v>7</v>
      </c>
      <c r="P924">
        <v>5</v>
      </c>
      <c r="Q924">
        <v>0</v>
      </c>
    </row>
    <row r="925" spans="1:17" x14ac:dyDescent="0.3">
      <c r="A925">
        <v>17</v>
      </c>
      <c r="B925" t="s">
        <v>13</v>
      </c>
      <c r="C925" t="str">
        <f>IF(Table1[[#This Row],[age]]&gt;18,"Adult","Teenage")</f>
        <v>Teenage</v>
      </c>
      <c r="D925">
        <v>7.6</v>
      </c>
      <c r="E925" t="s">
        <v>20</v>
      </c>
      <c r="F925">
        <v>4.9000000000000004</v>
      </c>
      <c r="G925">
        <f>Table1[[#This Row],[sleep_hours]]-Table1[[#This Row],[daily_social_media_hours]]</f>
        <v>-2.6999999999999993</v>
      </c>
      <c r="H925">
        <v>0.6</v>
      </c>
      <c r="I925">
        <v>2.56</v>
      </c>
      <c r="J925" t="str" cm="1">
        <f t="array" ref="J925">_xlfn.IFS(Table1[[#This Row],[academic_performance]]&gt;1,"Need Improvement",Table1[[#This Row],[academic_performance]]&gt;2,"Good",Table1[[#This Row],[academic_performance]]&gt;3,"Very good",Table1[[#This Row],[academic_performance]]&gt;4,"Excellent")</f>
        <v>Need Improvement</v>
      </c>
      <c r="K925">
        <v>0.8</v>
      </c>
      <c r="L925" t="str">
        <f>IF(Table1[[#This Row],[physical_activity]]&gt;1.9,"better overall ","lower rate of depression")</f>
        <v>lower rate of depression</v>
      </c>
      <c r="M925" t="s">
        <v>15</v>
      </c>
      <c r="N925">
        <v>4</v>
      </c>
      <c r="O925">
        <v>1</v>
      </c>
      <c r="P925">
        <v>9</v>
      </c>
      <c r="Q925">
        <v>0</v>
      </c>
    </row>
    <row r="926" spans="1:17" x14ac:dyDescent="0.3">
      <c r="A926">
        <v>17</v>
      </c>
      <c r="B926" t="s">
        <v>13</v>
      </c>
      <c r="C926" t="str">
        <f>IF(Table1[[#This Row],[age]]&gt;18,"Adult","Teenage")</f>
        <v>Teenage</v>
      </c>
      <c r="D926">
        <v>1.7</v>
      </c>
      <c r="E926" t="s">
        <v>20</v>
      </c>
      <c r="F926">
        <v>7</v>
      </c>
      <c r="G926">
        <f>Table1[[#This Row],[sleep_hours]]-Table1[[#This Row],[daily_social_media_hours]]</f>
        <v>5.3</v>
      </c>
      <c r="H926">
        <v>0.8</v>
      </c>
      <c r="I926">
        <v>3.39</v>
      </c>
      <c r="J926" t="str" cm="1">
        <f t="array" ref="J926">_xlfn.IFS(Table1[[#This Row],[academic_performance]]&gt;1,"Need Improvement",Table1[[#This Row],[academic_performance]]&gt;2,"Good",Table1[[#This Row],[academic_performance]]&gt;3,"Very good",Table1[[#This Row],[academic_performance]]&gt;4,"Excellent")</f>
        <v>Need Improvement</v>
      </c>
      <c r="K926">
        <v>0.9</v>
      </c>
      <c r="L926" t="str">
        <f>IF(Table1[[#This Row],[physical_activity]]&gt;1.9,"better overall ","lower rate of depression")</f>
        <v>lower rate of depression</v>
      </c>
      <c r="M926" t="s">
        <v>18</v>
      </c>
      <c r="N926">
        <v>7</v>
      </c>
      <c r="O926">
        <v>7</v>
      </c>
      <c r="P926">
        <v>10</v>
      </c>
      <c r="Q926">
        <v>0</v>
      </c>
    </row>
    <row r="927" spans="1:17" x14ac:dyDescent="0.3">
      <c r="A927">
        <v>18</v>
      </c>
      <c r="B927" t="s">
        <v>13</v>
      </c>
      <c r="C927" t="str">
        <f>IF(Table1[[#This Row],[age]]&gt;18,"Adult","Teenage")</f>
        <v>Teenage</v>
      </c>
      <c r="D927">
        <v>1.5</v>
      </c>
      <c r="E927" t="s">
        <v>20</v>
      </c>
      <c r="F927">
        <v>5.6</v>
      </c>
      <c r="G927">
        <f>Table1[[#This Row],[sleep_hours]]-Table1[[#This Row],[daily_social_media_hours]]</f>
        <v>4.0999999999999996</v>
      </c>
      <c r="H927">
        <v>2.9</v>
      </c>
      <c r="I927">
        <v>2.57</v>
      </c>
      <c r="J927" t="str" cm="1">
        <f t="array" ref="J927">_xlfn.IFS(Table1[[#This Row],[academic_performance]]&gt;1,"Need Improvement",Table1[[#This Row],[academic_performance]]&gt;2,"Good",Table1[[#This Row],[academic_performance]]&gt;3,"Very good",Table1[[#This Row],[academic_performance]]&gt;4,"Excellent")</f>
        <v>Need Improvement</v>
      </c>
      <c r="K927">
        <v>0.6</v>
      </c>
      <c r="L927" t="str">
        <f>IF(Table1[[#This Row],[physical_activity]]&gt;1.9,"better overall ","lower rate of depression")</f>
        <v>lower rate of depression</v>
      </c>
      <c r="M927" t="s">
        <v>18</v>
      </c>
      <c r="N927">
        <v>5</v>
      </c>
      <c r="O927">
        <v>8</v>
      </c>
      <c r="P927">
        <v>4</v>
      </c>
      <c r="Q927">
        <v>0</v>
      </c>
    </row>
    <row r="928" spans="1:17" x14ac:dyDescent="0.3">
      <c r="A928">
        <v>17</v>
      </c>
      <c r="B928" t="s">
        <v>13</v>
      </c>
      <c r="C928" t="str">
        <f>IF(Table1[[#This Row],[age]]&gt;18,"Adult","Teenage")</f>
        <v>Teenage</v>
      </c>
      <c r="D928">
        <v>7.3</v>
      </c>
      <c r="E928" t="s">
        <v>20</v>
      </c>
      <c r="F928">
        <v>8.5</v>
      </c>
      <c r="G928">
        <f>Table1[[#This Row],[sleep_hours]]-Table1[[#This Row],[daily_social_media_hours]]</f>
        <v>1.2000000000000002</v>
      </c>
      <c r="H928">
        <v>1.5</v>
      </c>
      <c r="I928">
        <v>3.54</v>
      </c>
      <c r="J928" t="str" cm="1">
        <f t="array" ref="J928">_xlfn.IFS(Table1[[#This Row],[academic_performance]]&gt;1,"Need Improvement",Table1[[#This Row],[academic_performance]]&gt;2,"Good",Table1[[#This Row],[academic_performance]]&gt;3,"Very good",Table1[[#This Row],[academic_performance]]&gt;4,"Excellent")</f>
        <v>Need Improvement</v>
      </c>
      <c r="K928">
        <v>1.2</v>
      </c>
      <c r="L928" t="str">
        <f>IF(Table1[[#This Row],[physical_activity]]&gt;1.9,"better overall ","lower rate of depression")</f>
        <v>lower rate of depression</v>
      </c>
      <c r="M928" t="s">
        <v>15</v>
      </c>
      <c r="N928">
        <v>3</v>
      </c>
      <c r="O928">
        <v>3</v>
      </c>
      <c r="P928">
        <v>7</v>
      </c>
      <c r="Q928">
        <v>0</v>
      </c>
    </row>
    <row r="929" spans="1:17" x14ac:dyDescent="0.3">
      <c r="A929">
        <v>14</v>
      </c>
      <c r="B929" t="s">
        <v>13</v>
      </c>
      <c r="C929" t="str">
        <f>IF(Table1[[#This Row],[age]]&gt;18,"Adult","Teenage")</f>
        <v>Teenage</v>
      </c>
      <c r="D929">
        <v>2.8</v>
      </c>
      <c r="E929" t="s">
        <v>20</v>
      </c>
      <c r="F929">
        <v>6.2</v>
      </c>
      <c r="G929">
        <f>Table1[[#This Row],[sleep_hours]]-Table1[[#This Row],[daily_social_media_hours]]</f>
        <v>3.4000000000000004</v>
      </c>
      <c r="H929">
        <v>1.2</v>
      </c>
      <c r="I929">
        <v>3.21</v>
      </c>
      <c r="J929" t="str" cm="1">
        <f t="array" ref="J929">_xlfn.IFS(Table1[[#This Row],[academic_performance]]&gt;1,"Need Improvement",Table1[[#This Row],[academic_performance]]&gt;2,"Good",Table1[[#This Row],[academic_performance]]&gt;3,"Very good",Table1[[#This Row],[academic_performance]]&gt;4,"Excellent")</f>
        <v>Need Improvement</v>
      </c>
      <c r="K929">
        <v>1</v>
      </c>
      <c r="L929" t="str">
        <f>IF(Table1[[#This Row],[physical_activity]]&gt;1.9,"better overall ","lower rate of depression")</f>
        <v>lower rate of depression</v>
      </c>
      <c r="M929" t="s">
        <v>15</v>
      </c>
      <c r="N929">
        <v>3</v>
      </c>
      <c r="O929">
        <v>10</v>
      </c>
      <c r="P929">
        <v>6</v>
      </c>
      <c r="Q929">
        <v>0</v>
      </c>
    </row>
    <row r="930" spans="1:17" x14ac:dyDescent="0.3">
      <c r="A930">
        <v>15</v>
      </c>
      <c r="B930" t="s">
        <v>13</v>
      </c>
      <c r="C930" t="str">
        <f>IF(Table1[[#This Row],[age]]&gt;18,"Adult","Teenage")</f>
        <v>Teenage</v>
      </c>
      <c r="D930">
        <v>1.2</v>
      </c>
      <c r="E930" t="s">
        <v>20</v>
      </c>
      <c r="F930">
        <v>7.4</v>
      </c>
      <c r="G930">
        <f>Table1[[#This Row],[sleep_hours]]-Table1[[#This Row],[daily_social_media_hours]]</f>
        <v>6.2</v>
      </c>
      <c r="H930">
        <v>2.7</v>
      </c>
      <c r="I930">
        <v>2.92</v>
      </c>
      <c r="J930" t="str" cm="1">
        <f t="array" ref="J930">_xlfn.IFS(Table1[[#This Row],[academic_performance]]&gt;1,"Need Improvement",Table1[[#This Row],[academic_performance]]&gt;2,"Good",Table1[[#This Row],[academic_performance]]&gt;3,"Very good",Table1[[#This Row],[academic_performance]]&gt;4,"Excellent")</f>
        <v>Need Improvement</v>
      </c>
      <c r="K930">
        <v>1.4</v>
      </c>
      <c r="L930" t="str">
        <f>IF(Table1[[#This Row],[physical_activity]]&gt;1.9,"better overall ","lower rate of depression")</f>
        <v>lower rate of depression</v>
      </c>
      <c r="M930" t="s">
        <v>15</v>
      </c>
      <c r="N930">
        <v>3</v>
      </c>
      <c r="O930">
        <v>7</v>
      </c>
      <c r="P930">
        <v>4</v>
      </c>
      <c r="Q930">
        <v>0</v>
      </c>
    </row>
    <row r="931" spans="1:17" x14ac:dyDescent="0.3">
      <c r="A931">
        <v>16</v>
      </c>
      <c r="B931" t="s">
        <v>16</v>
      </c>
      <c r="C931" t="str">
        <f>IF(Table1[[#This Row],[age]]&gt;18,"Adult","Teenage")</f>
        <v>Teenage</v>
      </c>
      <c r="D931">
        <v>2.5</v>
      </c>
      <c r="E931" t="s">
        <v>17</v>
      </c>
      <c r="F931">
        <v>8.9</v>
      </c>
      <c r="G931">
        <f>Table1[[#This Row],[sleep_hours]]-Table1[[#This Row],[daily_social_media_hours]]</f>
        <v>6.4</v>
      </c>
      <c r="H931">
        <v>1.2</v>
      </c>
      <c r="I931">
        <v>3.33</v>
      </c>
      <c r="J931" t="str" cm="1">
        <f t="array" ref="J931">_xlfn.IFS(Table1[[#This Row],[academic_performance]]&gt;1,"Need Improvement",Table1[[#This Row],[academic_performance]]&gt;2,"Good",Table1[[#This Row],[academic_performance]]&gt;3,"Very good",Table1[[#This Row],[academic_performance]]&gt;4,"Excellent")</f>
        <v>Need Improvement</v>
      </c>
      <c r="K931">
        <v>1.5</v>
      </c>
      <c r="L931" t="str">
        <f>IF(Table1[[#This Row],[physical_activity]]&gt;1.9,"better overall ","lower rate of depression")</f>
        <v>lower rate of depression</v>
      </c>
      <c r="M931" t="s">
        <v>18</v>
      </c>
      <c r="N931">
        <v>4</v>
      </c>
      <c r="O931">
        <v>4</v>
      </c>
      <c r="P931">
        <v>10</v>
      </c>
      <c r="Q931">
        <v>0</v>
      </c>
    </row>
    <row r="932" spans="1:17" x14ac:dyDescent="0.3">
      <c r="A932">
        <v>17</v>
      </c>
      <c r="B932" t="s">
        <v>13</v>
      </c>
      <c r="C932" t="str">
        <f>IF(Table1[[#This Row],[age]]&gt;18,"Adult","Teenage")</f>
        <v>Teenage</v>
      </c>
      <c r="D932">
        <v>4.8</v>
      </c>
      <c r="E932" t="s">
        <v>17</v>
      </c>
      <c r="F932">
        <v>5.6</v>
      </c>
      <c r="G932">
        <f>Table1[[#This Row],[sleep_hours]]-Table1[[#This Row],[daily_social_media_hours]]</f>
        <v>0.79999999999999982</v>
      </c>
      <c r="H932">
        <v>1.6</v>
      </c>
      <c r="I932">
        <v>2</v>
      </c>
      <c r="J932" t="str" cm="1">
        <f t="array" ref="J932">_xlfn.IFS(Table1[[#This Row],[academic_performance]]&gt;1,"Need Improvement",Table1[[#This Row],[academic_performance]]&gt;2,"Good",Table1[[#This Row],[academic_performance]]&gt;3,"Very good",Table1[[#This Row],[academic_performance]]&gt;4,"Excellent")</f>
        <v>Need Improvement</v>
      </c>
      <c r="K932">
        <v>1.3</v>
      </c>
      <c r="L932" t="str">
        <f>IF(Table1[[#This Row],[physical_activity]]&gt;1.9,"better overall ","lower rate of depression")</f>
        <v>lower rate of depression</v>
      </c>
      <c r="M932" t="s">
        <v>15</v>
      </c>
      <c r="N932">
        <v>3</v>
      </c>
      <c r="O932">
        <v>8</v>
      </c>
      <c r="P932">
        <v>4</v>
      </c>
      <c r="Q932">
        <v>0</v>
      </c>
    </row>
    <row r="933" spans="1:17" x14ac:dyDescent="0.3">
      <c r="A933">
        <v>18</v>
      </c>
      <c r="B933" t="s">
        <v>16</v>
      </c>
      <c r="C933" t="str">
        <f>IF(Table1[[#This Row],[age]]&gt;18,"Adult","Teenage")</f>
        <v>Teenage</v>
      </c>
      <c r="D933">
        <v>6.4</v>
      </c>
      <c r="E933" t="s">
        <v>20</v>
      </c>
      <c r="F933">
        <v>4.2</v>
      </c>
      <c r="G933">
        <f>Table1[[#This Row],[sleep_hours]]-Table1[[#This Row],[daily_social_media_hours]]</f>
        <v>-2.2000000000000002</v>
      </c>
      <c r="H933">
        <v>1.1000000000000001</v>
      </c>
      <c r="I933">
        <v>2.68</v>
      </c>
      <c r="J933" t="str" cm="1">
        <f t="array" ref="J933">_xlfn.IFS(Table1[[#This Row],[academic_performance]]&gt;1,"Need Improvement",Table1[[#This Row],[academic_performance]]&gt;2,"Good",Table1[[#This Row],[academic_performance]]&gt;3,"Very good",Table1[[#This Row],[academic_performance]]&gt;4,"Excellent")</f>
        <v>Need Improvement</v>
      </c>
      <c r="K933">
        <v>0.3</v>
      </c>
      <c r="L933" t="str">
        <f>IF(Table1[[#This Row],[physical_activity]]&gt;1.9,"better overall ","lower rate of depression")</f>
        <v>lower rate of depression</v>
      </c>
      <c r="M933" t="s">
        <v>18</v>
      </c>
      <c r="N933">
        <v>10</v>
      </c>
      <c r="O933">
        <v>9</v>
      </c>
      <c r="P933">
        <v>4</v>
      </c>
      <c r="Q933">
        <v>1</v>
      </c>
    </row>
    <row r="934" spans="1:17" x14ac:dyDescent="0.3">
      <c r="A934">
        <v>16</v>
      </c>
      <c r="B934" t="s">
        <v>16</v>
      </c>
      <c r="C934" t="str">
        <f>IF(Table1[[#This Row],[age]]&gt;18,"Adult","Teenage")</f>
        <v>Teenage</v>
      </c>
      <c r="D934">
        <v>6.6</v>
      </c>
      <c r="E934" t="s">
        <v>14</v>
      </c>
      <c r="F934">
        <v>6.1</v>
      </c>
      <c r="G934">
        <f>Table1[[#This Row],[sleep_hours]]-Table1[[#This Row],[daily_social_media_hours]]</f>
        <v>-0.5</v>
      </c>
      <c r="H934">
        <v>1.7</v>
      </c>
      <c r="I934">
        <v>2.67</v>
      </c>
      <c r="J934" t="str" cm="1">
        <f t="array" ref="J934">_xlfn.IFS(Table1[[#This Row],[academic_performance]]&gt;1,"Need Improvement",Table1[[#This Row],[academic_performance]]&gt;2,"Good",Table1[[#This Row],[academic_performance]]&gt;3,"Very good",Table1[[#This Row],[academic_performance]]&gt;4,"Excellent")</f>
        <v>Need Improvement</v>
      </c>
      <c r="K934">
        <v>1.8</v>
      </c>
      <c r="L934" t="str">
        <f>IF(Table1[[#This Row],[physical_activity]]&gt;1.9,"better overall ","lower rate of depression")</f>
        <v>lower rate of depression</v>
      </c>
      <c r="M934" t="s">
        <v>15</v>
      </c>
      <c r="N934">
        <v>10</v>
      </c>
      <c r="O934">
        <v>8</v>
      </c>
      <c r="P934">
        <v>2</v>
      </c>
      <c r="Q934">
        <v>0</v>
      </c>
    </row>
    <row r="935" spans="1:17" x14ac:dyDescent="0.3">
      <c r="A935">
        <v>14</v>
      </c>
      <c r="B935" t="s">
        <v>16</v>
      </c>
      <c r="C935" t="str">
        <f>IF(Table1[[#This Row],[age]]&gt;18,"Adult","Teenage")</f>
        <v>Teenage</v>
      </c>
      <c r="D935">
        <v>3.5</v>
      </c>
      <c r="E935" t="s">
        <v>20</v>
      </c>
      <c r="F935">
        <v>5.7</v>
      </c>
      <c r="G935">
        <f>Table1[[#This Row],[sleep_hours]]-Table1[[#This Row],[daily_social_media_hours]]</f>
        <v>2.2000000000000002</v>
      </c>
      <c r="H935">
        <v>2.4</v>
      </c>
      <c r="I935">
        <v>3.46</v>
      </c>
      <c r="J935" t="str" cm="1">
        <f t="array" ref="J935">_xlfn.IFS(Table1[[#This Row],[academic_performance]]&gt;1,"Need Improvement",Table1[[#This Row],[academic_performance]]&gt;2,"Good",Table1[[#This Row],[academic_performance]]&gt;3,"Very good",Table1[[#This Row],[academic_performance]]&gt;4,"Excellent")</f>
        <v>Need Improvement</v>
      </c>
      <c r="K935">
        <v>0.9</v>
      </c>
      <c r="L935" t="str">
        <f>IF(Table1[[#This Row],[physical_activity]]&gt;1.9,"better overall ","lower rate of depression")</f>
        <v>lower rate of depression</v>
      </c>
      <c r="M935" t="s">
        <v>15</v>
      </c>
      <c r="N935">
        <v>8</v>
      </c>
      <c r="O935">
        <v>4</v>
      </c>
      <c r="P935">
        <v>10</v>
      </c>
      <c r="Q935">
        <v>0</v>
      </c>
    </row>
    <row r="936" spans="1:17" x14ac:dyDescent="0.3">
      <c r="A936">
        <v>14</v>
      </c>
      <c r="B936" t="s">
        <v>16</v>
      </c>
      <c r="C936" t="str">
        <f>IF(Table1[[#This Row],[age]]&gt;18,"Adult","Teenage")</f>
        <v>Teenage</v>
      </c>
      <c r="D936">
        <v>2.4</v>
      </c>
      <c r="E936" t="s">
        <v>17</v>
      </c>
      <c r="F936">
        <v>6.3</v>
      </c>
      <c r="G936">
        <f>Table1[[#This Row],[sleep_hours]]-Table1[[#This Row],[daily_social_media_hours]]</f>
        <v>3.9</v>
      </c>
      <c r="H936">
        <v>2.8</v>
      </c>
      <c r="I936">
        <v>2.41</v>
      </c>
      <c r="J936" t="str" cm="1">
        <f t="array" ref="J936">_xlfn.IFS(Table1[[#This Row],[academic_performance]]&gt;1,"Need Improvement",Table1[[#This Row],[academic_performance]]&gt;2,"Good",Table1[[#This Row],[academic_performance]]&gt;3,"Very good",Table1[[#This Row],[academic_performance]]&gt;4,"Excellent")</f>
        <v>Need Improvement</v>
      </c>
      <c r="K936">
        <v>0.7</v>
      </c>
      <c r="L936" t="str">
        <f>IF(Table1[[#This Row],[physical_activity]]&gt;1.9,"better overall ","lower rate of depression")</f>
        <v>lower rate of depression</v>
      </c>
      <c r="M936" t="s">
        <v>15</v>
      </c>
      <c r="N936">
        <v>9</v>
      </c>
      <c r="O936">
        <v>5</v>
      </c>
      <c r="P936">
        <v>2</v>
      </c>
      <c r="Q936">
        <v>0</v>
      </c>
    </row>
    <row r="937" spans="1:17" x14ac:dyDescent="0.3">
      <c r="A937">
        <v>13</v>
      </c>
      <c r="B937" t="s">
        <v>13</v>
      </c>
      <c r="C937" t="str">
        <f>IF(Table1[[#This Row],[age]]&gt;18,"Adult","Teenage")</f>
        <v>Teenage</v>
      </c>
      <c r="D937">
        <v>5.9</v>
      </c>
      <c r="E937" t="s">
        <v>14</v>
      </c>
      <c r="F937">
        <v>4.3</v>
      </c>
      <c r="G937">
        <f>Table1[[#This Row],[sleep_hours]]-Table1[[#This Row],[daily_social_media_hours]]</f>
        <v>-1.6000000000000005</v>
      </c>
      <c r="H937">
        <v>0.8</v>
      </c>
      <c r="I937">
        <v>3.41</v>
      </c>
      <c r="J937" t="str" cm="1">
        <f t="array" ref="J937">_xlfn.IFS(Table1[[#This Row],[academic_performance]]&gt;1,"Need Improvement",Table1[[#This Row],[academic_performance]]&gt;2,"Good",Table1[[#This Row],[academic_performance]]&gt;3,"Very good",Table1[[#This Row],[academic_performance]]&gt;4,"Excellent")</f>
        <v>Need Improvement</v>
      </c>
      <c r="K937">
        <v>1.1000000000000001</v>
      </c>
      <c r="L937" t="str">
        <f>IF(Table1[[#This Row],[physical_activity]]&gt;1.9,"better overall ","lower rate of depression")</f>
        <v>lower rate of depression</v>
      </c>
      <c r="M937" t="s">
        <v>19</v>
      </c>
      <c r="N937">
        <v>4</v>
      </c>
      <c r="O937">
        <v>3</v>
      </c>
      <c r="P937">
        <v>2</v>
      </c>
      <c r="Q937">
        <v>0</v>
      </c>
    </row>
    <row r="938" spans="1:17" x14ac:dyDescent="0.3">
      <c r="A938">
        <v>19</v>
      </c>
      <c r="B938" t="s">
        <v>16</v>
      </c>
      <c r="C938" t="str">
        <f>IF(Table1[[#This Row],[age]]&gt;18,"Adult","Teenage")</f>
        <v>Adult</v>
      </c>
      <c r="D938">
        <v>7.4</v>
      </c>
      <c r="E938" t="s">
        <v>14</v>
      </c>
      <c r="F938">
        <v>5</v>
      </c>
      <c r="G938">
        <f>Table1[[#This Row],[sleep_hours]]-Table1[[#This Row],[daily_social_media_hours]]</f>
        <v>-2.4000000000000004</v>
      </c>
      <c r="H938">
        <v>2</v>
      </c>
      <c r="I938">
        <v>2.68</v>
      </c>
      <c r="J938" t="str" cm="1">
        <f t="array" ref="J938">_xlfn.IFS(Table1[[#This Row],[academic_performance]]&gt;1,"Need Improvement",Table1[[#This Row],[academic_performance]]&gt;2,"Good",Table1[[#This Row],[academic_performance]]&gt;3,"Very good",Table1[[#This Row],[academic_performance]]&gt;4,"Excellent")</f>
        <v>Need Improvement</v>
      </c>
      <c r="K938">
        <v>1.2</v>
      </c>
      <c r="L938" t="str">
        <f>IF(Table1[[#This Row],[physical_activity]]&gt;1.9,"better overall ","lower rate of depression")</f>
        <v>lower rate of depression</v>
      </c>
      <c r="M938" t="s">
        <v>15</v>
      </c>
      <c r="N938">
        <v>1</v>
      </c>
      <c r="O938">
        <v>6</v>
      </c>
      <c r="P938">
        <v>8</v>
      </c>
      <c r="Q938">
        <v>0</v>
      </c>
    </row>
    <row r="939" spans="1:17" x14ac:dyDescent="0.3">
      <c r="A939">
        <v>15</v>
      </c>
      <c r="B939" t="s">
        <v>16</v>
      </c>
      <c r="C939" t="str">
        <f>IF(Table1[[#This Row],[age]]&gt;18,"Adult","Teenage")</f>
        <v>Teenage</v>
      </c>
      <c r="D939">
        <v>4.5999999999999996</v>
      </c>
      <c r="E939" t="s">
        <v>17</v>
      </c>
      <c r="F939">
        <v>5.3</v>
      </c>
      <c r="G939">
        <f>Table1[[#This Row],[sleep_hours]]-Table1[[#This Row],[daily_social_media_hours]]</f>
        <v>0.70000000000000018</v>
      </c>
      <c r="H939">
        <v>3</v>
      </c>
      <c r="I939">
        <v>3.25</v>
      </c>
      <c r="J939" t="str" cm="1">
        <f t="array" ref="J939">_xlfn.IFS(Table1[[#This Row],[academic_performance]]&gt;1,"Need Improvement",Table1[[#This Row],[academic_performance]]&gt;2,"Good",Table1[[#This Row],[academic_performance]]&gt;3,"Very good",Table1[[#This Row],[academic_performance]]&gt;4,"Excellent")</f>
        <v>Need Improvement</v>
      </c>
      <c r="K939">
        <v>0.2</v>
      </c>
      <c r="L939" t="str">
        <f>IF(Table1[[#This Row],[physical_activity]]&gt;1.9,"better overall ","lower rate of depression")</f>
        <v>lower rate of depression</v>
      </c>
      <c r="M939" t="s">
        <v>15</v>
      </c>
      <c r="N939">
        <v>1</v>
      </c>
      <c r="O939">
        <v>8</v>
      </c>
      <c r="P939">
        <v>7</v>
      </c>
      <c r="Q939">
        <v>0</v>
      </c>
    </row>
    <row r="940" spans="1:17" x14ac:dyDescent="0.3">
      <c r="A940">
        <v>17</v>
      </c>
      <c r="B940" t="s">
        <v>13</v>
      </c>
      <c r="C940" t="str">
        <f>IF(Table1[[#This Row],[age]]&gt;18,"Adult","Teenage")</f>
        <v>Teenage</v>
      </c>
      <c r="D940">
        <v>7.3</v>
      </c>
      <c r="E940" t="s">
        <v>14</v>
      </c>
      <c r="F940">
        <v>5.8</v>
      </c>
      <c r="G940">
        <f>Table1[[#This Row],[sleep_hours]]-Table1[[#This Row],[daily_social_media_hours]]</f>
        <v>-1.5</v>
      </c>
      <c r="H940">
        <v>2.9</v>
      </c>
      <c r="I940">
        <v>3.93</v>
      </c>
      <c r="J940" t="str" cm="1">
        <f t="array" ref="J940">_xlfn.IFS(Table1[[#This Row],[academic_performance]]&gt;1,"Need Improvement",Table1[[#This Row],[academic_performance]]&gt;2,"Good",Table1[[#This Row],[academic_performance]]&gt;3,"Very good",Table1[[#This Row],[academic_performance]]&gt;4,"Excellent")</f>
        <v>Need Improvement</v>
      </c>
      <c r="K940">
        <v>0.9</v>
      </c>
      <c r="L940" t="str">
        <f>IF(Table1[[#This Row],[physical_activity]]&gt;1.9,"better overall ","lower rate of depression")</f>
        <v>lower rate of depression</v>
      </c>
      <c r="M940" t="s">
        <v>19</v>
      </c>
      <c r="N940">
        <v>6</v>
      </c>
      <c r="O940">
        <v>2</v>
      </c>
      <c r="P940">
        <v>9</v>
      </c>
      <c r="Q940">
        <v>0</v>
      </c>
    </row>
    <row r="941" spans="1:17" x14ac:dyDescent="0.3">
      <c r="A941">
        <v>17</v>
      </c>
      <c r="B941" t="s">
        <v>16</v>
      </c>
      <c r="C941" t="str">
        <f>IF(Table1[[#This Row],[age]]&gt;18,"Adult","Teenage")</f>
        <v>Teenage</v>
      </c>
      <c r="D941">
        <v>2.9</v>
      </c>
      <c r="E941" t="s">
        <v>17</v>
      </c>
      <c r="F941">
        <v>4.5</v>
      </c>
      <c r="G941">
        <f>Table1[[#This Row],[sleep_hours]]-Table1[[#This Row],[daily_social_media_hours]]</f>
        <v>1.6</v>
      </c>
      <c r="H941">
        <v>0.9</v>
      </c>
      <c r="I941">
        <v>3.71</v>
      </c>
      <c r="J941" t="str" cm="1">
        <f t="array" ref="J941">_xlfn.IFS(Table1[[#This Row],[academic_performance]]&gt;1,"Need Improvement",Table1[[#This Row],[academic_performance]]&gt;2,"Good",Table1[[#This Row],[academic_performance]]&gt;3,"Very good",Table1[[#This Row],[academic_performance]]&gt;4,"Excellent")</f>
        <v>Need Improvement</v>
      </c>
      <c r="K941">
        <v>0.1</v>
      </c>
      <c r="L941" t="str">
        <f>IF(Table1[[#This Row],[physical_activity]]&gt;1.9,"better overall ","lower rate of depression")</f>
        <v>lower rate of depression</v>
      </c>
      <c r="M941" t="s">
        <v>15</v>
      </c>
      <c r="N941">
        <v>1</v>
      </c>
      <c r="O941">
        <v>6</v>
      </c>
      <c r="P941">
        <v>4</v>
      </c>
      <c r="Q941">
        <v>0</v>
      </c>
    </row>
    <row r="942" spans="1:17" x14ac:dyDescent="0.3">
      <c r="A942">
        <v>19</v>
      </c>
      <c r="B942" t="s">
        <v>13</v>
      </c>
      <c r="C942" t="str">
        <f>IF(Table1[[#This Row],[age]]&gt;18,"Adult","Teenage")</f>
        <v>Adult</v>
      </c>
      <c r="D942">
        <v>5.3</v>
      </c>
      <c r="E942" t="s">
        <v>17</v>
      </c>
      <c r="F942">
        <v>8.4</v>
      </c>
      <c r="G942">
        <f>Table1[[#This Row],[sleep_hours]]-Table1[[#This Row],[daily_social_media_hours]]</f>
        <v>3.1000000000000005</v>
      </c>
      <c r="H942">
        <v>0.6</v>
      </c>
      <c r="I942">
        <v>3.08</v>
      </c>
      <c r="J942" t="str" cm="1">
        <f t="array" ref="J942">_xlfn.IFS(Table1[[#This Row],[academic_performance]]&gt;1,"Need Improvement",Table1[[#This Row],[academic_performance]]&gt;2,"Good",Table1[[#This Row],[academic_performance]]&gt;3,"Very good",Table1[[#This Row],[academic_performance]]&gt;4,"Excellent")</f>
        <v>Need Improvement</v>
      </c>
      <c r="K942">
        <v>0.4</v>
      </c>
      <c r="L942" t="str">
        <f>IF(Table1[[#This Row],[physical_activity]]&gt;1.9,"better overall ","lower rate of depression")</f>
        <v>lower rate of depression</v>
      </c>
      <c r="M942" t="s">
        <v>19</v>
      </c>
      <c r="N942">
        <v>9</v>
      </c>
      <c r="O942">
        <v>4</v>
      </c>
      <c r="P942">
        <v>6</v>
      </c>
      <c r="Q942">
        <v>0</v>
      </c>
    </row>
    <row r="943" spans="1:17" x14ac:dyDescent="0.3">
      <c r="A943">
        <v>17</v>
      </c>
      <c r="B943" t="s">
        <v>16</v>
      </c>
      <c r="C943" t="str">
        <f>IF(Table1[[#This Row],[age]]&gt;18,"Adult","Teenage")</f>
        <v>Teenage</v>
      </c>
      <c r="D943">
        <v>7.2</v>
      </c>
      <c r="E943" t="s">
        <v>17</v>
      </c>
      <c r="F943">
        <v>8.1999999999999993</v>
      </c>
      <c r="G943">
        <f>Table1[[#This Row],[sleep_hours]]-Table1[[#This Row],[daily_social_media_hours]]</f>
        <v>0.99999999999999911</v>
      </c>
      <c r="H943">
        <v>2.9</v>
      </c>
      <c r="I943">
        <v>3.69</v>
      </c>
      <c r="J943" t="str" cm="1">
        <f t="array" ref="J943">_xlfn.IFS(Table1[[#This Row],[academic_performance]]&gt;1,"Need Improvement",Table1[[#This Row],[academic_performance]]&gt;2,"Good",Table1[[#This Row],[academic_performance]]&gt;3,"Very good",Table1[[#This Row],[academic_performance]]&gt;4,"Excellent")</f>
        <v>Need Improvement</v>
      </c>
      <c r="K943">
        <v>1</v>
      </c>
      <c r="L943" t="str">
        <f>IF(Table1[[#This Row],[physical_activity]]&gt;1.9,"better overall ","lower rate of depression")</f>
        <v>lower rate of depression</v>
      </c>
      <c r="M943" t="s">
        <v>18</v>
      </c>
      <c r="N943">
        <v>6</v>
      </c>
      <c r="O943">
        <v>2</v>
      </c>
      <c r="P943">
        <v>5</v>
      </c>
      <c r="Q943">
        <v>0</v>
      </c>
    </row>
    <row r="944" spans="1:17" x14ac:dyDescent="0.3">
      <c r="A944">
        <v>15</v>
      </c>
      <c r="B944" t="s">
        <v>16</v>
      </c>
      <c r="C944" t="str">
        <f>IF(Table1[[#This Row],[age]]&gt;18,"Adult","Teenage")</f>
        <v>Teenage</v>
      </c>
      <c r="D944">
        <v>2.6</v>
      </c>
      <c r="E944" t="s">
        <v>20</v>
      </c>
      <c r="F944">
        <v>7.9</v>
      </c>
      <c r="G944">
        <f>Table1[[#This Row],[sleep_hours]]-Table1[[#This Row],[daily_social_media_hours]]</f>
        <v>5.3000000000000007</v>
      </c>
      <c r="H944">
        <v>1.8</v>
      </c>
      <c r="I944">
        <v>3.91</v>
      </c>
      <c r="J944" t="str" cm="1">
        <f t="array" ref="J944">_xlfn.IFS(Table1[[#This Row],[academic_performance]]&gt;1,"Need Improvement",Table1[[#This Row],[academic_performance]]&gt;2,"Good",Table1[[#This Row],[academic_performance]]&gt;3,"Very good",Table1[[#This Row],[academic_performance]]&gt;4,"Excellent")</f>
        <v>Need Improvement</v>
      </c>
      <c r="K944">
        <v>0.5</v>
      </c>
      <c r="L944" t="str">
        <f>IF(Table1[[#This Row],[physical_activity]]&gt;1.9,"better overall ","lower rate of depression")</f>
        <v>lower rate of depression</v>
      </c>
      <c r="M944" t="s">
        <v>19</v>
      </c>
      <c r="N944">
        <v>4</v>
      </c>
      <c r="O944">
        <v>5</v>
      </c>
      <c r="P944">
        <v>6</v>
      </c>
      <c r="Q944">
        <v>0</v>
      </c>
    </row>
    <row r="945" spans="1:17" x14ac:dyDescent="0.3">
      <c r="A945">
        <v>15</v>
      </c>
      <c r="B945" t="s">
        <v>13</v>
      </c>
      <c r="C945" t="str">
        <f>IF(Table1[[#This Row],[age]]&gt;18,"Adult","Teenage")</f>
        <v>Teenage</v>
      </c>
      <c r="D945">
        <v>3.6</v>
      </c>
      <c r="E945" t="s">
        <v>14</v>
      </c>
      <c r="F945">
        <v>4.8</v>
      </c>
      <c r="G945">
        <f>Table1[[#This Row],[sleep_hours]]-Table1[[#This Row],[daily_social_media_hours]]</f>
        <v>1.1999999999999997</v>
      </c>
      <c r="H945">
        <v>1</v>
      </c>
      <c r="I945">
        <v>3.71</v>
      </c>
      <c r="J945" t="str" cm="1">
        <f t="array" ref="J945">_xlfn.IFS(Table1[[#This Row],[academic_performance]]&gt;1,"Need Improvement",Table1[[#This Row],[academic_performance]]&gt;2,"Good",Table1[[#This Row],[academic_performance]]&gt;3,"Very good",Table1[[#This Row],[academic_performance]]&gt;4,"Excellent")</f>
        <v>Need Improvement</v>
      </c>
      <c r="K945">
        <v>1.1000000000000001</v>
      </c>
      <c r="L945" t="str">
        <f>IF(Table1[[#This Row],[physical_activity]]&gt;1.9,"better overall ","lower rate of depression")</f>
        <v>lower rate of depression</v>
      </c>
      <c r="M945" t="s">
        <v>19</v>
      </c>
      <c r="N945">
        <v>5</v>
      </c>
      <c r="O945">
        <v>7</v>
      </c>
      <c r="P945">
        <v>4</v>
      </c>
      <c r="Q945">
        <v>0</v>
      </c>
    </row>
    <row r="946" spans="1:17" x14ac:dyDescent="0.3">
      <c r="A946">
        <v>19</v>
      </c>
      <c r="B946" t="s">
        <v>13</v>
      </c>
      <c r="C946" t="str">
        <f>IF(Table1[[#This Row],[age]]&gt;18,"Adult","Teenage")</f>
        <v>Adult</v>
      </c>
      <c r="D946">
        <v>3.6</v>
      </c>
      <c r="E946" t="s">
        <v>14</v>
      </c>
      <c r="F946">
        <v>6.5</v>
      </c>
      <c r="G946">
        <f>Table1[[#This Row],[sleep_hours]]-Table1[[#This Row],[daily_social_media_hours]]</f>
        <v>2.9</v>
      </c>
      <c r="H946">
        <v>1.1000000000000001</v>
      </c>
      <c r="I946">
        <v>3.65</v>
      </c>
      <c r="J946" t="str" cm="1">
        <f t="array" ref="J946">_xlfn.IFS(Table1[[#This Row],[academic_performance]]&gt;1,"Need Improvement",Table1[[#This Row],[academic_performance]]&gt;2,"Good",Table1[[#This Row],[academic_performance]]&gt;3,"Very good",Table1[[#This Row],[academic_performance]]&gt;4,"Excellent")</f>
        <v>Need Improvement</v>
      </c>
      <c r="K946">
        <v>1.1000000000000001</v>
      </c>
      <c r="L946" t="str">
        <f>IF(Table1[[#This Row],[physical_activity]]&gt;1.9,"better overall ","lower rate of depression")</f>
        <v>lower rate of depression</v>
      </c>
      <c r="M946" t="s">
        <v>15</v>
      </c>
      <c r="N946">
        <v>5</v>
      </c>
      <c r="O946">
        <v>9</v>
      </c>
      <c r="P946">
        <v>10</v>
      </c>
      <c r="Q946">
        <v>0</v>
      </c>
    </row>
    <row r="947" spans="1:17" x14ac:dyDescent="0.3">
      <c r="A947">
        <v>15</v>
      </c>
      <c r="B947" t="s">
        <v>16</v>
      </c>
      <c r="C947" t="str">
        <f>IF(Table1[[#This Row],[age]]&gt;18,"Adult","Teenage")</f>
        <v>Teenage</v>
      </c>
      <c r="D947">
        <v>1.8</v>
      </c>
      <c r="E947" t="s">
        <v>14</v>
      </c>
      <c r="F947">
        <v>5.5</v>
      </c>
      <c r="G947">
        <f>Table1[[#This Row],[sleep_hours]]-Table1[[#This Row],[daily_social_media_hours]]</f>
        <v>3.7</v>
      </c>
      <c r="H947">
        <v>1.6</v>
      </c>
      <c r="I947">
        <v>3.29</v>
      </c>
      <c r="J947" t="str" cm="1">
        <f t="array" ref="J947">_xlfn.IFS(Table1[[#This Row],[academic_performance]]&gt;1,"Need Improvement",Table1[[#This Row],[academic_performance]]&gt;2,"Good",Table1[[#This Row],[academic_performance]]&gt;3,"Very good",Table1[[#This Row],[academic_performance]]&gt;4,"Excellent")</f>
        <v>Need Improvement</v>
      </c>
      <c r="K947">
        <v>1.3</v>
      </c>
      <c r="L947" t="str">
        <f>IF(Table1[[#This Row],[physical_activity]]&gt;1.9,"better overall ","lower rate of depression")</f>
        <v>lower rate of depression</v>
      </c>
      <c r="M947" t="s">
        <v>19</v>
      </c>
      <c r="N947">
        <v>6</v>
      </c>
      <c r="O947">
        <v>5</v>
      </c>
      <c r="P947">
        <v>9</v>
      </c>
      <c r="Q947">
        <v>0</v>
      </c>
    </row>
    <row r="948" spans="1:17" x14ac:dyDescent="0.3">
      <c r="A948">
        <v>14</v>
      </c>
      <c r="B948" t="s">
        <v>16</v>
      </c>
      <c r="C948" t="str">
        <f>IF(Table1[[#This Row],[age]]&gt;18,"Adult","Teenage")</f>
        <v>Teenage</v>
      </c>
      <c r="D948">
        <v>1.8</v>
      </c>
      <c r="E948" t="s">
        <v>14</v>
      </c>
      <c r="F948">
        <v>7.6</v>
      </c>
      <c r="G948">
        <f>Table1[[#This Row],[sleep_hours]]-Table1[[#This Row],[daily_social_media_hours]]</f>
        <v>5.8</v>
      </c>
      <c r="H948">
        <v>1.2</v>
      </c>
      <c r="I948">
        <v>2.84</v>
      </c>
      <c r="J948" t="str" cm="1">
        <f t="array" ref="J948">_xlfn.IFS(Table1[[#This Row],[academic_performance]]&gt;1,"Need Improvement",Table1[[#This Row],[academic_performance]]&gt;2,"Good",Table1[[#This Row],[academic_performance]]&gt;3,"Very good",Table1[[#This Row],[academic_performance]]&gt;4,"Excellent")</f>
        <v>Need Improvement</v>
      </c>
      <c r="K948">
        <v>1.1000000000000001</v>
      </c>
      <c r="L948" t="str">
        <f>IF(Table1[[#This Row],[physical_activity]]&gt;1.9,"better overall ","lower rate of depression")</f>
        <v>lower rate of depression</v>
      </c>
      <c r="M948" t="s">
        <v>18</v>
      </c>
      <c r="N948">
        <v>10</v>
      </c>
      <c r="O948">
        <v>1</v>
      </c>
      <c r="P948">
        <v>3</v>
      </c>
      <c r="Q948">
        <v>0</v>
      </c>
    </row>
    <row r="949" spans="1:17" x14ac:dyDescent="0.3">
      <c r="A949">
        <v>15</v>
      </c>
      <c r="B949" t="s">
        <v>16</v>
      </c>
      <c r="C949" t="str">
        <f>IF(Table1[[#This Row],[age]]&gt;18,"Adult","Teenage")</f>
        <v>Teenage</v>
      </c>
      <c r="D949">
        <v>7.4</v>
      </c>
      <c r="E949" t="s">
        <v>20</v>
      </c>
      <c r="F949">
        <v>8.4</v>
      </c>
      <c r="G949">
        <f>Table1[[#This Row],[sleep_hours]]-Table1[[#This Row],[daily_social_media_hours]]</f>
        <v>1</v>
      </c>
      <c r="H949">
        <v>1.9</v>
      </c>
      <c r="I949">
        <v>3.73</v>
      </c>
      <c r="J949" t="str" cm="1">
        <f t="array" ref="J949">_xlfn.IFS(Table1[[#This Row],[academic_performance]]&gt;1,"Need Improvement",Table1[[#This Row],[academic_performance]]&gt;2,"Good",Table1[[#This Row],[academic_performance]]&gt;3,"Very good",Table1[[#This Row],[academic_performance]]&gt;4,"Excellent")</f>
        <v>Need Improvement</v>
      </c>
      <c r="K949">
        <v>0.8</v>
      </c>
      <c r="L949" t="str">
        <f>IF(Table1[[#This Row],[physical_activity]]&gt;1.9,"better overall ","lower rate of depression")</f>
        <v>lower rate of depression</v>
      </c>
      <c r="M949" t="s">
        <v>18</v>
      </c>
      <c r="N949">
        <v>9</v>
      </c>
      <c r="O949">
        <v>9</v>
      </c>
      <c r="P949">
        <v>4</v>
      </c>
      <c r="Q949">
        <v>0</v>
      </c>
    </row>
    <row r="950" spans="1:17" x14ac:dyDescent="0.3">
      <c r="A950">
        <v>15</v>
      </c>
      <c r="B950" t="s">
        <v>13</v>
      </c>
      <c r="C950" t="str">
        <f>IF(Table1[[#This Row],[age]]&gt;18,"Adult","Teenage")</f>
        <v>Teenage</v>
      </c>
      <c r="D950">
        <v>4.8</v>
      </c>
      <c r="E950" t="s">
        <v>20</v>
      </c>
      <c r="F950">
        <v>4.3</v>
      </c>
      <c r="G950">
        <f>Table1[[#This Row],[sleep_hours]]-Table1[[#This Row],[daily_social_media_hours]]</f>
        <v>-0.5</v>
      </c>
      <c r="H950">
        <v>2.2000000000000002</v>
      </c>
      <c r="I950">
        <v>2.5</v>
      </c>
      <c r="J950" t="str" cm="1">
        <f t="array" ref="J950">_xlfn.IFS(Table1[[#This Row],[academic_performance]]&gt;1,"Need Improvement",Table1[[#This Row],[academic_performance]]&gt;2,"Good",Table1[[#This Row],[academic_performance]]&gt;3,"Very good",Table1[[#This Row],[academic_performance]]&gt;4,"Excellent")</f>
        <v>Need Improvement</v>
      </c>
      <c r="K950">
        <v>0</v>
      </c>
      <c r="L950" t="str">
        <f>IF(Table1[[#This Row],[physical_activity]]&gt;1.9,"better overall ","lower rate of depression")</f>
        <v>lower rate of depression</v>
      </c>
      <c r="M950" t="s">
        <v>19</v>
      </c>
      <c r="N950">
        <v>4</v>
      </c>
      <c r="O950">
        <v>1</v>
      </c>
      <c r="P950">
        <v>4</v>
      </c>
      <c r="Q950">
        <v>0</v>
      </c>
    </row>
    <row r="951" spans="1:17" x14ac:dyDescent="0.3">
      <c r="A951">
        <v>18</v>
      </c>
      <c r="B951" t="s">
        <v>13</v>
      </c>
      <c r="C951" t="str">
        <f>IF(Table1[[#This Row],[age]]&gt;18,"Adult","Teenage")</f>
        <v>Teenage</v>
      </c>
      <c r="D951">
        <v>2.4</v>
      </c>
      <c r="E951" t="s">
        <v>20</v>
      </c>
      <c r="F951">
        <v>6.8</v>
      </c>
      <c r="G951">
        <f>Table1[[#This Row],[sleep_hours]]-Table1[[#This Row],[daily_social_media_hours]]</f>
        <v>4.4000000000000004</v>
      </c>
      <c r="H951">
        <v>1</v>
      </c>
      <c r="I951">
        <v>2.86</v>
      </c>
      <c r="J951" t="str" cm="1">
        <f t="array" ref="J951">_xlfn.IFS(Table1[[#This Row],[academic_performance]]&gt;1,"Need Improvement",Table1[[#This Row],[academic_performance]]&gt;2,"Good",Table1[[#This Row],[academic_performance]]&gt;3,"Very good",Table1[[#This Row],[academic_performance]]&gt;4,"Excellent")</f>
        <v>Need Improvement</v>
      </c>
      <c r="K951">
        <v>1.5</v>
      </c>
      <c r="L951" t="str">
        <f>IF(Table1[[#This Row],[physical_activity]]&gt;1.9,"better overall ","lower rate of depression")</f>
        <v>lower rate of depression</v>
      </c>
      <c r="M951" t="s">
        <v>18</v>
      </c>
      <c r="N951">
        <v>9</v>
      </c>
      <c r="O951">
        <v>10</v>
      </c>
      <c r="P951">
        <v>8</v>
      </c>
      <c r="Q951">
        <v>0</v>
      </c>
    </row>
    <row r="952" spans="1:17" x14ac:dyDescent="0.3">
      <c r="A952">
        <v>15</v>
      </c>
      <c r="B952" t="s">
        <v>13</v>
      </c>
      <c r="C952" t="str">
        <f>IF(Table1[[#This Row],[age]]&gt;18,"Adult","Teenage")</f>
        <v>Teenage</v>
      </c>
      <c r="D952">
        <v>5.4</v>
      </c>
      <c r="E952" t="s">
        <v>17</v>
      </c>
      <c r="F952">
        <v>5.2</v>
      </c>
      <c r="G952">
        <f>Table1[[#This Row],[sleep_hours]]-Table1[[#This Row],[daily_social_media_hours]]</f>
        <v>-0.20000000000000018</v>
      </c>
      <c r="H952">
        <v>0.6</v>
      </c>
      <c r="I952">
        <v>3.65</v>
      </c>
      <c r="J952" t="str" cm="1">
        <f t="array" ref="J952">_xlfn.IFS(Table1[[#This Row],[academic_performance]]&gt;1,"Need Improvement",Table1[[#This Row],[academic_performance]]&gt;2,"Good",Table1[[#This Row],[academic_performance]]&gt;3,"Very good",Table1[[#This Row],[academic_performance]]&gt;4,"Excellent")</f>
        <v>Need Improvement</v>
      </c>
      <c r="K952">
        <v>1.5</v>
      </c>
      <c r="L952" t="str">
        <f>IF(Table1[[#This Row],[physical_activity]]&gt;1.9,"better overall ","lower rate of depression")</f>
        <v>lower rate of depression</v>
      </c>
      <c r="M952" t="s">
        <v>15</v>
      </c>
      <c r="N952">
        <v>7</v>
      </c>
      <c r="O952">
        <v>9</v>
      </c>
      <c r="P952">
        <v>10</v>
      </c>
      <c r="Q952">
        <v>1</v>
      </c>
    </row>
    <row r="953" spans="1:17" x14ac:dyDescent="0.3">
      <c r="A953">
        <v>17</v>
      </c>
      <c r="B953" t="s">
        <v>16</v>
      </c>
      <c r="C953" t="str">
        <f>IF(Table1[[#This Row],[age]]&gt;18,"Adult","Teenage")</f>
        <v>Teenage</v>
      </c>
      <c r="D953">
        <v>3.5</v>
      </c>
      <c r="E953" t="s">
        <v>20</v>
      </c>
      <c r="F953">
        <v>8.5</v>
      </c>
      <c r="G953">
        <f>Table1[[#This Row],[sleep_hours]]-Table1[[#This Row],[daily_social_media_hours]]</f>
        <v>5</v>
      </c>
      <c r="H953">
        <v>2.2000000000000002</v>
      </c>
      <c r="I953">
        <v>2.11</v>
      </c>
      <c r="J953" t="str" cm="1">
        <f t="array" ref="J953">_xlfn.IFS(Table1[[#This Row],[academic_performance]]&gt;1,"Need Improvement",Table1[[#This Row],[academic_performance]]&gt;2,"Good",Table1[[#This Row],[academic_performance]]&gt;3,"Very good",Table1[[#This Row],[academic_performance]]&gt;4,"Excellent")</f>
        <v>Need Improvement</v>
      </c>
      <c r="K953">
        <v>1.3</v>
      </c>
      <c r="L953" t="str">
        <f>IF(Table1[[#This Row],[physical_activity]]&gt;1.9,"better overall ","lower rate of depression")</f>
        <v>lower rate of depression</v>
      </c>
      <c r="M953" t="s">
        <v>19</v>
      </c>
      <c r="N953">
        <v>8</v>
      </c>
      <c r="O953">
        <v>8</v>
      </c>
      <c r="P953">
        <v>2</v>
      </c>
      <c r="Q953">
        <v>0</v>
      </c>
    </row>
    <row r="954" spans="1:17" x14ac:dyDescent="0.3">
      <c r="A954">
        <v>18</v>
      </c>
      <c r="B954" t="s">
        <v>16</v>
      </c>
      <c r="C954" t="str">
        <f>IF(Table1[[#This Row],[age]]&gt;18,"Adult","Teenage")</f>
        <v>Teenage</v>
      </c>
      <c r="D954">
        <v>3</v>
      </c>
      <c r="E954" t="s">
        <v>14</v>
      </c>
      <c r="F954">
        <v>5</v>
      </c>
      <c r="G954">
        <f>Table1[[#This Row],[sleep_hours]]-Table1[[#This Row],[daily_social_media_hours]]</f>
        <v>2</v>
      </c>
      <c r="H954">
        <v>2</v>
      </c>
      <c r="I954">
        <v>2.4500000000000002</v>
      </c>
      <c r="J954" t="str" cm="1">
        <f t="array" ref="J954">_xlfn.IFS(Table1[[#This Row],[academic_performance]]&gt;1,"Need Improvement",Table1[[#This Row],[academic_performance]]&gt;2,"Good",Table1[[#This Row],[academic_performance]]&gt;3,"Very good",Table1[[#This Row],[academic_performance]]&gt;4,"Excellent")</f>
        <v>Need Improvement</v>
      </c>
      <c r="K954">
        <v>1.2</v>
      </c>
      <c r="L954" t="str">
        <f>IF(Table1[[#This Row],[physical_activity]]&gt;1.9,"better overall ","lower rate of depression")</f>
        <v>lower rate of depression</v>
      </c>
      <c r="M954" t="s">
        <v>19</v>
      </c>
      <c r="N954">
        <v>1</v>
      </c>
      <c r="O954">
        <v>10</v>
      </c>
      <c r="P954">
        <v>7</v>
      </c>
      <c r="Q954">
        <v>0</v>
      </c>
    </row>
    <row r="955" spans="1:17" x14ac:dyDescent="0.3">
      <c r="A955">
        <v>13</v>
      </c>
      <c r="B955" t="s">
        <v>16</v>
      </c>
      <c r="C955" t="str">
        <f>IF(Table1[[#This Row],[age]]&gt;18,"Adult","Teenage")</f>
        <v>Teenage</v>
      </c>
      <c r="D955">
        <v>3.3</v>
      </c>
      <c r="E955" t="s">
        <v>20</v>
      </c>
      <c r="F955">
        <v>7.4</v>
      </c>
      <c r="G955">
        <f>Table1[[#This Row],[sleep_hours]]-Table1[[#This Row],[daily_social_media_hours]]</f>
        <v>4.1000000000000005</v>
      </c>
      <c r="H955">
        <v>0.9</v>
      </c>
      <c r="I955">
        <v>2.5299999999999998</v>
      </c>
      <c r="J955" t="str" cm="1">
        <f t="array" ref="J955">_xlfn.IFS(Table1[[#This Row],[academic_performance]]&gt;1,"Need Improvement",Table1[[#This Row],[academic_performance]]&gt;2,"Good",Table1[[#This Row],[academic_performance]]&gt;3,"Very good",Table1[[#This Row],[academic_performance]]&gt;4,"Excellent")</f>
        <v>Need Improvement</v>
      </c>
      <c r="K955">
        <v>0.2</v>
      </c>
      <c r="L955" t="str">
        <f>IF(Table1[[#This Row],[physical_activity]]&gt;1.9,"better overall ","lower rate of depression")</f>
        <v>lower rate of depression</v>
      </c>
      <c r="M955" t="s">
        <v>19</v>
      </c>
      <c r="N955">
        <v>4</v>
      </c>
      <c r="O955">
        <v>10</v>
      </c>
      <c r="P955">
        <v>6</v>
      </c>
      <c r="Q955">
        <v>0</v>
      </c>
    </row>
    <row r="956" spans="1:17" x14ac:dyDescent="0.3">
      <c r="A956">
        <v>19</v>
      </c>
      <c r="B956" t="s">
        <v>13</v>
      </c>
      <c r="C956" t="str">
        <f>IF(Table1[[#This Row],[age]]&gt;18,"Adult","Teenage")</f>
        <v>Adult</v>
      </c>
      <c r="D956">
        <v>5.5</v>
      </c>
      <c r="E956" t="s">
        <v>17</v>
      </c>
      <c r="F956">
        <v>5.0999999999999996</v>
      </c>
      <c r="G956">
        <f>Table1[[#This Row],[sleep_hours]]-Table1[[#This Row],[daily_social_media_hours]]</f>
        <v>-0.40000000000000036</v>
      </c>
      <c r="H956">
        <v>2.7</v>
      </c>
      <c r="I956">
        <v>2.56</v>
      </c>
      <c r="J956" t="str" cm="1">
        <f t="array" ref="J956">_xlfn.IFS(Table1[[#This Row],[academic_performance]]&gt;1,"Need Improvement",Table1[[#This Row],[academic_performance]]&gt;2,"Good",Table1[[#This Row],[academic_performance]]&gt;3,"Very good",Table1[[#This Row],[academic_performance]]&gt;4,"Excellent")</f>
        <v>Need Improvement</v>
      </c>
      <c r="K956">
        <v>1.4</v>
      </c>
      <c r="L956" t="str">
        <f>IF(Table1[[#This Row],[physical_activity]]&gt;1.9,"better overall ","lower rate of depression")</f>
        <v>lower rate of depression</v>
      </c>
      <c r="M956" t="s">
        <v>15</v>
      </c>
      <c r="N956">
        <v>2</v>
      </c>
      <c r="O956">
        <v>3</v>
      </c>
      <c r="P956">
        <v>7</v>
      </c>
      <c r="Q956">
        <v>0</v>
      </c>
    </row>
    <row r="957" spans="1:17" x14ac:dyDescent="0.3">
      <c r="A957">
        <v>15</v>
      </c>
      <c r="B957" t="s">
        <v>13</v>
      </c>
      <c r="C957" t="str">
        <f>IF(Table1[[#This Row],[age]]&gt;18,"Adult","Teenage")</f>
        <v>Teenage</v>
      </c>
      <c r="D957">
        <v>3.8</v>
      </c>
      <c r="E957" t="s">
        <v>20</v>
      </c>
      <c r="F957">
        <v>8.3000000000000007</v>
      </c>
      <c r="G957">
        <f>Table1[[#This Row],[sleep_hours]]-Table1[[#This Row],[daily_social_media_hours]]</f>
        <v>4.5000000000000009</v>
      </c>
      <c r="H957">
        <v>2.6</v>
      </c>
      <c r="I957">
        <v>3.19</v>
      </c>
      <c r="J957" t="str" cm="1">
        <f t="array" ref="J957">_xlfn.IFS(Table1[[#This Row],[academic_performance]]&gt;1,"Need Improvement",Table1[[#This Row],[academic_performance]]&gt;2,"Good",Table1[[#This Row],[academic_performance]]&gt;3,"Very good",Table1[[#This Row],[academic_performance]]&gt;4,"Excellent")</f>
        <v>Need Improvement</v>
      </c>
      <c r="K957">
        <v>2</v>
      </c>
      <c r="L957" t="str">
        <f>IF(Table1[[#This Row],[physical_activity]]&gt;1.9,"better overall ","lower rate of depression")</f>
        <v xml:space="preserve">better overall </v>
      </c>
      <c r="M957" t="s">
        <v>19</v>
      </c>
      <c r="N957">
        <v>1</v>
      </c>
      <c r="O957">
        <v>2</v>
      </c>
      <c r="P957">
        <v>2</v>
      </c>
      <c r="Q957">
        <v>0</v>
      </c>
    </row>
    <row r="958" spans="1:17" x14ac:dyDescent="0.3">
      <c r="A958">
        <v>17</v>
      </c>
      <c r="B958" t="s">
        <v>13</v>
      </c>
      <c r="C958" t="str">
        <f>IF(Table1[[#This Row],[age]]&gt;18,"Adult","Teenage")</f>
        <v>Teenage</v>
      </c>
      <c r="D958">
        <v>5.7</v>
      </c>
      <c r="E958" t="s">
        <v>17</v>
      </c>
      <c r="F958">
        <v>8.6999999999999993</v>
      </c>
      <c r="G958">
        <f>Table1[[#This Row],[sleep_hours]]-Table1[[#This Row],[daily_social_media_hours]]</f>
        <v>2.9999999999999991</v>
      </c>
      <c r="H958">
        <v>2</v>
      </c>
      <c r="I958">
        <v>3.14</v>
      </c>
      <c r="J958" t="str" cm="1">
        <f t="array" ref="J958">_xlfn.IFS(Table1[[#This Row],[academic_performance]]&gt;1,"Need Improvement",Table1[[#This Row],[academic_performance]]&gt;2,"Good",Table1[[#This Row],[academic_performance]]&gt;3,"Very good",Table1[[#This Row],[academic_performance]]&gt;4,"Excellent")</f>
        <v>Need Improvement</v>
      </c>
      <c r="K958">
        <v>1.7</v>
      </c>
      <c r="L958" t="str">
        <f>IF(Table1[[#This Row],[physical_activity]]&gt;1.9,"better overall ","lower rate of depression")</f>
        <v>lower rate of depression</v>
      </c>
      <c r="M958" t="s">
        <v>15</v>
      </c>
      <c r="N958">
        <v>1</v>
      </c>
      <c r="O958">
        <v>9</v>
      </c>
      <c r="P958">
        <v>8</v>
      </c>
      <c r="Q958">
        <v>0</v>
      </c>
    </row>
    <row r="959" spans="1:17" x14ac:dyDescent="0.3">
      <c r="A959">
        <v>13</v>
      </c>
      <c r="B959" t="s">
        <v>16</v>
      </c>
      <c r="C959" t="str">
        <f>IF(Table1[[#This Row],[age]]&gt;18,"Adult","Teenage")</f>
        <v>Teenage</v>
      </c>
      <c r="D959">
        <v>4.7</v>
      </c>
      <c r="E959" t="s">
        <v>17</v>
      </c>
      <c r="F959">
        <v>8</v>
      </c>
      <c r="G959">
        <f>Table1[[#This Row],[sleep_hours]]-Table1[[#This Row],[daily_social_media_hours]]</f>
        <v>3.3</v>
      </c>
      <c r="H959">
        <v>1.1000000000000001</v>
      </c>
      <c r="I959">
        <v>2.37</v>
      </c>
      <c r="J959" t="str" cm="1">
        <f t="array" ref="J959">_xlfn.IFS(Table1[[#This Row],[academic_performance]]&gt;1,"Need Improvement",Table1[[#This Row],[academic_performance]]&gt;2,"Good",Table1[[#This Row],[academic_performance]]&gt;3,"Very good",Table1[[#This Row],[academic_performance]]&gt;4,"Excellent")</f>
        <v>Need Improvement</v>
      </c>
      <c r="K959">
        <v>0.2</v>
      </c>
      <c r="L959" t="str">
        <f>IF(Table1[[#This Row],[physical_activity]]&gt;1.9,"better overall ","lower rate of depression")</f>
        <v>lower rate of depression</v>
      </c>
      <c r="M959" t="s">
        <v>15</v>
      </c>
      <c r="N959">
        <v>5</v>
      </c>
      <c r="O959">
        <v>10</v>
      </c>
      <c r="P959">
        <v>6</v>
      </c>
      <c r="Q959">
        <v>0</v>
      </c>
    </row>
    <row r="960" spans="1:17" x14ac:dyDescent="0.3">
      <c r="A960">
        <v>17</v>
      </c>
      <c r="B960" t="s">
        <v>16</v>
      </c>
      <c r="C960" t="str">
        <f>IF(Table1[[#This Row],[age]]&gt;18,"Adult","Teenage")</f>
        <v>Teenage</v>
      </c>
      <c r="D960">
        <v>4</v>
      </c>
      <c r="E960" t="s">
        <v>14</v>
      </c>
      <c r="F960">
        <v>6.7</v>
      </c>
      <c r="G960">
        <f>Table1[[#This Row],[sleep_hours]]-Table1[[#This Row],[daily_social_media_hours]]</f>
        <v>2.7</v>
      </c>
      <c r="H960">
        <v>0.6</v>
      </c>
      <c r="I960">
        <v>2.5099999999999998</v>
      </c>
      <c r="J960" t="str" cm="1">
        <f t="array" ref="J960">_xlfn.IFS(Table1[[#This Row],[academic_performance]]&gt;1,"Need Improvement",Table1[[#This Row],[academic_performance]]&gt;2,"Good",Table1[[#This Row],[academic_performance]]&gt;3,"Very good",Table1[[#This Row],[academic_performance]]&gt;4,"Excellent")</f>
        <v>Need Improvement</v>
      </c>
      <c r="K960">
        <v>1.5</v>
      </c>
      <c r="L960" t="str">
        <f>IF(Table1[[#This Row],[physical_activity]]&gt;1.9,"better overall ","lower rate of depression")</f>
        <v>lower rate of depression</v>
      </c>
      <c r="M960" t="s">
        <v>18</v>
      </c>
      <c r="N960">
        <v>9</v>
      </c>
      <c r="O960">
        <v>8</v>
      </c>
      <c r="P960">
        <v>5</v>
      </c>
      <c r="Q960">
        <v>0</v>
      </c>
    </row>
    <row r="961" spans="1:17" x14ac:dyDescent="0.3">
      <c r="A961">
        <v>16</v>
      </c>
      <c r="B961" t="s">
        <v>13</v>
      </c>
      <c r="C961" t="str">
        <f>IF(Table1[[#This Row],[age]]&gt;18,"Adult","Teenage")</f>
        <v>Teenage</v>
      </c>
      <c r="D961">
        <v>5.3</v>
      </c>
      <c r="E961" t="s">
        <v>17</v>
      </c>
      <c r="F961">
        <v>6.8</v>
      </c>
      <c r="G961">
        <f>Table1[[#This Row],[sleep_hours]]-Table1[[#This Row],[daily_social_media_hours]]</f>
        <v>1.5</v>
      </c>
      <c r="H961">
        <v>0.7</v>
      </c>
      <c r="I961">
        <v>3.9</v>
      </c>
      <c r="J961" t="str" cm="1">
        <f t="array" ref="J961">_xlfn.IFS(Table1[[#This Row],[academic_performance]]&gt;1,"Need Improvement",Table1[[#This Row],[academic_performance]]&gt;2,"Good",Table1[[#This Row],[academic_performance]]&gt;3,"Very good",Table1[[#This Row],[academic_performance]]&gt;4,"Excellent")</f>
        <v>Need Improvement</v>
      </c>
      <c r="K961">
        <v>1.5</v>
      </c>
      <c r="L961" t="str">
        <f>IF(Table1[[#This Row],[physical_activity]]&gt;1.9,"better overall ","lower rate of depression")</f>
        <v>lower rate of depression</v>
      </c>
      <c r="M961" t="s">
        <v>15</v>
      </c>
      <c r="N961">
        <v>5</v>
      </c>
      <c r="O961">
        <v>8</v>
      </c>
      <c r="P961">
        <v>3</v>
      </c>
      <c r="Q961">
        <v>0</v>
      </c>
    </row>
    <row r="962" spans="1:17" x14ac:dyDescent="0.3">
      <c r="A962">
        <v>17</v>
      </c>
      <c r="B962" t="s">
        <v>13</v>
      </c>
      <c r="C962" t="str">
        <f>IF(Table1[[#This Row],[age]]&gt;18,"Adult","Teenage")</f>
        <v>Teenage</v>
      </c>
      <c r="D962">
        <v>3.8</v>
      </c>
      <c r="E962" t="s">
        <v>14</v>
      </c>
      <c r="F962">
        <v>4.7</v>
      </c>
      <c r="G962">
        <f>Table1[[#This Row],[sleep_hours]]-Table1[[#This Row],[daily_social_media_hours]]</f>
        <v>0.90000000000000036</v>
      </c>
      <c r="H962">
        <v>1.2</v>
      </c>
      <c r="I962">
        <v>3.7</v>
      </c>
      <c r="J962" t="str" cm="1">
        <f t="array" ref="J962">_xlfn.IFS(Table1[[#This Row],[academic_performance]]&gt;1,"Need Improvement",Table1[[#This Row],[academic_performance]]&gt;2,"Good",Table1[[#This Row],[academic_performance]]&gt;3,"Very good",Table1[[#This Row],[academic_performance]]&gt;4,"Excellent")</f>
        <v>Need Improvement</v>
      </c>
      <c r="K962">
        <v>1.4</v>
      </c>
      <c r="L962" t="str">
        <f>IF(Table1[[#This Row],[physical_activity]]&gt;1.9,"better overall ","lower rate of depression")</f>
        <v>lower rate of depression</v>
      </c>
      <c r="M962" t="s">
        <v>18</v>
      </c>
      <c r="N962">
        <v>2</v>
      </c>
      <c r="O962">
        <v>2</v>
      </c>
      <c r="P962">
        <v>5</v>
      </c>
      <c r="Q962">
        <v>0</v>
      </c>
    </row>
    <row r="963" spans="1:17" x14ac:dyDescent="0.3">
      <c r="A963">
        <v>16</v>
      </c>
      <c r="B963" t="s">
        <v>16</v>
      </c>
      <c r="C963" t="str">
        <f>IF(Table1[[#This Row],[age]]&gt;18,"Adult","Teenage")</f>
        <v>Teenage</v>
      </c>
      <c r="D963">
        <v>6</v>
      </c>
      <c r="E963" t="s">
        <v>20</v>
      </c>
      <c r="F963">
        <v>4.0999999999999996</v>
      </c>
      <c r="G963">
        <f>Table1[[#This Row],[sleep_hours]]-Table1[[#This Row],[daily_social_media_hours]]</f>
        <v>-1.9000000000000004</v>
      </c>
      <c r="H963">
        <v>2.4</v>
      </c>
      <c r="I963">
        <v>2.61</v>
      </c>
      <c r="J963" t="str" cm="1">
        <f t="array" ref="J963">_xlfn.IFS(Table1[[#This Row],[academic_performance]]&gt;1,"Need Improvement",Table1[[#This Row],[academic_performance]]&gt;2,"Good",Table1[[#This Row],[academic_performance]]&gt;3,"Very good",Table1[[#This Row],[academic_performance]]&gt;4,"Excellent")</f>
        <v>Need Improvement</v>
      </c>
      <c r="K963">
        <v>1.1000000000000001</v>
      </c>
      <c r="L963" t="str">
        <f>IF(Table1[[#This Row],[physical_activity]]&gt;1.9,"better overall ","lower rate of depression")</f>
        <v>lower rate of depression</v>
      </c>
      <c r="M963" t="s">
        <v>18</v>
      </c>
      <c r="N963">
        <v>1</v>
      </c>
      <c r="O963">
        <v>6</v>
      </c>
      <c r="P963">
        <v>3</v>
      </c>
      <c r="Q963">
        <v>0</v>
      </c>
    </row>
    <row r="964" spans="1:17" x14ac:dyDescent="0.3">
      <c r="A964">
        <v>15</v>
      </c>
      <c r="B964" t="s">
        <v>13</v>
      </c>
      <c r="C964" t="str">
        <f>IF(Table1[[#This Row],[age]]&gt;18,"Adult","Teenage")</f>
        <v>Teenage</v>
      </c>
      <c r="D964">
        <v>2.2000000000000002</v>
      </c>
      <c r="E964" t="s">
        <v>20</v>
      </c>
      <c r="F964">
        <v>4.5</v>
      </c>
      <c r="G964">
        <f>Table1[[#This Row],[sleep_hours]]-Table1[[#This Row],[daily_social_media_hours]]</f>
        <v>2.2999999999999998</v>
      </c>
      <c r="H964">
        <v>1.3</v>
      </c>
      <c r="I964">
        <v>2.63</v>
      </c>
      <c r="J964" t="str" cm="1">
        <f t="array" ref="J964">_xlfn.IFS(Table1[[#This Row],[academic_performance]]&gt;1,"Need Improvement",Table1[[#This Row],[academic_performance]]&gt;2,"Good",Table1[[#This Row],[academic_performance]]&gt;3,"Very good",Table1[[#This Row],[academic_performance]]&gt;4,"Excellent")</f>
        <v>Need Improvement</v>
      </c>
      <c r="K964">
        <v>1.7</v>
      </c>
      <c r="L964" t="str">
        <f>IF(Table1[[#This Row],[physical_activity]]&gt;1.9,"better overall ","lower rate of depression")</f>
        <v>lower rate of depression</v>
      </c>
      <c r="M964" t="s">
        <v>15</v>
      </c>
      <c r="N964">
        <v>10</v>
      </c>
      <c r="O964">
        <v>2</v>
      </c>
      <c r="P964">
        <v>6</v>
      </c>
      <c r="Q964">
        <v>0</v>
      </c>
    </row>
    <row r="965" spans="1:17" x14ac:dyDescent="0.3">
      <c r="A965">
        <v>18</v>
      </c>
      <c r="B965" t="s">
        <v>13</v>
      </c>
      <c r="C965" t="str">
        <f>IF(Table1[[#This Row],[age]]&gt;18,"Adult","Teenage")</f>
        <v>Teenage</v>
      </c>
      <c r="D965">
        <v>4.3</v>
      </c>
      <c r="E965" t="s">
        <v>17</v>
      </c>
      <c r="F965">
        <v>8.4</v>
      </c>
      <c r="G965">
        <f>Table1[[#This Row],[sleep_hours]]-Table1[[#This Row],[daily_social_media_hours]]</f>
        <v>4.1000000000000005</v>
      </c>
      <c r="H965">
        <v>2.1</v>
      </c>
      <c r="I965">
        <v>2.69</v>
      </c>
      <c r="J965" t="str" cm="1">
        <f t="array" ref="J965">_xlfn.IFS(Table1[[#This Row],[academic_performance]]&gt;1,"Need Improvement",Table1[[#This Row],[academic_performance]]&gt;2,"Good",Table1[[#This Row],[academic_performance]]&gt;3,"Very good",Table1[[#This Row],[academic_performance]]&gt;4,"Excellent")</f>
        <v>Need Improvement</v>
      </c>
      <c r="K965">
        <v>0.2</v>
      </c>
      <c r="L965" t="str">
        <f>IF(Table1[[#This Row],[physical_activity]]&gt;1.9,"better overall ","lower rate of depression")</f>
        <v>lower rate of depression</v>
      </c>
      <c r="M965" t="s">
        <v>15</v>
      </c>
      <c r="N965">
        <v>1</v>
      </c>
      <c r="O965">
        <v>10</v>
      </c>
      <c r="P965">
        <v>8</v>
      </c>
      <c r="Q965">
        <v>0</v>
      </c>
    </row>
    <row r="966" spans="1:17" x14ac:dyDescent="0.3">
      <c r="A966">
        <v>19</v>
      </c>
      <c r="B966" t="s">
        <v>16</v>
      </c>
      <c r="C966" t="str">
        <f>IF(Table1[[#This Row],[age]]&gt;18,"Adult","Teenage")</f>
        <v>Adult</v>
      </c>
      <c r="D966">
        <v>7.5</v>
      </c>
      <c r="E966" t="s">
        <v>17</v>
      </c>
      <c r="F966">
        <v>4.5</v>
      </c>
      <c r="G966">
        <f>Table1[[#This Row],[sleep_hours]]-Table1[[#This Row],[daily_social_media_hours]]</f>
        <v>-3</v>
      </c>
      <c r="H966">
        <v>2.7</v>
      </c>
      <c r="I966">
        <v>2.41</v>
      </c>
      <c r="J966" t="str" cm="1">
        <f t="array" ref="J966">_xlfn.IFS(Table1[[#This Row],[academic_performance]]&gt;1,"Need Improvement",Table1[[#This Row],[academic_performance]]&gt;2,"Good",Table1[[#This Row],[academic_performance]]&gt;3,"Very good",Table1[[#This Row],[academic_performance]]&gt;4,"Excellent")</f>
        <v>Need Improvement</v>
      </c>
      <c r="K966">
        <v>1</v>
      </c>
      <c r="L966" t="str">
        <f>IF(Table1[[#This Row],[physical_activity]]&gt;1.9,"better overall ","lower rate of depression")</f>
        <v>lower rate of depression</v>
      </c>
      <c r="M966" t="s">
        <v>18</v>
      </c>
      <c r="N966">
        <v>3</v>
      </c>
      <c r="O966">
        <v>2</v>
      </c>
      <c r="P966">
        <v>6</v>
      </c>
      <c r="Q966">
        <v>0</v>
      </c>
    </row>
    <row r="967" spans="1:17" x14ac:dyDescent="0.3">
      <c r="A967">
        <v>14</v>
      </c>
      <c r="B967" t="s">
        <v>13</v>
      </c>
      <c r="C967" t="str">
        <f>IF(Table1[[#This Row],[age]]&gt;18,"Adult","Teenage")</f>
        <v>Teenage</v>
      </c>
      <c r="D967">
        <v>5.3</v>
      </c>
      <c r="E967" t="s">
        <v>14</v>
      </c>
      <c r="F967">
        <v>6.8</v>
      </c>
      <c r="G967">
        <f>Table1[[#This Row],[sleep_hours]]-Table1[[#This Row],[daily_social_media_hours]]</f>
        <v>1.5</v>
      </c>
      <c r="H967">
        <v>2.9</v>
      </c>
      <c r="I967">
        <v>2.1800000000000002</v>
      </c>
      <c r="J967" t="str" cm="1">
        <f t="array" ref="J967">_xlfn.IFS(Table1[[#This Row],[academic_performance]]&gt;1,"Need Improvement",Table1[[#This Row],[academic_performance]]&gt;2,"Good",Table1[[#This Row],[academic_performance]]&gt;3,"Very good",Table1[[#This Row],[academic_performance]]&gt;4,"Excellent")</f>
        <v>Need Improvement</v>
      </c>
      <c r="K967">
        <v>0.8</v>
      </c>
      <c r="L967" t="str">
        <f>IF(Table1[[#This Row],[physical_activity]]&gt;1.9,"better overall ","lower rate of depression")</f>
        <v>lower rate of depression</v>
      </c>
      <c r="M967" t="s">
        <v>19</v>
      </c>
      <c r="N967">
        <v>10</v>
      </c>
      <c r="O967">
        <v>1</v>
      </c>
      <c r="P967">
        <v>6</v>
      </c>
      <c r="Q967">
        <v>0</v>
      </c>
    </row>
    <row r="968" spans="1:17" x14ac:dyDescent="0.3">
      <c r="A968">
        <v>14</v>
      </c>
      <c r="B968" t="s">
        <v>16</v>
      </c>
      <c r="C968" t="str">
        <f>IF(Table1[[#This Row],[age]]&gt;18,"Adult","Teenage")</f>
        <v>Teenage</v>
      </c>
      <c r="D968">
        <v>7</v>
      </c>
      <c r="E968" t="s">
        <v>14</v>
      </c>
      <c r="F968">
        <v>6.9</v>
      </c>
      <c r="G968">
        <f>Table1[[#This Row],[sleep_hours]]-Table1[[#This Row],[daily_social_media_hours]]</f>
        <v>-9.9999999999999645E-2</v>
      </c>
      <c r="H968">
        <v>2.1</v>
      </c>
      <c r="I968">
        <v>3.42</v>
      </c>
      <c r="J968" t="str" cm="1">
        <f t="array" ref="J968">_xlfn.IFS(Table1[[#This Row],[academic_performance]]&gt;1,"Need Improvement",Table1[[#This Row],[academic_performance]]&gt;2,"Good",Table1[[#This Row],[academic_performance]]&gt;3,"Very good",Table1[[#This Row],[academic_performance]]&gt;4,"Excellent")</f>
        <v>Need Improvement</v>
      </c>
      <c r="K968">
        <v>1.1000000000000001</v>
      </c>
      <c r="L968" t="str">
        <f>IF(Table1[[#This Row],[physical_activity]]&gt;1.9,"better overall ","lower rate of depression")</f>
        <v>lower rate of depression</v>
      </c>
      <c r="M968" t="s">
        <v>18</v>
      </c>
      <c r="N968">
        <v>10</v>
      </c>
      <c r="O968">
        <v>3</v>
      </c>
      <c r="P968">
        <v>6</v>
      </c>
      <c r="Q968">
        <v>0</v>
      </c>
    </row>
    <row r="969" spans="1:17" x14ac:dyDescent="0.3">
      <c r="A969">
        <v>16</v>
      </c>
      <c r="B969" t="s">
        <v>16</v>
      </c>
      <c r="C969" t="str">
        <f>IF(Table1[[#This Row],[age]]&gt;18,"Adult","Teenage")</f>
        <v>Teenage</v>
      </c>
      <c r="D969">
        <v>2.1</v>
      </c>
      <c r="E969" t="s">
        <v>20</v>
      </c>
      <c r="F969">
        <v>4.5999999999999996</v>
      </c>
      <c r="G969">
        <f>Table1[[#This Row],[sleep_hours]]-Table1[[#This Row],[daily_social_media_hours]]</f>
        <v>2.4999999999999996</v>
      </c>
      <c r="H969">
        <v>2</v>
      </c>
      <c r="I969">
        <v>2.5499999999999998</v>
      </c>
      <c r="J969" t="str" cm="1">
        <f t="array" ref="J969">_xlfn.IFS(Table1[[#This Row],[academic_performance]]&gt;1,"Need Improvement",Table1[[#This Row],[academic_performance]]&gt;2,"Good",Table1[[#This Row],[academic_performance]]&gt;3,"Very good",Table1[[#This Row],[academic_performance]]&gt;4,"Excellent")</f>
        <v>Need Improvement</v>
      </c>
      <c r="K969">
        <v>1.8</v>
      </c>
      <c r="L969" t="str">
        <f>IF(Table1[[#This Row],[physical_activity]]&gt;1.9,"better overall ","lower rate of depression")</f>
        <v>lower rate of depression</v>
      </c>
      <c r="M969" t="s">
        <v>18</v>
      </c>
      <c r="N969">
        <v>5</v>
      </c>
      <c r="O969">
        <v>4</v>
      </c>
      <c r="P969">
        <v>4</v>
      </c>
      <c r="Q969">
        <v>0</v>
      </c>
    </row>
    <row r="970" spans="1:17" x14ac:dyDescent="0.3">
      <c r="A970">
        <v>18</v>
      </c>
      <c r="B970" t="s">
        <v>16</v>
      </c>
      <c r="C970" t="str">
        <f>IF(Table1[[#This Row],[age]]&gt;18,"Adult","Teenage")</f>
        <v>Teenage</v>
      </c>
      <c r="D970">
        <v>7.3</v>
      </c>
      <c r="E970" t="s">
        <v>20</v>
      </c>
      <c r="F970">
        <v>7.3</v>
      </c>
      <c r="G970">
        <f>Table1[[#This Row],[sleep_hours]]-Table1[[#This Row],[daily_social_media_hours]]</f>
        <v>0</v>
      </c>
      <c r="H970">
        <v>2.8</v>
      </c>
      <c r="I970">
        <v>3.3</v>
      </c>
      <c r="J970" t="str" cm="1">
        <f t="array" ref="J970">_xlfn.IFS(Table1[[#This Row],[academic_performance]]&gt;1,"Need Improvement",Table1[[#This Row],[academic_performance]]&gt;2,"Good",Table1[[#This Row],[academic_performance]]&gt;3,"Very good",Table1[[#This Row],[academic_performance]]&gt;4,"Excellent")</f>
        <v>Need Improvement</v>
      </c>
      <c r="K970">
        <v>0.4</v>
      </c>
      <c r="L970" t="str">
        <f>IF(Table1[[#This Row],[physical_activity]]&gt;1.9,"better overall ","lower rate of depression")</f>
        <v>lower rate of depression</v>
      </c>
      <c r="M970" t="s">
        <v>15</v>
      </c>
      <c r="N970">
        <v>1</v>
      </c>
      <c r="O970">
        <v>8</v>
      </c>
      <c r="P970">
        <v>1</v>
      </c>
      <c r="Q970">
        <v>0</v>
      </c>
    </row>
    <row r="971" spans="1:17" x14ac:dyDescent="0.3">
      <c r="A971">
        <v>17</v>
      </c>
      <c r="B971" t="s">
        <v>16</v>
      </c>
      <c r="C971" t="str">
        <f>IF(Table1[[#This Row],[age]]&gt;18,"Adult","Teenage")</f>
        <v>Teenage</v>
      </c>
      <c r="D971">
        <v>2.6</v>
      </c>
      <c r="E971" t="s">
        <v>14</v>
      </c>
      <c r="F971">
        <v>6.5</v>
      </c>
      <c r="G971">
        <f>Table1[[#This Row],[sleep_hours]]-Table1[[#This Row],[daily_social_media_hours]]</f>
        <v>3.9</v>
      </c>
      <c r="H971">
        <v>1.5</v>
      </c>
      <c r="I971">
        <v>3.8</v>
      </c>
      <c r="J971" t="str" cm="1">
        <f t="array" ref="J971">_xlfn.IFS(Table1[[#This Row],[academic_performance]]&gt;1,"Need Improvement",Table1[[#This Row],[academic_performance]]&gt;2,"Good",Table1[[#This Row],[academic_performance]]&gt;3,"Very good",Table1[[#This Row],[academic_performance]]&gt;4,"Excellent")</f>
        <v>Need Improvement</v>
      </c>
      <c r="K971">
        <v>0.2</v>
      </c>
      <c r="L971" t="str">
        <f>IF(Table1[[#This Row],[physical_activity]]&gt;1.9,"better overall ","lower rate of depression")</f>
        <v>lower rate of depression</v>
      </c>
      <c r="M971" t="s">
        <v>18</v>
      </c>
      <c r="N971">
        <v>8</v>
      </c>
      <c r="O971">
        <v>6</v>
      </c>
      <c r="P971">
        <v>1</v>
      </c>
      <c r="Q971">
        <v>0</v>
      </c>
    </row>
    <row r="972" spans="1:17" x14ac:dyDescent="0.3">
      <c r="A972">
        <v>17</v>
      </c>
      <c r="B972" t="s">
        <v>13</v>
      </c>
      <c r="C972" t="str">
        <f>IF(Table1[[#This Row],[age]]&gt;18,"Adult","Teenage")</f>
        <v>Teenage</v>
      </c>
      <c r="D972">
        <v>5.4</v>
      </c>
      <c r="E972" t="s">
        <v>20</v>
      </c>
      <c r="F972">
        <v>4.9000000000000004</v>
      </c>
      <c r="G972">
        <f>Table1[[#This Row],[sleep_hours]]-Table1[[#This Row],[daily_social_media_hours]]</f>
        <v>-0.5</v>
      </c>
      <c r="H972">
        <v>1.5</v>
      </c>
      <c r="I972">
        <v>3.4</v>
      </c>
      <c r="J972" t="str" cm="1">
        <f t="array" ref="J972">_xlfn.IFS(Table1[[#This Row],[academic_performance]]&gt;1,"Need Improvement",Table1[[#This Row],[academic_performance]]&gt;2,"Good",Table1[[#This Row],[academic_performance]]&gt;3,"Very good",Table1[[#This Row],[academic_performance]]&gt;4,"Excellent")</f>
        <v>Need Improvement</v>
      </c>
      <c r="K972">
        <v>0</v>
      </c>
      <c r="L972" t="str">
        <f>IF(Table1[[#This Row],[physical_activity]]&gt;1.9,"better overall ","lower rate of depression")</f>
        <v>lower rate of depression</v>
      </c>
      <c r="M972" t="s">
        <v>19</v>
      </c>
      <c r="N972">
        <v>2</v>
      </c>
      <c r="O972">
        <v>2</v>
      </c>
      <c r="P972">
        <v>1</v>
      </c>
      <c r="Q972">
        <v>0</v>
      </c>
    </row>
    <row r="973" spans="1:17" x14ac:dyDescent="0.3">
      <c r="A973">
        <v>15</v>
      </c>
      <c r="B973" t="s">
        <v>13</v>
      </c>
      <c r="C973" t="str">
        <f>IF(Table1[[#This Row],[age]]&gt;18,"Adult","Teenage")</f>
        <v>Teenage</v>
      </c>
      <c r="D973">
        <v>6.9</v>
      </c>
      <c r="E973" t="s">
        <v>14</v>
      </c>
      <c r="F973">
        <v>6.2</v>
      </c>
      <c r="G973">
        <f>Table1[[#This Row],[sleep_hours]]-Table1[[#This Row],[daily_social_media_hours]]</f>
        <v>-0.70000000000000018</v>
      </c>
      <c r="H973">
        <v>0.6</v>
      </c>
      <c r="I973">
        <v>2.37</v>
      </c>
      <c r="J973" t="str" cm="1">
        <f t="array" ref="J973">_xlfn.IFS(Table1[[#This Row],[academic_performance]]&gt;1,"Need Improvement",Table1[[#This Row],[academic_performance]]&gt;2,"Good",Table1[[#This Row],[academic_performance]]&gt;3,"Very good",Table1[[#This Row],[academic_performance]]&gt;4,"Excellent")</f>
        <v>Need Improvement</v>
      </c>
      <c r="K973">
        <v>0.2</v>
      </c>
      <c r="L973" t="str">
        <f>IF(Table1[[#This Row],[physical_activity]]&gt;1.9,"better overall ","lower rate of depression")</f>
        <v>lower rate of depression</v>
      </c>
      <c r="M973" t="s">
        <v>15</v>
      </c>
      <c r="N973">
        <v>3</v>
      </c>
      <c r="O973">
        <v>1</v>
      </c>
      <c r="P973">
        <v>4</v>
      </c>
      <c r="Q973">
        <v>0</v>
      </c>
    </row>
    <row r="974" spans="1:17" x14ac:dyDescent="0.3">
      <c r="A974">
        <v>19</v>
      </c>
      <c r="B974" t="s">
        <v>16</v>
      </c>
      <c r="C974" t="str">
        <f>IF(Table1[[#This Row],[age]]&gt;18,"Adult","Teenage")</f>
        <v>Adult</v>
      </c>
      <c r="D974">
        <v>3</v>
      </c>
      <c r="E974" t="s">
        <v>14</v>
      </c>
      <c r="F974">
        <v>5.5</v>
      </c>
      <c r="G974">
        <f>Table1[[#This Row],[sleep_hours]]-Table1[[#This Row],[daily_social_media_hours]]</f>
        <v>2.5</v>
      </c>
      <c r="H974">
        <v>2.1</v>
      </c>
      <c r="I974">
        <v>3.08</v>
      </c>
      <c r="J974" t="str" cm="1">
        <f t="array" ref="J974">_xlfn.IFS(Table1[[#This Row],[academic_performance]]&gt;1,"Need Improvement",Table1[[#This Row],[academic_performance]]&gt;2,"Good",Table1[[#This Row],[academic_performance]]&gt;3,"Very good",Table1[[#This Row],[academic_performance]]&gt;4,"Excellent")</f>
        <v>Need Improvement</v>
      </c>
      <c r="K974">
        <v>0.7</v>
      </c>
      <c r="L974" t="str">
        <f>IF(Table1[[#This Row],[physical_activity]]&gt;1.9,"better overall ","lower rate of depression")</f>
        <v>lower rate of depression</v>
      </c>
      <c r="M974" t="s">
        <v>15</v>
      </c>
      <c r="N974">
        <v>9</v>
      </c>
      <c r="O974">
        <v>3</v>
      </c>
      <c r="P974">
        <v>5</v>
      </c>
      <c r="Q974">
        <v>0</v>
      </c>
    </row>
    <row r="975" spans="1:17" x14ac:dyDescent="0.3">
      <c r="A975">
        <v>18</v>
      </c>
      <c r="B975" t="s">
        <v>13</v>
      </c>
      <c r="C975" t="str">
        <f>IF(Table1[[#This Row],[age]]&gt;18,"Adult","Teenage")</f>
        <v>Teenage</v>
      </c>
      <c r="D975">
        <v>1.3</v>
      </c>
      <c r="E975" t="s">
        <v>14</v>
      </c>
      <c r="F975">
        <v>4.5</v>
      </c>
      <c r="G975">
        <f>Table1[[#This Row],[sleep_hours]]-Table1[[#This Row],[daily_social_media_hours]]</f>
        <v>3.2</v>
      </c>
      <c r="H975">
        <v>2.2999999999999998</v>
      </c>
      <c r="I975">
        <v>2.2799999999999998</v>
      </c>
      <c r="J975" t="str" cm="1">
        <f t="array" ref="J975">_xlfn.IFS(Table1[[#This Row],[academic_performance]]&gt;1,"Need Improvement",Table1[[#This Row],[academic_performance]]&gt;2,"Good",Table1[[#This Row],[academic_performance]]&gt;3,"Very good",Table1[[#This Row],[academic_performance]]&gt;4,"Excellent")</f>
        <v>Need Improvement</v>
      </c>
      <c r="K975">
        <v>1</v>
      </c>
      <c r="L975" t="str">
        <f>IF(Table1[[#This Row],[physical_activity]]&gt;1.9,"better overall ","lower rate of depression")</f>
        <v>lower rate of depression</v>
      </c>
      <c r="M975" t="s">
        <v>15</v>
      </c>
      <c r="N975">
        <v>2</v>
      </c>
      <c r="O975">
        <v>7</v>
      </c>
      <c r="P975">
        <v>8</v>
      </c>
      <c r="Q975">
        <v>0</v>
      </c>
    </row>
    <row r="976" spans="1:17" x14ac:dyDescent="0.3">
      <c r="A976">
        <v>15</v>
      </c>
      <c r="B976" t="s">
        <v>13</v>
      </c>
      <c r="C976" t="str">
        <f>IF(Table1[[#This Row],[age]]&gt;18,"Adult","Teenage")</f>
        <v>Teenage</v>
      </c>
      <c r="D976">
        <v>6.2</v>
      </c>
      <c r="E976" t="s">
        <v>20</v>
      </c>
      <c r="F976">
        <v>6.4</v>
      </c>
      <c r="G976">
        <f>Table1[[#This Row],[sleep_hours]]-Table1[[#This Row],[daily_social_media_hours]]</f>
        <v>0.20000000000000018</v>
      </c>
      <c r="H976">
        <v>1.4</v>
      </c>
      <c r="I976">
        <v>3.34</v>
      </c>
      <c r="J976" t="str" cm="1">
        <f t="array" ref="J976">_xlfn.IFS(Table1[[#This Row],[academic_performance]]&gt;1,"Need Improvement",Table1[[#This Row],[academic_performance]]&gt;2,"Good",Table1[[#This Row],[academic_performance]]&gt;3,"Very good",Table1[[#This Row],[academic_performance]]&gt;4,"Excellent")</f>
        <v>Need Improvement</v>
      </c>
      <c r="K976">
        <v>0.9</v>
      </c>
      <c r="L976" t="str">
        <f>IF(Table1[[#This Row],[physical_activity]]&gt;1.9,"better overall ","lower rate of depression")</f>
        <v>lower rate of depression</v>
      </c>
      <c r="M976" t="s">
        <v>18</v>
      </c>
      <c r="N976">
        <v>8</v>
      </c>
      <c r="O976">
        <v>9</v>
      </c>
      <c r="P976">
        <v>9</v>
      </c>
      <c r="Q976">
        <v>0</v>
      </c>
    </row>
    <row r="977" spans="1:17" x14ac:dyDescent="0.3">
      <c r="A977">
        <v>15</v>
      </c>
      <c r="B977" t="s">
        <v>13</v>
      </c>
      <c r="C977" t="str">
        <f>IF(Table1[[#This Row],[age]]&gt;18,"Adult","Teenage")</f>
        <v>Teenage</v>
      </c>
      <c r="D977">
        <v>3.6</v>
      </c>
      <c r="E977" t="s">
        <v>14</v>
      </c>
      <c r="F977">
        <v>5.5</v>
      </c>
      <c r="G977">
        <f>Table1[[#This Row],[sleep_hours]]-Table1[[#This Row],[daily_social_media_hours]]</f>
        <v>1.9</v>
      </c>
      <c r="H977">
        <v>1.2</v>
      </c>
      <c r="I977">
        <v>2.4900000000000002</v>
      </c>
      <c r="J977" t="str" cm="1">
        <f t="array" ref="J977">_xlfn.IFS(Table1[[#This Row],[academic_performance]]&gt;1,"Need Improvement",Table1[[#This Row],[academic_performance]]&gt;2,"Good",Table1[[#This Row],[academic_performance]]&gt;3,"Very good",Table1[[#This Row],[academic_performance]]&gt;4,"Excellent")</f>
        <v>Need Improvement</v>
      </c>
      <c r="K977">
        <v>1.9</v>
      </c>
      <c r="L977" t="str">
        <f>IF(Table1[[#This Row],[physical_activity]]&gt;1.9,"better overall ","lower rate of depression")</f>
        <v>lower rate of depression</v>
      </c>
      <c r="M977" t="s">
        <v>15</v>
      </c>
      <c r="N977">
        <v>1</v>
      </c>
      <c r="O977">
        <v>4</v>
      </c>
      <c r="P977">
        <v>9</v>
      </c>
      <c r="Q977">
        <v>0</v>
      </c>
    </row>
    <row r="978" spans="1:17" x14ac:dyDescent="0.3">
      <c r="A978">
        <v>18</v>
      </c>
      <c r="B978" t="s">
        <v>16</v>
      </c>
      <c r="C978" t="str">
        <f>IF(Table1[[#This Row],[age]]&gt;18,"Adult","Teenage")</f>
        <v>Teenage</v>
      </c>
      <c r="D978">
        <v>6.5</v>
      </c>
      <c r="E978" t="s">
        <v>20</v>
      </c>
      <c r="F978">
        <v>6.7</v>
      </c>
      <c r="G978">
        <f>Table1[[#This Row],[sleep_hours]]-Table1[[#This Row],[daily_social_media_hours]]</f>
        <v>0.20000000000000018</v>
      </c>
      <c r="H978">
        <v>2.5</v>
      </c>
      <c r="I978">
        <v>2.98</v>
      </c>
      <c r="J978" t="str" cm="1">
        <f t="array" ref="J978">_xlfn.IFS(Table1[[#This Row],[academic_performance]]&gt;1,"Need Improvement",Table1[[#This Row],[academic_performance]]&gt;2,"Good",Table1[[#This Row],[academic_performance]]&gt;3,"Very good",Table1[[#This Row],[academic_performance]]&gt;4,"Excellent")</f>
        <v>Need Improvement</v>
      </c>
      <c r="K978">
        <v>0.1</v>
      </c>
      <c r="L978" t="str">
        <f>IF(Table1[[#This Row],[physical_activity]]&gt;1.9,"better overall ","lower rate of depression")</f>
        <v>lower rate of depression</v>
      </c>
      <c r="M978" t="s">
        <v>18</v>
      </c>
      <c r="N978">
        <v>9</v>
      </c>
      <c r="O978">
        <v>7</v>
      </c>
      <c r="P978">
        <v>7</v>
      </c>
      <c r="Q978">
        <v>0</v>
      </c>
    </row>
    <row r="979" spans="1:17" x14ac:dyDescent="0.3">
      <c r="A979">
        <v>17</v>
      </c>
      <c r="B979" t="s">
        <v>16</v>
      </c>
      <c r="C979" t="str">
        <f>IF(Table1[[#This Row],[age]]&gt;18,"Adult","Teenage")</f>
        <v>Teenage</v>
      </c>
      <c r="D979">
        <v>5.3</v>
      </c>
      <c r="E979" t="s">
        <v>14</v>
      </c>
      <c r="F979">
        <v>6.6</v>
      </c>
      <c r="G979">
        <f>Table1[[#This Row],[sleep_hours]]-Table1[[#This Row],[daily_social_media_hours]]</f>
        <v>1.2999999999999998</v>
      </c>
      <c r="H979">
        <v>0.6</v>
      </c>
      <c r="I979">
        <v>3.04</v>
      </c>
      <c r="J979" t="str" cm="1">
        <f t="array" ref="J979">_xlfn.IFS(Table1[[#This Row],[academic_performance]]&gt;1,"Need Improvement",Table1[[#This Row],[academic_performance]]&gt;2,"Good",Table1[[#This Row],[academic_performance]]&gt;3,"Very good",Table1[[#This Row],[academic_performance]]&gt;4,"Excellent")</f>
        <v>Need Improvement</v>
      </c>
      <c r="K979">
        <v>0.1</v>
      </c>
      <c r="L979" t="str">
        <f>IF(Table1[[#This Row],[physical_activity]]&gt;1.9,"better overall ","lower rate of depression")</f>
        <v>lower rate of depression</v>
      </c>
      <c r="M979" t="s">
        <v>18</v>
      </c>
      <c r="N979">
        <v>3</v>
      </c>
      <c r="O979">
        <v>7</v>
      </c>
      <c r="P979">
        <v>1</v>
      </c>
      <c r="Q979">
        <v>0</v>
      </c>
    </row>
    <row r="980" spans="1:17" x14ac:dyDescent="0.3">
      <c r="A980">
        <v>16</v>
      </c>
      <c r="B980" t="s">
        <v>13</v>
      </c>
      <c r="C980" t="str">
        <f>IF(Table1[[#This Row],[age]]&gt;18,"Adult","Teenage")</f>
        <v>Teenage</v>
      </c>
      <c r="D980">
        <v>4.5999999999999996</v>
      </c>
      <c r="E980" t="s">
        <v>20</v>
      </c>
      <c r="F980">
        <v>5.3</v>
      </c>
      <c r="G980">
        <f>Table1[[#This Row],[sleep_hours]]-Table1[[#This Row],[daily_social_media_hours]]</f>
        <v>0.70000000000000018</v>
      </c>
      <c r="H980">
        <v>1.3</v>
      </c>
      <c r="I980">
        <v>3.76</v>
      </c>
      <c r="J980" t="str" cm="1">
        <f t="array" ref="J980">_xlfn.IFS(Table1[[#This Row],[academic_performance]]&gt;1,"Need Improvement",Table1[[#This Row],[academic_performance]]&gt;2,"Good",Table1[[#This Row],[academic_performance]]&gt;3,"Very good",Table1[[#This Row],[academic_performance]]&gt;4,"Excellent")</f>
        <v>Need Improvement</v>
      </c>
      <c r="K980">
        <v>0.5</v>
      </c>
      <c r="L980" t="str">
        <f>IF(Table1[[#This Row],[physical_activity]]&gt;1.9,"better overall ","lower rate of depression")</f>
        <v>lower rate of depression</v>
      </c>
      <c r="M980" t="s">
        <v>19</v>
      </c>
      <c r="N980">
        <v>3</v>
      </c>
      <c r="O980">
        <v>8</v>
      </c>
      <c r="P980">
        <v>8</v>
      </c>
      <c r="Q980">
        <v>0</v>
      </c>
    </row>
    <row r="981" spans="1:17" x14ac:dyDescent="0.3">
      <c r="A981">
        <v>18</v>
      </c>
      <c r="B981" t="s">
        <v>13</v>
      </c>
      <c r="C981" t="str">
        <f>IF(Table1[[#This Row],[age]]&gt;18,"Adult","Teenage")</f>
        <v>Teenage</v>
      </c>
      <c r="D981">
        <v>7.7</v>
      </c>
      <c r="E981" t="s">
        <v>20</v>
      </c>
      <c r="F981">
        <v>6.6</v>
      </c>
      <c r="G981">
        <f>Table1[[#This Row],[sleep_hours]]-Table1[[#This Row],[daily_social_media_hours]]</f>
        <v>-1.1000000000000005</v>
      </c>
      <c r="H981">
        <v>1.6</v>
      </c>
      <c r="I981">
        <v>4</v>
      </c>
      <c r="J981" t="str" cm="1">
        <f t="array" ref="J981">_xlfn.IFS(Table1[[#This Row],[academic_performance]]&gt;1,"Need Improvement",Table1[[#This Row],[academic_performance]]&gt;2,"Good",Table1[[#This Row],[academic_performance]]&gt;3,"Very good",Table1[[#This Row],[academic_performance]]&gt;4,"Excellent")</f>
        <v>Need Improvement</v>
      </c>
      <c r="K981">
        <v>1.9</v>
      </c>
      <c r="L981" t="str">
        <f>IF(Table1[[#This Row],[physical_activity]]&gt;1.9,"better overall ","lower rate of depression")</f>
        <v>lower rate of depression</v>
      </c>
      <c r="M981" t="s">
        <v>18</v>
      </c>
      <c r="N981">
        <v>3</v>
      </c>
      <c r="O981">
        <v>3</v>
      </c>
      <c r="P981">
        <v>9</v>
      </c>
      <c r="Q981">
        <v>0</v>
      </c>
    </row>
    <row r="982" spans="1:17" x14ac:dyDescent="0.3">
      <c r="A982">
        <v>19</v>
      </c>
      <c r="B982" t="s">
        <v>13</v>
      </c>
      <c r="C982" t="str">
        <f>IF(Table1[[#This Row],[age]]&gt;18,"Adult","Teenage")</f>
        <v>Adult</v>
      </c>
      <c r="D982">
        <v>7.1</v>
      </c>
      <c r="E982" t="s">
        <v>17</v>
      </c>
      <c r="F982">
        <v>8.4</v>
      </c>
      <c r="G982">
        <f>Table1[[#This Row],[sleep_hours]]-Table1[[#This Row],[daily_social_media_hours]]</f>
        <v>1.3000000000000007</v>
      </c>
      <c r="H982">
        <v>1.8</v>
      </c>
      <c r="I982">
        <v>2.93</v>
      </c>
      <c r="J982" t="str" cm="1">
        <f t="array" ref="J982">_xlfn.IFS(Table1[[#This Row],[academic_performance]]&gt;1,"Need Improvement",Table1[[#This Row],[academic_performance]]&gt;2,"Good",Table1[[#This Row],[academic_performance]]&gt;3,"Very good",Table1[[#This Row],[academic_performance]]&gt;4,"Excellent")</f>
        <v>Need Improvement</v>
      </c>
      <c r="K982">
        <v>1.3</v>
      </c>
      <c r="L982" t="str">
        <f>IF(Table1[[#This Row],[physical_activity]]&gt;1.9,"better overall ","lower rate of depression")</f>
        <v>lower rate of depression</v>
      </c>
      <c r="M982" t="s">
        <v>19</v>
      </c>
      <c r="N982">
        <v>1</v>
      </c>
      <c r="O982">
        <v>6</v>
      </c>
      <c r="P982">
        <v>8</v>
      </c>
      <c r="Q982">
        <v>0</v>
      </c>
    </row>
    <row r="983" spans="1:17" x14ac:dyDescent="0.3">
      <c r="A983">
        <v>16</v>
      </c>
      <c r="B983" t="s">
        <v>13</v>
      </c>
      <c r="C983" t="str">
        <f>IF(Table1[[#This Row],[age]]&gt;18,"Adult","Teenage")</f>
        <v>Teenage</v>
      </c>
      <c r="D983">
        <v>3.9</v>
      </c>
      <c r="E983" t="s">
        <v>17</v>
      </c>
      <c r="F983">
        <v>7.5</v>
      </c>
      <c r="G983">
        <f>Table1[[#This Row],[sleep_hours]]-Table1[[#This Row],[daily_social_media_hours]]</f>
        <v>3.6</v>
      </c>
      <c r="H983">
        <v>2.1</v>
      </c>
      <c r="I983">
        <v>3.24</v>
      </c>
      <c r="J983" t="str" cm="1">
        <f t="array" ref="J983">_xlfn.IFS(Table1[[#This Row],[academic_performance]]&gt;1,"Need Improvement",Table1[[#This Row],[academic_performance]]&gt;2,"Good",Table1[[#This Row],[academic_performance]]&gt;3,"Very good",Table1[[#This Row],[academic_performance]]&gt;4,"Excellent")</f>
        <v>Need Improvement</v>
      </c>
      <c r="K983">
        <v>0.9</v>
      </c>
      <c r="L983" t="str">
        <f>IF(Table1[[#This Row],[physical_activity]]&gt;1.9,"better overall ","lower rate of depression")</f>
        <v>lower rate of depression</v>
      </c>
      <c r="M983" t="s">
        <v>15</v>
      </c>
      <c r="N983">
        <v>4</v>
      </c>
      <c r="O983">
        <v>3</v>
      </c>
      <c r="P983">
        <v>2</v>
      </c>
      <c r="Q983">
        <v>0</v>
      </c>
    </row>
    <row r="984" spans="1:17" x14ac:dyDescent="0.3">
      <c r="A984">
        <v>19</v>
      </c>
      <c r="B984" t="s">
        <v>16</v>
      </c>
      <c r="C984" t="str">
        <f>IF(Table1[[#This Row],[age]]&gt;18,"Adult","Teenage")</f>
        <v>Adult</v>
      </c>
      <c r="D984">
        <v>7.5</v>
      </c>
      <c r="E984" t="s">
        <v>17</v>
      </c>
      <c r="F984">
        <v>8.6</v>
      </c>
      <c r="G984">
        <f>Table1[[#This Row],[sleep_hours]]-Table1[[#This Row],[daily_social_media_hours]]</f>
        <v>1.0999999999999996</v>
      </c>
      <c r="H984">
        <v>0.9</v>
      </c>
      <c r="I984">
        <v>2.25</v>
      </c>
      <c r="J984" t="str" cm="1">
        <f t="array" ref="J984">_xlfn.IFS(Table1[[#This Row],[academic_performance]]&gt;1,"Need Improvement",Table1[[#This Row],[academic_performance]]&gt;2,"Good",Table1[[#This Row],[academic_performance]]&gt;3,"Very good",Table1[[#This Row],[academic_performance]]&gt;4,"Excellent")</f>
        <v>Need Improvement</v>
      </c>
      <c r="K984">
        <v>1.6</v>
      </c>
      <c r="L984" t="str">
        <f>IF(Table1[[#This Row],[physical_activity]]&gt;1.9,"better overall ","lower rate of depression")</f>
        <v>lower rate of depression</v>
      </c>
      <c r="M984" t="s">
        <v>18</v>
      </c>
      <c r="N984">
        <v>9</v>
      </c>
      <c r="O984">
        <v>8</v>
      </c>
      <c r="P984">
        <v>4</v>
      </c>
      <c r="Q984">
        <v>0</v>
      </c>
    </row>
    <row r="985" spans="1:17" x14ac:dyDescent="0.3">
      <c r="A985">
        <v>18</v>
      </c>
      <c r="B985" t="s">
        <v>13</v>
      </c>
      <c r="C985" t="str">
        <f>IF(Table1[[#This Row],[age]]&gt;18,"Adult","Teenage")</f>
        <v>Teenage</v>
      </c>
      <c r="D985">
        <v>5.8</v>
      </c>
      <c r="E985" t="s">
        <v>17</v>
      </c>
      <c r="F985">
        <v>7.5</v>
      </c>
      <c r="G985">
        <f>Table1[[#This Row],[sleep_hours]]-Table1[[#This Row],[daily_social_media_hours]]</f>
        <v>1.7000000000000002</v>
      </c>
      <c r="H985">
        <v>2.2000000000000002</v>
      </c>
      <c r="I985">
        <v>3.65</v>
      </c>
      <c r="J985" t="str" cm="1">
        <f t="array" ref="J985">_xlfn.IFS(Table1[[#This Row],[academic_performance]]&gt;1,"Need Improvement",Table1[[#This Row],[academic_performance]]&gt;2,"Good",Table1[[#This Row],[academic_performance]]&gt;3,"Very good",Table1[[#This Row],[academic_performance]]&gt;4,"Excellent")</f>
        <v>Need Improvement</v>
      </c>
      <c r="K985">
        <v>1.4</v>
      </c>
      <c r="L985" t="str">
        <f>IF(Table1[[#This Row],[physical_activity]]&gt;1.9,"better overall ","lower rate of depression")</f>
        <v>lower rate of depression</v>
      </c>
      <c r="M985" t="s">
        <v>19</v>
      </c>
      <c r="N985">
        <v>4</v>
      </c>
      <c r="O985">
        <v>4</v>
      </c>
      <c r="P985">
        <v>8</v>
      </c>
      <c r="Q985">
        <v>0</v>
      </c>
    </row>
    <row r="986" spans="1:17" x14ac:dyDescent="0.3">
      <c r="A986">
        <v>17</v>
      </c>
      <c r="B986" t="s">
        <v>16</v>
      </c>
      <c r="C986" t="str">
        <f>IF(Table1[[#This Row],[age]]&gt;18,"Adult","Teenage")</f>
        <v>Teenage</v>
      </c>
      <c r="D986">
        <v>7.6</v>
      </c>
      <c r="E986" t="s">
        <v>14</v>
      </c>
      <c r="F986">
        <v>7.3</v>
      </c>
      <c r="G986">
        <f>Table1[[#This Row],[sleep_hours]]-Table1[[#This Row],[daily_social_media_hours]]</f>
        <v>-0.29999999999999982</v>
      </c>
      <c r="H986">
        <v>2.9</v>
      </c>
      <c r="I986">
        <v>2.99</v>
      </c>
      <c r="J986" t="str" cm="1">
        <f t="array" ref="J986">_xlfn.IFS(Table1[[#This Row],[academic_performance]]&gt;1,"Need Improvement",Table1[[#This Row],[academic_performance]]&gt;2,"Good",Table1[[#This Row],[academic_performance]]&gt;3,"Very good",Table1[[#This Row],[academic_performance]]&gt;4,"Excellent")</f>
        <v>Need Improvement</v>
      </c>
      <c r="K986">
        <v>1.2</v>
      </c>
      <c r="L986" t="str">
        <f>IF(Table1[[#This Row],[physical_activity]]&gt;1.9,"better overall ","lower rate of depression")</f>
        <v>lower rate of depression</v>
      </c>
      <c r="M986" t="s">
        <v>18</v>
      </c>
      <c r="N986">
        <v>4</v>
      </c>
      <c r="O986">
        <v>8</v>
      </c>
      <c r="P986">
        <v>10</v>
      </c>
      <c r="Q986">
        <v>0</v>
      </c>
    </row>
    <row r="987" spans="1:17" x14ac:dyDescent="0.3">
      <c r="A987">
        <v>19</v>
      </c>
      <c r="B987" t="s">
        <v>16</v>
      </c>
      <c r="C987" t="str">
        <f>IF(Table1[[#This Row],[age]]&gt;18,"Adult","Teenage")</f>
        <v>Adult</v>
      </c>
      <c r="D987">
        <v>4.4000000000000004</v>
      </c>
      <c r="E987" t="s">
        <v>14</v>
      </c>
      <c r="F987">
        <v>7.4</v>
      </c>
      <c r="G987">
        <f>Table1[[#This Row],[sleep_hours]]-Table1[[#This Row],[daily_social_media_hours]]</f>
        <v>3</v>
      </c>
      <c r="H987">
        <v>2.8</v>
      </c>
      <c r="I987">
        <v>3.28</v>
      </c>
      <c r="J987" t="str" cm="1">
        <f t="array" ref="J987">_xlfn.IFS(Table1[[#This Row],[academic_performance]]&gt;1,"Need Improvement",Table1[[#This Row],[academic_performance]]&gt;2,"Good",Table1[[#This Row],[academic_performance]]&gt;3,"Very good",Table1[[#This Row],[academic_performance]]&gt;4,"Excellent")</f>
        <v>Need Improvement</v>
      </c>
      <c r="K987">
        <v>1.5</v>
      </c>
      <c r="L987" t="str">
        <f>IF(Table1[[#This Row],[physical_activity]]&gt;1.9,"better overall ","lower rate of depression")</f>
        <v>lower rate of depression</v>
      </c>
      <c r="M987" t="s">
        <v>19</v>
      </c>
      <c r="N987">
        <v>7</v>
      </c>
      <c r="O987">
        <v>5</v>
      </c>
      <c r="P987">
        <v>4</v>
      </c>
      <c r="Q987">
        <v>0</v>
      </c>
    </row>
    <row r="988" spans="1:17" x14ac:dyDescent="0.3">
      <c r="A988">
        <v>19</v>
      </c>
      <c r="B988" t="s">
        <v>13</v>
      </c>
      <c r="C988" t="str">
        <f>IF(Table1[[#This Row],[age]]&gt;18,"Adult","Teenage")</f>
        <v>Adult</v>
      </c>
      <c r="D988">
        <v>4.5999999999999996</v>
      </c>
      <c r="E988" t="s">
        <v>20</v>
      </c>
      <c r="F988">
        <v>4.5999999999999996</v>
      </c>
      <c r="G988">
        <f>Table1[[#This Row],[sleep_hours]]-Table1[[#This Row],[daily_social_media_hours]]</f>
        <v>0</v>
      </c>
      <c r="H988">
        <v>2.5</v>
      </c>
      <c r="I988">
        <v>2.4</v>
      </c>
      <c r="J988" t="str" cm="1">
        <f t="array" ref="J988">_xlfn.IFS(Table1[[#This Row],[academic_performance]]&gt;1,"Need Improvement",Table1[[#This Row],[academic_performance]]&gt;2,"Good",Table1[[#This Row],[academic_performance]]&gt;3,"Very good",Table1[[#This Row],[academic_performance]]&gt;4,"Excellent")</f>
        <v>Need Improvement</v>
      </c>
      <c r="K988">
        <v>1</v>
      </c>
      <c r="L988" t="str">
        <f>IF(Table1[[#This Row],[physical_activity]]&gt;1.9,"better overall ","lower rate of depression")</f>
        <v>lower rate of depression</v>
      </c>
      <c r="M988" t="s">
        <v>18</v>
      </c>
      <c r="N988">
        <v>10</v>
      </c>
      <c r="O988">
        <v>10</v>
      </c>
      <c r="P988">
        <v>8</v>
      </c>
      <c r="Q988">
        <v>0</v>
      </c>
    </row>
    <row r="989" spans="1:17" x14ac:dyDescent="0.3">
      <c r="A989">
        <v>18</v>
      </c>
      <c r="B989" t="s">
        <v>16</v>
      </c>
      <c r="C989" t="str">
        <f>IF(Table1[[#This Row],[age]]&gt;18,"Adult","Teenage")</f>
        <v>Teenage</v>
      </c>
      <c r="D989">
        <v>7</v>
      </c>
      <c r="E989" t="s">
        <v>20</v>
      </c>
      <c r="F989">
        <v>8.9</v>
      </c>
      <c r="G989">
        <f>Table1[[#This Row],[sleep_hours]]-Table1[[#This Row],[daily_social_media_hours]]</f>
        <v>1.9000000000000004</v>
      </c>
      <c r="H989">
        <v>0.7</v>
      </c>
      <c r="I989">
        <v>2.79</v>
      </c>
      <c r="J989" t="str" cm="1">
        <f t="array" ref="J989">_xlfn.IFS(Table1[[#This Row],[academic_performance]]&gt;1,"Need Improvement",Table1[[#This Row],[academic_performance]]&gt;2,"Good",Table1[[#This Row],[academic_performance]]&gt;3,"Very good",Table1[[#This Row],[academic_performance]]&gt;4,"Excellent")</f>
        <v>Need Improvement</v>
      </c>
      <c r="K989">
        <v>0.4</v>
      </c>
      <c r="L989" t="str">
        <f>IF(Table1[[#This Row],[physical_activity]]&gt;1.9,"better overall ","lower rate of depression")</f>
        <v>lower rate of depression</v>
      </c>
      <c r="M989" t="s">
        <v>19</v>
      </c>
      <c r="N989">
        <v>2</v>
      </c>
      <c r="O989">
        <v>10</v>
      </c>
      <c r="P989">
        <v>8</v>
      </c>
      <c r="Q989">
        <v>0</v>
      </c>
    </row>
    <row r="990" spans="1:17" x14ac:dyDescent="0.3">
      <c r="A990">
        <v>16</v>
      </c>
      <c r="B990" t="s">
        <v>16</v>
      </c>
      <c r="C990" t="str">
        <f>IF(Table1[[#This Row],[age]]&gt;18,"Adult","Teenage")</f>
        <v>Teenage</v>
      </c>
      <c r="D990">
        <v>3.6</v>
      </c>
      <c r="E990" t="s">
        <v>17</v>
      </c>
      <c r="F990">
        <v>8.8000000000000007</v>
      </c>
      <c r="G990">
        <f>Table1[[#This Row],[sleep_hours]]-Table1[[#This Row],[daily_social_media_hours]]</f>
        <v>5.2000000000000011</v>
      </c>
      <c r="H990">
        <v>1.2</v>
      </c>
      <c r="I990">
        <v>2.3199999999999998</v>
      </c>
      <c r="J990" t="str" cm="1">
        <f t="array" ref="J990">_xlfn.IFS(Table1[[#This Row],[academic_performance]]&gt;1,"Need Improvement",Table1[[#This Row],[academic_performance]]&gt;2,"Good",Table1[[#This Row],[academic_performance]]&gt;3,"Very good",Table1[[#This Row],[academic_performance]]&gt;4,"Excellent")</f>
        <v>Need Improvement</v>
      </c>
      <c r="K990">
        <v>0.5</v>
      </c>
      <c r="L990" t="str">
        <f>IF(Table1[[#This Row],[physical_activity]]&gt;1.9,"better overall ","lower rate of depression")</f>
        <v>lower rate of depression</v>
      </c>
      <c r="M990" t="s">
        <v>15</v>
      </c>
      <c r="N990">
        <v>2</v>
      </c>
      <c r="O990">
        <v>4</v>
      </c>
      <c r="P990">
        <v>5</v>
      </c>
      <c r="Q990">
        <v>0</v>
      </c>
    </row>
    <row r="991" spans="1:17" x14ac:dyDescent="0.3">
      <c r="A991">
        <v>15</v>
      </c>
      <c r="B991" t="s">
        <v>16</v>
      </c>
      <c r="C991" t="str">
        <f>IF(Table1[[#This Row],[age]]&gt;18,"Adult","Teenage")</f>
        <v>Teenage</v>
      </c>
      <c r="D991">
        <v>3</v>
      </c>
      <c r="E991" t="s">
        <v>17</v>
      </c>
      <c r="F991">
        <v>6.6</v>
      </c>
      <c r="G991">
        <f>Table1[[#This Row],[sleep_hours]]-Table1[[#This Row],[daily_social_media_hours]]</f>
        <v>3.5999999999999996</v>
      </c>
      <c r="H991">
        <v>0.9</v>
      </c>
      <c r="I991">
        <v>2.69</v>
      </c>
      <c r="J991" t="str" cm="1">
        <f t="array" ref="J991">_xlfn.IFS(Table1[[#This Row],[academic_performance]]&gt;1,"Need Improvement",Table1[[#This Row],[academic_performance]]&gt;2,"Good",Table1[[#This Row],[academic_performance]]&gt;3,"Very good",Table1[[#This Row],[academic_performance]]&gt;4,"Excellent")</f>
        <v>Need Improvement</v>
      </c>
      <c r="K991">
        <v>1.8</v>
      </c>
      <c r="L991" t="str">
        <f>IF(Table1[[#This Row],[physical_activity]]&gt;1.9,"better overall ","lower rate of depression")</f>
        <v>lower rate of depression</v>
      </c>
      <c r="M991" t="s">
        <v>19</v>
      </c>
      <c r="N991">
        <v>1</v>
      </c>
      <c r="O991">
        <v>2</v>
      </c>
      <c r="P991">
        <v>2</v>
      </c>
      <c r="Q991">
        <v>0</v>
      </c>
    </row>
    <row r="992" spans="1:17" x14ac:dyDescent="0.3">
      <c r="A992">
        <v>19</v>
      </c>
      <c r="B992" t="s">
        <v>16</v>
      </c>
      <c r="C992" t="str">
        <f>IF(Table1[[#This Row],[age]]&gt;18,"Adult","Teenage")</f>
        <v>Adult</v>
      </c>
      <c r="D992">
        <v>7.2</v>
      </c>
      <c r="E992" t="s">
        <v>14</v>
      </c>
      <c r="F992">
        <v>6.4</v>
      </c>
      <c r="G992">
        <f>Table1[[#This Row],[sleep_hours]]-Table1[[#This Row],[daily_social_media_hours]]</f>
        <v>-0.79999999999999982</v>
      </c>
      <c r="H992">
        <v>2.9</v>
      </c>
      <c r="I992">
        <v>3.82</v>
      </c>
      <c r="J992" t="str" cm="1">
        <f t="array" ref="J992">_xlfn.IFS(Table1[[#This Row],[academic_performance]]&gt;1,"Need Improvement",Table1[[#This Row],[academic_performance]]&gt;2,"Good",Table1[[#This Row],[academic_performance]]&gt;3,"Very good",Table1[[#This Row],[academic_performance]]&gt;4,"Excellent")</f>
        <v>Need Improvement</v>
      </c>
      <c r="K992">
        <v>1</v>
      </c>
      <c r="L992" t="str">
        <f>IF(Table1[[#This Row],[physical_activity]]&gt;1.9,"better overall ","lower rate of depression")</f>
        <v>lower rate of depression</v>
      </c>
      <c r="M992" t="s">
        <v>19</v>
      </c>
      <c r="N992">
        <v>5</v>
      </c>
      <c r="O992">
        <v>4</v>
      </c>
      <c r="P992">
        <v>5</v>
      </c>
      <c r="Q992">
        <v>0</v>
      </c>
    </row>
    <row r="993" spans="1:17" x14ac:dyDescent="0.3">
      <c r="A993">
        <v>15</v>
      </c>
      <c r="B993" t="s">
        <v>16</v>
      </c>
      <c r="C993" t="str">
        <f>IF(Table1[[#This Row],[age]]&gt;18,"Adult","Teenage")</f>
        <v>Teenage</v>
      </c>
      <c r="D993">
        <v>5.6</v>
      </c>
      <c r="E993" t="s">
        <v>20</v>
      </c>
      <c r="F993">
        <v>5.9</v>
      </c>
      <c r="G993">
        <f>Table1[[#This Row],[sleep_hours]]-Table1[[#This Row],[daily_social_media_hours]]</f>
        <v>0.30000000000000071</v>
      </c>
      <c r="H993">
        <v>2</v>
      </c>
      <c r="I993">
        <v>2.97</v>
      </c>
      <c r="J993" t="str" cm="1">
        <f t="array" ref="J993">_xlfn.IFS(Table1[[#This Row],[academic_performance]]&gt;1,"Need Improvement",Table1[[#This Row],[academic_performance]]&gt;2,"Good",Table1[[#This Row],[academic_performance]]&gt;3,"Very good",Table1[[#This Row],[academic_performance]]&gt;4,"Excellent")</f>
        <v>Need Improvement</v>
      </c>
      <c r="K993">
        <v>0.6</v>
      </c>
      <c r="L993" t="str">
        <f>IF(Table1[[#This Row],[physical_activity]]&gt;1.9,"better overall ","lower rate of depression")</f>
        <v>lower rate of depression</v>
      </c>
      <c r="M993" t="s">
        <v>15</v>
      </c>
      <c r="N993">
        <v>9</v>
      </c>
      <c r="O993">
        <v>3</v>
      </c>
      <c r="P993">
        <v>3</v>
      </c>
      <c r="Q993">
        <v>0</v>
      </c>
    </row>
    <row r="994" spans="1:17" x14ac:dyDescent="0.3">
      <c r="A994">
        <v>14</v>
      </c>
      <c r="B994" t="s">
        <v>16</v>
      </c>
      <c r="C994" t="str">
        <f>IF(Table1[[#This Row],[age]]&gt;18,"Adult","Teenage")</f>
        <v>Teenage</v>
      </c>
      <c r="D994">
        <v>2</v>
      </c>
      <c r="E994" t="s">
        <v>14</v>
      </c>
      <c r="F994">
        <v>4.7</v>
      </c>
      <c r="G994">
        <f>Table1[[#This Row],[sleep_hours]]-Table1[[#This Row],[daily_social_media_hours]]</f>
        <v>2.7</v>
      </c>
      <c r="H994">
        <v>1.1000000000000001</v>
      </c>
      <c r="I994">
        <v>2.5099999999999998</v>
      </c>
      <c r="J994" t="str" cm="1">
        <f t="array" ref="J994">_xlfn.IFS(Table1[[#This Row],[academic_performance]]&gt;1,"Need Improvement",Table1[[#This Row],[academic_performance]]&gt;2,"Good",Table1[[#This Row],[academic_performance]]&gt;3,"Very good",Table1[[#This Row],[academic_performance]]&gt;4,"Excellent")</f>
        <v>Need Improvement</v>
      </c>
      <c r="K994">
        <v>0</v>
      </c>
      <c r="L994" t="str">
        <f>IF(Table1[[#This Row],[physical_activity]]&gt;1.9,"better overall ","lower rate of depression")</f>
        <v>lower rate of depression</v>
      </c>
      <c r="M994" t="s">
        <v>18</v>
      </c>
      <c r="N994">
        <v>2</v>
      </c>
      <c r="O994">
        <v>9</v>
      </c>
      <c r="P994">
        <v>4</v>
      </c>
      <c r="Q994">
        <v>0</v>
      </c>
    </row>
    <row r="995" spans="1:17" x14ac:dyDescent="0.3">
      <c r="A995">
        <v>14</v>
      </c>
      <c r="B995" t="s">
        <v>16</v>
      </c>
      <c r="C995" t="str">
        <f>IF(Table1[[#This Row],[age]]&gt;18,"Adult","Teenage")</f>
        <v>Teenage</v>
      </c>
      <c r="D995">
        <v>4.4000000000000004</v>
      </c>
      <c r="E995" t="s">
        <v>17</v>
      </c>
      <c r="F995">
        <v>5.0999999999999996</v>
      </c>
      <c r="G995">
        <f>Table1[[#This Row],[sleep_hours]]-Table1[[#This Row],[daily_social_media_hours]]</f>
        <v>0.69999999999999929</v>
      </c>
      <c r="H995">
        <v>2.8</v>
      </c>
      <c r="I995">
        <v>2.2200000000000002</v>
      </c>
      <c r="J995" t="str" cm="1">
        <f t="array" ref="J995">_xlfn.IFS(Table1[[#This Row],[academic_performance]]&gt;1,"Need Improvement",Table1[[#This Row],[academic_performance]]&gt;2,"Good",Table1[[#This Row],[academic_performance]]&gt;3,"Very good",Table1[[#This Row],[academic_performance]]&gt;4,"Excellent")</f>
        <v>Need Improvement</v>
      </c>
      <c r="K995">
        <v>0.5</v>
      </c>
      <c r="L995" t="str">
        <f>IF(Table1[[#This Row],[physical_activity]]&gt;1.9,"better overall ","lower rate of depression")</f>
        <v>lower rate of depression</v>
      </c>
      <c r="M995" t="s">
        <v>18</v>
      </c>
      <c r="N995">
        <v>5</v>
      </c>
      <c r="O995">
        <v>4</v>
      </c>
      <c r="P995">
        <v>1</v>
      </c>
      <c r="Q995">
        <v>0</v>
      </c>
    </row>
    <row r="996" spans="1:17" x14ac:dyDescent="0.3">
      <c r="A996">
        <v>13</v>
      </c>
      <c r="B996" t="s">
        <v>13</v>
      </c>
      <c r="C996" t="str">
        <f>IF(Table1[[#This Row],[age]]&gt;18,"Adult","Teenage")</f>
        <v>Teenage</v>
      </c>
      <c r="D996">
        <v>3.5</v>
      </c>
      <c r="E996" t="s">
        <v>17</v>
      </c>
      <c r="F996">
        <v>5.8</v>
      </c>
      <c r="G996">
        <f>Table1[[#This Row],[sleep_hours]]-Table1[[#This Row],[daily_social_media_hours]]</f>
        <v>2.2999999999999998</v>
      </c>
      <c r="H996">
        <v>1.2</v>
      </c>
      <c r="I996">
        <v>2.44</v>
      </c>
      <c r="J996" t="str" cm="1">
        <f t="array" ref="J996">_xlfn.IFS(Table1[[#This Row],[academic_performance]]&gt;1,"Need Improvement",Table1[[#This Row],[academic_performance]]&gt;2,"Good",Table1[[#This Row],[academic_performance]]&gt;3,"Very good",Table1[[#This Row],[academic_performance]]&gt;4,"Excellent")</f>
        <v>Need Improvement</v>
      </c>
      <c r="K996">
        <v>1.5</v>
      </c>
      <c r="L996" t="str">
        <f>IF(Table1[[#This Row],[physical_activity]]&gt;1.9,"better overall ","lower rate of depression")</f>
        <v>lower rate of depression</v>
      </c>
      <c r="M996" t="s">
        <v>19</v>
      </c>
      <c r="N996">
        <v>4</v>
      </c>
      <c r="O996">
        <v>1</v>
      </c>
      <c r="P996">
        <v>8</v>
      </c>
      <c r="Q996">
        <v>0</v>
      </c>
    </row>
    <row r="997" spans="1:17" x14ac:dyDescent="0.3">
      <c r="A997">
        <v>13</v>
      </c>
      <c r="B997" t="s">
        <v>13</v>
      </c>
      <c r="C997" t="str">
        <f>IF(Table1[[#This Row],[age]]&gt;18,"Adult","Teenage")</f>
        <v>Teenage</v>
      </c>
      <c r="D997">
        <v>6.5</v>
      </c>
      <c r="E997" t="s">
        <v>14</v>
      </c>
      <c r="F997">
        <v>6.5</v>
      </c>
      <c r="G997">
        <f>Table1[[#This Row],[sleep_hours]]-Table1[[#This Row],[daily_social_media_hours]]</f>
        <v>0</v>
      </c>
      <c r="H997">
        <v>1.5</v>
      </c>
      <c r="I997">
        <v>2.0499999999999998</v>
      </c>
      <c r="J997" t="str" cm="1">
        <f t="array" ref="J997">_xlfn.IFS(Table1[[#This Row],[academic_performance]]&gt;1,"Need Improvement",Table1[[#This Row],[academic_performance]]&gt;2,"Good",Table1[[#This Row],[academic_performance]]&gt;3,"Very good",Table1[[#This Row],[academic_performance]]&gt;4,"Excellent")</f>
        <v>Need Improvement</v>
      </c>
      <c r="K997">
        <v>0.5</v>
      </c>
      <c r="L997" t="str">
        <f>IF(Table1[[#This Row],[physical_activity]]&gt;1.9,"better overall ","lower rate of depression")</f>
        <v>lower rate of depression</v>
      </c>
      <c r="M997" t="s">
        <v>15</v>
      </c>
      <c r="N997">
        <v>3</v>
      </c>
      <c r="O997">
        <v>9</v>
      </c>
      <c r="P997">
        <v>4</v>
      </c>
      <c r="Q997">
        <v>0</v>
      </c>
    </row>
    <row r="998" spans="1:17" x14ac:dyDescent="0.3">
      <c r="A998">
        <v>14</v>
      </c>
      <c r="B998" t="s">
        <v>13</v>
      </c>
      <c r="C998" t="str">
        <f>IF(Table1[[#This Row],[age]]&gt;18,"Adult","Teenage")</f>
        <v>Teenage</v>
      </c>
      <c r="D998">
        <v>4.4000000000000004</v>
      </c>
      <c r="E998" t="s">
        <v>14</v>
      </c>
      <c r="F998">
        <v>8.8000000000000007</v>
      </c>
      <c r="G998">
        <f>Table1[[#This Row],[sleep_hours]]-Table1[[#This Row],[daily_social_media_hours]]</f>
        <v>4.4000000000000004</v>
      </c>
      <c r="H998">
        <v>2.2999999999999998</v>
      </c>
      <c r="I998">
        <v>2.73</v>
      </c>
      <c r="J998" t="str" cm="1">
        <f t="array" ref="J998">_xlfn.IFS(Table1[[#This Row],[academic_performance]]&gt;1,"Need Improvement",Table1[[#This Row],[academic_performance]]&gt;2,"Good",Table1[[#This Row],[academic_performance]]&gt;3,"Very good",Table1[[#This Row],[academic_performance]]&gt;4,"Excellent")</f>
        <v>Need Improvement</v>
      </c>
      <c r="K998">
        <v>0.3</v>
      </c>
      <c r="L998" t="str">
        <f>IF(Table1[[#This Row],[physical_activity]]&gt;1.9,"better overall ","lower rate of depression")</f>
        <v>lower rate of depression</v>
      </c>
      <c r="M998" t="s">
        <v>19</v>
      </c>
      <c r="N998">
        <v>9</v>
      </c>
      <c r="O998">
        <v>2</v>
      </c>
      <c r="P998">
        <v>2</v>
      </c>
      <c r="Q998">
        <v>0</v>
      </c>
    </row>
    <row r="999" spans="1:17" x14ac:dyDescent="0.3">
      <c r="A999">
        <v>17</v>
      </c>
      <c r="B999" t="s">
        <v>16</v>
      </c>
      <c r="C999" t="str">
        <f>IF(Table1[[#This Row],[age]]&gt;18,"Adult","Teenage")</f>
        <v>Teenage</v>
      </c>
      <c r="D999">
        <v>3.1</v>
      </c>
      <c r="E999" t="s">
        <v>17</v>
      </c>
      <c r="F999">
        <v>4.2</v>
      </c>
      <c r="G999">
        <f>Table1[[#This Row],[sleep_hours]]-Table1[[#This Row],[daily_social_media_hours]]</f>
        <v>1.1000000000000001</v>
      </c>
      <c r="H999">
        <v>0.8</v>
      </c>
      <c r="I999">
        <v>2.2799999999999998</v>
      </c>
      <c r="J999" t="str" cm="1">
        <f t="array" ref="J999">_xlfn.IFS(Table1[[#This Row],[academic_performance]]&gt;1,"Need Improvement",Table1[[#This Row],[academic_performance]]&gt;2,"Good",Table1[[#This Row],[academic_performance]]&gt;3,"Very good",Table1[[#This Row],[academic_performance]]&gt;4,"Excellent")</f>
        <v>Need Improvement</v>
      </c>
      <c r="K999">
        <v>1.6</v>
      </c>
      <c r="L999" t="str">
        <f>IF(Table1[[#This Row],[physical_activity]]&gt;1.9,"better overall ","lower rate of depression")</f>
        <v>lower rate of depression</v>
      </c>
      <c r="M999" t="s">
        <v>19</v>
      </c>
      <c r="N999">
        <v>4</v>
      </c>
      <c r="O999">
        <v>9</v>
      </c>
      <c r="P999">
        <v>6</v>
      </c>
      <c r="Q999">
        <v>0</v>
      </c>
    </row>
    <row r="1000" spans="1:17" x14ac:dyDescent="0.3">
      <c r="A1000">
        <v>15</v>
      </c>
      <c r="B1000" t="s">
        <v>13</v>
      </c>
      <c r="C1000" t="str">
        <f>IF(Table1[[#This Row],[age]]&gt;18,"Adult","Teenage")</f>
        <v>Teenage</v>
      </c>
      <c r="D1000">
        <v>7.8</v>
      </c>
      <c r="E1000" t="s">
        <v>20</v>
      </c>
      <c r="F1000">
        <v>4.2</v>
      </c>
      <c r="G1000">
        <f>Table1[[#This Row],[sleep_hours]]-Table1[[#This Row],[daily_social_media_hours]]</f>
        <v>-3.5999999999999996</v>
      </c>
      <c r="H1000">
        <v>2.1</v>
      </c>
      <c r="I1000">
        <v>3.42</v>
      </c>
      <c r="J1000" t="str" cm="1">
        <f t="array" ref="J1000">_xlfn.IFS(Table1[[#This Row],[academic_performance]]&gt;1,"Need Improvement",Table1[[#This Row],[academic_performance]]&gt;2,"Good",Table1[[#This Row],[academic_performance]]&gt;3,"Very good",Table1[[#This Row],[academic_performance]]&gt;4,"Excellent")</f>
        <v>Need Improvement</v>
      </c>
      <c r="K1000">
        <v>0</v>
      </c>
      <c r="L1000" t="str">
        <f>IF(Table1[[#This Row],[physical_activity]]&gt;1.9,"better overall ","lower rate of depression")</f>
        <v>lower rate of depression</v>
      </c>
      <c r="M1000" t="s">
        <v>15</v>
      </c>
      <c r="N1000">
        <v>10</v>
      </c>
      <c r="O1000">
        <v>7</v>
      </c>
      <c r="P1000">
        <v>9</v>
      </c>
      <c r="Q1000">
        <v>1</v>
      </c>
    </row>
    <row r="1001" spans="1:17" x14ac:dyDescent="0.3">
      <c r="A1001">
        <v>19</v>
      </c>
      <c r="B1001" t="s">
        <v>16</v>
      </c>
      <c r="C1001" t="str">
        <f>IF(Table1[[#This Row],[age]]&gt;18,"Adult","Teenage")</f>
        <v>Adult</v>
      </c>
      <c r="D1001">
        <v>2.1</v>
      </c>
      <c r="E1001" t="s">
        <v>20</v>
      </c>
      <c r="F1001">
        <v>4.4000000000000004</v>
      </c>
      <c r="G1001">
        <f>Table1[[#This Row],[sleep_hours]]-Table1[[#This Row],[daily_social_media_hours]]</f>
        <v>2.3000000000000003</v>
      </c>
      <c r="H1001">
        <v>2.2000000000000002</v>
      </c>
      <c r="I1001">
        <v>2.4700000000000002</v>
      </c>
      <c r="J1001" t="str" cm="1">
        <f t="array" ref="J1001">_xlfn.IFS(Table1[[#This Row],[academic_performance]]&gt;1,"Need Improvement",Table1[[#This Row],[academic_performance]]&gt;2,"Good",Table1[[#This Row],[academic_performance]]&gt;3,"Very good",Table1[[#This Row],[academic_performance]]&gt;4,"Excellent")</f>
        <v>Need Improvement</v>
      </c>
      <c r="K1001">
        <v>0.7</v>
      </c>
      <c r="L1001" t="str">
        <f>IF(Table1[[#This Row],[physical_activity]]&gt;1.9,"better overall ","lower rate of depression")</f>
        <v>lower rate of depression</v>
      </c>
      <c r="M1001" t="s">
        <v>18</v>
      </c>
      <c r="N1001">
        <v>9</v>
      </c>
      <c r="O1001">
        <v>5</v>
      </c>
      <c r="P1001">
        <v>6</v>
      </c>
      <c r="Q1001">
        <v>0</v>
      </c>
    </row>
    <row r="1002" spans="1:17" x14ac:dyDescent="0.3">
      <c r="A1002">
        <v>14</v>
      </c>
      <c r="B1002" t="s">
        <v>16</v>
      </c>
      <c r="C1002" t="str">
        <f>IF(Table1[[#This Row],[age]]&gt;18,"Adult","Teenage")</f>
        <v>Teenage</v>
      </c>
      <c r="D1002">
        <v>5.5</v>
      </c>
      <c r="E1002" t="s">
        <v>20</v>
      </c>
      <c r="F1002">
        <v>5.7</v>
      </c>
      <c r="G1002">
        <f>Table1[[#This Row],[sleep_hours]]-Table1[[#This Row],[daily_social_media_hours]]</f>
        <v>0.20000000000000018</v>
      </c>
      <c r="H1002">
        <v>2.2999999999999998</v>
      </c>
      <c r="I1002">
        <v>3.05</v>
      </c>
      <c r="J1002" t="str" cm="1">
        <f t="array" ref="J1002">_xlfn.IFS(Table1[[#This Row],[academic_performance]]&gt;1,"Need Improvement",Table1[[#This Row],[academic_performance]]&gt;2,"Good",Table1[[#This Row],[academic_performance]]&gt;3,"Very good",Table1[[#This Row],[academic_performance]]&gt;4,"Excellent")</f>
        <v>Need Improvement</v>
      </c>
      <c r="K1002">
        <v>1.3</v>
      </c>
      <c r="L1002" t="str">
        <f>IF(Table1[[#This Row],[physical_activity]]&gt;1.9,"better overall ","lower rate of depression")</f>
        <v>lower rate of depression</v>
      </c>
      <c r="M1002" t="s">
        <v>19</v>
      </c>
      <c r="N1002">
        <v>7</v>
      </c>
      <c r="O1002">
        <v>8</v>
      </c>
      <c r="P1002">
        <v>5</v>
      </c>
      <c r="Q1002">
        <v>1</v>
      </c>
    </row>
    <row r="1003" spans="1:17" x14ac:dyDescent="0.3">
      <c r="A1003">
        <v>15</v>
      </c>
      <c r="B1003" t="s">
        <v>16</v>
      </c>
      <c r="C1003" t="str">
        <f>IF(Table1[[#This Row],[age]]&gt;18,"Adult","Teenage")</f>
        <v>Teenage</v>
      </c>
      <c r="D1003">
        <v>5.7</v>
      </c>
      <c r="E1003" t="s">
        <v>14</v>
      </c>
      <c r="F1003">
        <v>7.2</v>
      </c>
      <c r="G1003">
        <f>Table1[[#This Row],[sleep_hours]]-Table1[[#This Row],[daily_social_media_hours]]</f>
        <v>1.5</v>
      </c>
      <c r="H1003">
        <v>2.4</v>
      </c>
      <c r="I1003">
        <v>2.1800000000000002</v>
      </c>
      <c r="J1003" t="str" cm="1">
        <f t="array" ref="J1003">_xlfn.IFS(Table1[[#This Row],[academic_performance]]&gt;1,"Need Improvement",Table1[[#This Row],[academic_performance]]&gt;2,"Good",Table1[[#This Row],[academic_performance]]&gt;3,"Very good",Table1[[#This Row],[academic_performance]]&gt;4,"Excellent")</f>
        <v>Need Improvement</v>
      </c>
      <c r="K1003">
        <v>1.6</v>
      </c>
      <c r="L1003" t="str">
        <f>IF(Table1[[#This Row],[physical_activity]]&gt;1.9,"better overall ","lower rate of depression")</f>
        <v>lower rate of depression</v>
      </c>
      <c r="M1003" t="s">
        <v>19</v>
      </c>
      <c r="N1003">
        <v>5</v>
      </c>
      <c r="O1003">
        <v>1</v>
      </c>
      <c r="P1003">
        <v>7</v>
      </c>
      <c r="Q1003">
        <v>0</v>
      </c>
    </row>
    <row r="1004" spans="1:17" x14ac:dyDescent="0.3">
      <c r="A1004">
        <v>15</v>
      </c>
      <c r="B1004" t="s">
        <v>16</v>
      </c>
      <c r="C1004" t="str">
        <f>IF(Table1[[#This Row],[age]]&gt;18,"Adult","Teenage")</f>
        <v>Teenage</v>
      </c>
      <c r="D1004">
        <v>5</v>
      </c>
      <c r="E1004" t="s">
        <v>17</v>
      </c>
      <c r="F1004">
        <v>6.3</v>
      </c>
      <c r="G1004">
        <f>Table1[[#This Row],[sleep_hours]]-Table1[[#This Row],[daily_social_media_hours]]</f>
        <v>1.2999999999999998</v>
      </c>
      <c r="H1004">
        <v>1.5</v>
      </c>
      <c r="I1004">
        <v>2.67</v>
      </c>
      <c r="J1004" t="str" cm="1">
        <f t="array" ref="J1004">_xlfn.IFS(Table1[[#This Row],[academic_performance]]&gt;1,"Need Improvement",Table1[[#This Row],[academic_performance]]&gt;2,"Good",Table1[[#This Row],[academic_performance]]&gt;3,"Very good",Table1[[#This Row],[academic_performance]]&gt;4,"Excellent")</f>
        <v>Need Improvement</v>
      </c>
      <c r="K1004">
        <v>1.1000000000000001</v>
      </c>
      <c r="L1004" t="str">
        <f>IF(Table1[[#This Row],[physical_activity]]&gt;1.9,"better overall ","lower rate of depression")</f>
        <v>lower rate of depression</v>
      </c>
      <c r="M1004" t="s">
        <v>18</v>
      </c>
      <c r="N1004">
        <v>6</v>
      </c>
      <c r="O1004">
        <v>2</v>
      </c>
      <c r="P1004">
        <v>5</v>
      </c>
      <c r="Q1004">
        <v>0</v>
      </c>
    </row>
    <row r="1005" spans="1:17" x14ac:dyDescent="0.3">
      <c r="A1005">
        <v>16</v>
      </c>
      <c r="B1005" t="s">
        <v>16</v>
      </c>
      <c r="C1005" t="str">
        <f>IF(Table1[[#This Row],[age]]&gt;18,"Adult","Teenage")</f>
        <v>Teenage</v>
      </c>
      <c r="D1005">
        <v>7.5</v>
      </c>
      <c r="E1005" t="s">
        <v>20</v>
      </c>
      <c r="F1005">
        <v>4</v>
      </c>
      <c r="G1005">
        <f>Table1[[#This Row],[sleep_hours]]-Table1[[#This Row],[daily_social_media_hours]]</f>
        <v>-3.5</v>
      </c>
      <c r="H1005">
        <v>0.5</v>
      </c>
      <c r="I1005">
        <v>3.72</v>
      </c>
      <c r="J1005" t="str" cm="1">
        <f t="array" ref="J1005">_xlfn.IFS(Table1[[#This Row],[academic_performance]]&gt;1,"Need Improvement",Table1[[#This Row],[academic_performance]]&gt;2,"Good",Table1[[#This Row],[academic_performance]]&gt;3,"Very good",Table1[[#This Row],[academic_performance]]&gt;4,"Excellent")</f>
        <v>Need Improvement</v>
      </c>
      <c r="K1005">
        <v>1.1000000000000001</v>
      </c>
      <c r="L1005" t="str">
        <f>IF(Table1[[#This Row],[physical_activity]]&gt;1.9,"better overall ","lower rate of depression")</f>
        <v>lower rate of depression</v>
      </c>
      <c r="M1005" t="s">
        <v>19</v>
      </c>
      <c r="N1005">
        <v>4</v>
      </c>
      <c r="O1005">
        <v>5</v>
      </c>
      <c r="P1005">
        <v>7</v>
      </c>
      <c r="Q1005">
        <v>0</v>
      </c>
    </row>
    <row r="1006" spans="1:17" x14ac:dyDescent="0.3">
      <c r="A1006">
        <v>17</v>
      </c>
      <c r="B1006" t="s">
        <v>13</v>
      </c>
      <c r="C1006" t="str">
        <f>IF(Table1[[#This Row],[age]]&gt;18,"Adult","Teenage")</f>
        <v>Teenage</v>
      </c>
      <c r="D1006">
        <v>2.2000000000000002</v>
      </c>
      <c r="E1006" t="s">
        <v>17</v>
      </c>
      <c r="F1006">
        <v>7.1</v>
      </c>
      <c r="G1006">
        <f>Table1[[#This Row],[sleep_hours]]-Table1[[#This Row],[daily_social_media_hours]]</f>
        <v>4.8999999999999995</v>
      </c>
      <c r="H1006">
        <v>1.1000000000000001</v>
      </c>
      <c r="I1006">
        <v>2.5</v>
      </c>
      <c r="J1006" t="str" cm="1">
        <f t="array" ref="J1006">_xlfn.IFS(Table1[[#This Row],[academic_performance]]&gt;1,"Need Improvement",Table1[[#This Row],[academic_performance]]&gt;2,"Good",Table1[[#This Row],[academic_performance]]&gt;3,"Very good",Table1[[#This Row],[academic_performance]]&gt;4,"Excellent")</f>
        <v>Need Improvement</v>
      </c>
      <c r="K1006">
        <v>1.5</v>
      </c>
      <c r="L1006" t="str">
        <f>IF(Table1[[#This Row],[physical_activity]]&gt;1.9,"better overall ","lower rate of depression")</f>
        <v>lower rate of depression</v>
      </c>
      <c r="M1006" t="s">
        <v>15</v>
      </c>
      <c r="N1006">
        <v>2</v>
      </c>
      <c r="O1006">
        <v>1</v>
      </c>
      <c r="P1006">
        <v>2</v>
      </c>
      <c r="Q1006">
        <v>0</v>
      </c>
    </row>
    <row r="1007" spans="1:17" x14ac:dyDescent="0.3">
      <c r="A1007">
        <v>15</v>
      </c>
      <c r="B1007" t="s">
        <v>16</v>
      </c>
      <c r="C1007" t="str">
        <f>IF(Table1[[#This Row],[age]]&gt;18,"Adult","Teenage")</f>
        <v>Teenage</v>
      </c>
      <c r="D1007">
        <v>7.3</v>
      </c>
      <c r="E1007" t="s">
        <v>14</v>
      </c>
      <c r="F1007">
        <v>4.0999999999999996</v>
      </c>
      <c r="G1007">
        <f>Table1[[#This Row],[sleep_hours]]-Table1[[#This Row],[daily_social_media_hours]]</f>
        <v>-3.2</v>
      </c>
      <c r="H1007">
        <v>2.1</v>
      </c>
      <c r="I1007">
        <v>2.87</v>
      </c>
      <c r="J1007" t="str" cm="1">
        <f t="array" ref="J1007">_xlfn.IFS(Table1[[#This Row],[academic_performance]]&gt;1,"Need Improvement",Table1[[#This Row],[academic_performance]]&gt;2,"Good",Table1[[#This Row],[academic_performance]]&gt;3,"Very good",Table1[[#This Row],[academic_performance]]&gt;4,"Excellent")</f>
        <v>Need Improvement</v>
      </c>
      <c r="K1007">
        <v>0.4</v>
      </c>
      <c r="L1007" t="str">
        <f>IF(Table1[[#This Row],[physical_activity]]&gt;1.9,"better overall ","lower rate of depression")</f>
        <v>lower rate of depression</v>
      </c>
      <c r="M1007" t="s">
        <v>15</v>
      </c>
      <c r="N1007">
        <v>10</v>
      </c>
      <c r="O1007">
        <v>10</v>
      </c>
      <c r="P1007">
        <v>1</v>
      </c>
      <c r="Q1007">
        <v>1</v>
      </c>
    </row>
    <row r="1008" spans="1:17" x14ac:dyDescent="0.3">
      <c r="A1008">
        <v>17</v>
      </c>
      <c r="B1008" t="s">
        <v>13</v>
      </c>
      <c r="C1008" t="str">
        <f>IF(Table1[[#This Row],[age]]&gt;18,"Adult","Teenage")</f>
        <v>Teenage</v>
      </c>
      <c r="D1008">
        <v>2.7</v>
      </c>
      <c r="E1008" t="s">
        <v>14</v>
      </c>
      <c r="F1008">
        <v>7.5</v>
      </c>
      <c r="G1008">
        <f>Table1[[#This Row],[sleep_hours]]-Table1[[#This Row],[daily_social_media_hours]]</f>
        <v>4.8</v>
      </c>
      <c r="H1008">
        <v>1.5</v>
      </c>
      <c r="I1008">
        <v>3.23</v>
      </c>
      <c r="J1008" t="str" cm="1">
        <f t="array" ref="J1008">_xlfn.IFS(Table1[[#This Row],[academic_performance]]&gt;1,"Need Improvement",Table1[[#This Row],[academic_performance]]&gt;2,"Good",Table1[[#This Row],[academic_performance]]&gt;3,"Very good",Table1[[#This Row],[academic_performance]]&gt;4,"Excellent")</f>
        <v>Need Improvement</v>
      </c>
      <c r="K1008">
        <v>1.4</v>
      </c>
      <c r="L1008" t="str">
        <f>IF(Table1[[#This Row],[physical_activity]]&gt;1.9,"better overall ","lower rate of depression")</f>
        <v>lower rate of depression</v>
      </c>
      <c r="M1008" t="s">
        <v>15</v>
      </c>
      <c r="N1008">
        <v>5</v>
      </c>
      <c r="O1008">
        <v>7</v>
      </c>
      <c r="P1008">
        <v>3</v>
      </c>
      <c r="Q1008">
        <v>0</v>
      </c>
    </row>
    <row r="1009" spans="1:17" x14ac:dyDescent="0.3">
      <c r="A1009">
        <v>18</v>
      </c>
      <c r="B1009" t="s">
        <v>13</v>
      </c>
      <c r="C1009" t="str">
        <f>IF(Table1[[#This Row],[age]]&gt;18,"Adult","Teenage")</f>
        <v>Teenage</v>
      </c>
      <c r="D1009">
        <v>1.6</v>
      </c>
      <c r="E1009" t="s">
        <v>14</v>
      </c>
      <c r="F1009">
        <v>8.6</v>
      </c>
      <c r="G1009">
        <f>Table1[[#This Row],[sleep_hours]]-Table1[[#This Row],[daily_social_media_hours]]</f>
        <v>7</v>
      </c>
      <c r="H1009">
        <v>2.6</v>
      </c>
      <c r="I1009">
        <v>3.53</v>
      </c>
      <c r="J1009" t="str" cm="1">
        <f t="array" ref="J1009">_xlfn.IFS(Table1[[#This Row],[academic_performance]]&gt;1,"Need Improvement",Table1[[#This Row],[academic_performance]]&gt;2,"Good",Table1[[#This Row],[academic_performance]]&gt;3,"Very good",Table1[[#This Row],[academic_performance]]&gt;4,"Excellent")</f>
        <v>Need Improvement</v>
      </c>
      <c r="K1009">
        <v>0.1</v>
      </c>
      <c r="L1009" t="str">
        <f>IF(Table1[[#This Row],[physical_activity]]&gt;1.9,"better overall ","lower rate of depression")</f>
        <v>lower rate of depression</v>
      </c>
      <c r="M1009" t="s">
        <v>19</v>
      </c>
      <c r="N1009">
        <v>8</v>
      </c>
      <c r="O1009">
        <v>8</v>
      </c>
      <c r="P1009">
        <v>10</v>
      </c>
      <c r="Q1009">
        <v>0</v>
      </c>
    </row>
    <row r="1010" spans="1:17" x14ac:dyDescent="0.3">
      <c r="A1010">
        <v>14</v>
      </c>
      <c r="B1010" t="s">
        <v>13</v>
      </c>
      <c r="C1010" t="str">
        <f>IF(Table1[[#This Row],[age]]&gt;18,"Adult","Teenage")</f>
        <v>Teenage</v>
      </c>
      <c r="D1010">
        <v>4</v>
      </c>
      <c r="E1010" t="s">
        <v>17</v>
      </c>
      <c r="F1010">
        <v>4.9000000000000004</v>
      </c>
      <c r="G1010">
        <f>Table1[[#This Row],[sleep_hours]]-Table1[[#This Row],[daily_social_media_hours]]</f>
        <v>0.90000000000000036</v>
      </c>
      <c r="H1010">
        <v>2.7</v>
      </c>
      <c r="I1010">
        <v>2.2999999999999998</v>
      </c>
      <c r="J1010" t="str" cm="1">
        <f t="array" ref="J1010">_xlfn.IFS(Table1[[#This Row],[academic_performance]]&gt;1,"Need Improvement",Table1[[#This Row],[academic_performance]]&gt;2,"Good",Table1[[#This Row],[academic_performance]]&gt;3,"Very good",Table1[[#This Row],[academic_performance]]&gt;4,"Excellent")</f>
        <v>Need Improvement</v>
      </c>
      <c r="K1010">
        <v>0.5</v>
      </c>
      <c r="L1010" t="str">
        <f>IF(Table1[[#This Row],[physical_activity]]&gt;1.9,"better overall ","lower rate of depression")</f>
        <v>lower rate of depression</v>
      </c>
      <c r="M1010" t="s">
        <v>18</v>
      </c>
      <c r="N1010">
        <v>7</v>
      </c>
      <c r="O1010">
        <v>8</v>
      </c>
      <c r="P1010">
        <v>6</v>
      </c>
      <c r="Q1010">
        <v>0</v>
      </c>
    </row>
    <row r="1011" spans="1:17" x14ac:dyDescent="0.3">
      <c r="A1011">
        <v>18</v>
      </c>
      <c r="B1011" t="s">
        <v>16</v>
      </c>
      <c r="C1011" t="str">
        <f>IF(Table1[[#This Row],[age]]&gt;18,"Adult","Teenage")</f>
        <v>Teenage</v>
      </c>
      <c r="D1011">
        <v>6.3</v>
      </c>
      <c r="E1011" t="s">
        <v>20</v>
      </c>
      <c r="F1011">
        <v>4.7</v>
      </c>
      <c r="G1011">
        <f>Table1[[#This Row],[sleep_hours]]-Table1[[#This Row],[daily_social_media_hours]]</f>
        <v>-1.5999999999999996</v>
      </c>
      <c r="H1011">
        <v>2.4</v>
      </c>
      <c r="I1011">
        <v>2.2999999999999998</v>
      </c>
      <c r="J1011" t="str" cm="1">
        <f t="array" ref="J1011">_xlfn.IFS(Table1[[#This Row],[academic_performance]]&gt;1,"Need Improvement",Table1[[#This Row],[academic_performance]]&gt;2,"Good",Table1[[#This Row],[academic_performance]]&gt;3,"Very good",Table1[[#This Row],[academic_performance]]&gt;4,"Excellent")</f>
        <v>Need Improvement</v>
      </c>
      <c r="K1011">
        <v>0.9</v>
      </c>
      <c r="L1011" t="str">
        <f>IF(Table1[[#This Row],[physical_activity]]&gt;1.9,"better overall ","lower rate of depression")</f>
        <v>lower rate of depression</v>
      </c>
      <c r="M1011" t="s">
        <v>19</v>
      </c>
      <c r="N1011">
        <v>6</v>
      </c>
      <c r="O1011">
        <v>1</v>
      </c>
      <c r="P1011">
        <v>6</v>
      </c>
      <c r="Q1011">
        <v>0</v>
      </c>
    </row>
    <row r="1012" spans="1:17" x14ac:dyDescent="0.3">
      <c r="A1012">
        <v>16</v>
      </c>
      <c r="B1012" t="s">
        <v>16</v>
      </c>
      <c r="C1012" t="str">
        <f>IF(Table1[[#This Row],[age]]&gt;18,"Adult","Teenage")</f>
        <v>Teenage</v>
      </c>
      <c r="D1012">
        <v>6.8</v>
      </c>
      <c r="E1012" t="s">
        <v>17</v>
      </c>
      <c r="F1012">
        <v>7.1</v>
      </c>
      <c r="G1012">
        <f>Table1[[#This Row],[sleep_hours]]-Table1[[#This Row],[daily_social_media_hours]]</f>
        <v>0.29999999999999982</v>
      </c>
      <c r="H1012">
        <v>2.9</v>
      </c>
      <c r="I1012">
        <v>3.26</v>
      </c>
      <c r="J1012" t="str" cm="1">
        <f t="array" ref="J1012">_xlfn.IFS(Table1[[#This Row],[academic_performance]]&gt;1,"Need Improvement",Table1[[#This Row],[academic_performance]]&gt;2,"Good",Table1[[#This Row],[academic_performance]]&gt;3,"Very good",Table1[[#This Row],[academic_performance]]&gt;4,"Excellent")</f>
        <v>Need Improvement</v>
      </c>
      <c r="K1012">
        <v>0.6</v>
      </c>
      <c r="L1012" t="str">
        <f>IF(Table1[[#This Row],[physical_activity]]&gt;1.9,"better overall ","lower rate of depression")</f>
        <v>lower rate of depression</v>
      </c>
      <c r="M1012" t="s">
        <v>15</v>
      </c>
      <c r="N1012">
        <v>6</v>
      </c>
      <c r="O1012">
        <v>10</v>
      </c>
      <c r="P1012">
        <v>4</v>
      </c>
      <c r="Q1012">
        <v>0</v>
      </c>
    </row>
    <row r="1013" spans="1:17" x14ac:dyDescent="0.3">
      <c r="A1013">
        <v>18</v>
      </c>
      <c r="B1013" t="s">
        <v>16</v>
      </c>
      <c r="C1013" t="str">
        <f>IF(Table1[[#This Row],[age]]&gt;18,"Adult","Teenage")</f>
        <v>Teenage</v>
      </c>
      <c r="D1013">
        <v>6.6</v>
      </c>
      <c r="E1013" t="s">
        <v>20</v>
      </c>
      <c r="F1013">
        <v>8.1</v>
      </c>
      <c r="G1013">
        <f>Table1[[#This Row],[sleep_hours]]-Table1[[#This Row],[daily_social_media_hours]]</f>
        <v>1.5</v>
      </c>
      <c r="H1013">
        <v>2</v>
      </c>
      <c r="I1013">
        <v>3.59</v>
      </c>
      <c r="J1013" t="str" cm="1">
        <f t="array" ref="J1013">_xlfn.IFS(Table1[[#This Row],[academic_performance]]&gt;1,"Need Improvement",Table1[[#This Row],[academic_performance]]&gt;2,"Good",Table1[[#This Row],[academic_performance]]&gt;3,"Very good",Table1[[#This Row],[academic_performance]]&gt;4,"Excellent")</f>
        <v>Need Improvement</v>
      </c>
      <c r="K1013">
        <v>1.6</v>
      </c>
      <c r="L1013" t="str">
        <f>IF(Table1[[#This Row],[physical_activity]]&gt;1.9,"better overall ","lower rate of depression")</f>
        <v>lower rate of depression</v>
      </c>
      <c r="M1013" t="s">
        <v>15</v>
      </c>
      <c r="N1013">
        <v>9</v>
      </c>
      <c r="O1013">
        <v>4</v>
      </c>
      <c r="P1013">
        <v>3</v>
      </c>
      <c r="Q1013">
        <v>0</v>
      </c>
    </row>
    <row r="1014" spans="1:17" x14ac:dyDescent="0.3">
      <c r="A1014">
        <v>13</v>
      </c>
      <c r="B1014" t="s">
        <v>13</v>
      </c>
      <c r="C1014" t="str">
        <f>IF(Table1[[#This Row],[age]]&gt;18,"Adult","Teenage")</f>
        <v>Teenage</v>
      </c>
      <c r="D1014">
        <v>4</v>
      </c>
      <c r="E1014" t="s">
        <v>14</v>
      </c>
      <c r="F1014">
        <v>4.2</v>
      </c>
      <c r="G1014">
        <f>Table1[[#This Row],[sleep_hours]]-Table1[[#This Row],[daily_social_media_hours]]</f>
        <v>0.20000000000000018</v>
      </c>
      <c r="H1014">
        <v>0.9</v>
      </c>
      <c r="I1014">
        <v>2.75</v>
      </c>
      <c r="J1014" t="str" cm="1">
        <f t="array" ref="J1014">_xlfn.IFS(Table1[[#This Row],[academic_performance]]&gt;1,"Need Improvement",Table1[[#This Row],[academic_performance]]&gt;2,"Good",Table1[[#This Row],[academic_performance]]&gt;3,"Very good",Table1[[#This Row],[academic_performance]]&gt;4,"Excellent")</f>
        <v>Need Improvement</v>
      </c>
      <c r="K1014">
        <v>1</v>
      </c>
      <c r="L1014" t="str">
        <f>IF(Table1[[#This Row],[physical_activity]]&gt;1.9,"better overall ","lower rate of depression")</f>
        <v>lower rate of depression</v>
      </c>
      <c r="M1014" t="s">
        <v>18</v>
      </c>
      <c r="N1014">
        <v>5</v>
      </c>
      <c r="O1014">
        <v>4</v>
      </c>
      <c r="P1014">
        <v>8</v>
      </c>
      <c r="Q1014">
        <v>0</v>
      </c>
    </row>
    <row r="1015" spans="1:17" x14ac:dyDescent="0.3">
      <c r="A1015">
        <v>13</v>
      </c>
      <c r="B1015" t="s">
        <v>13</v>
      </c>
      <c r="C1015" t="str">
        <f>IF(Table1[[#This Row],[age]]&gt;18,"Adult","Teenage")</f>
        <v>Teenage</v>
      </c>
      <c r="D1015">
        <v>1.6</v>
      </c>
      <c r="E1015" t="s">
        <v>17</v>
      </c>
      <c r="F1015">
        <v>5</v>
      </c>
      <c r="G1015">
        <f>Table1[[#This Row],[sleep_hours]]-Table1[[#This Row],[daily_social_media_hours]]</f>
        <v>3.4</v>
      </c>
      <c r="H1015">
        <v>2.7</v>
      </c>
      <c r="I1015">
        <v>2.31</v>
      </c>
      <c r="J1015" t="str" cm="1">
        <f t="array" ref="J1015">_xlfn.IFS(Table1[[#This Row],[academic_performance]]&gt;1,"Need Improvement",Table1[[#This Row],[academic_performance]]&gt;2,"Good",Table1[[#This Row],[academic_performance]]&gt;3,"Very good",Table1[[#This Row],[academic_performance]]&gt;4,"Excellent")</f>
        <v>Need Improvement</v>
      </c>
      <c r="K1015">
        <v>1.9</v>
      </c>
      <c r="L1015" t="str">
        <f>IF(Table1[[#This Row],[physical_activity]]&gt;1.9,"better overall ","lower rate of depression")</f>
        <v>lower rate of depression</v>
      </c>
      <c r="M1015" t="s">
        <v>15</v>
      </c>
      <c r="N1015">
        <v>8</v>
      </c>
      <c r="O1015">
        <v>9</v>
      </c>
      <c r="P1015">
        <v>5</v>
      </c>
      <c r="Q1015">
        <v>0</v>
      </c>
    </row>
    <row r="1016" spans="1:17" x14ac:dyDescent="0.3">
      <c r="A1016">
        <v>18</v>
      </c>
      <c r="B1016" t="s">
        <v>13</v>
      </c>
      <c r="C1016" t="str">
        <f>IF(Table1[[#This Row],[age]]&gt;18,"Adult","Teenage")</f>
        <v>Teenage</v>
      </c>
      <c r="D1016">
        <v>5.3</v>
      </c>
      <c r="E1016" t="s">
        <v>20</v>
      </c>
      <c r="F1016">
        <v>8.1999999999999993</v>
      </c>
      <c r="G1016">
        <f>Table1[[#This Row],[sleep_hours]]-Table1[[#This Row],[daily_social_media_hours]]</f>
        <v>2.8999999999999995</v>
      </c>
      <c r="H1016">
        <v>1.9</v>
      </c>
      <c r="I1016">
        <v>3.87</v>
      </c>
      <c r="J1016" t="str" cm="1">
        <f t="array" ref="J1016">_xlfn.IFS(Table1[[#This Row],[academic_performance]]&gt;1,"Need Improvement",Table1[[#This Row],[academic_performance]]&gt;2,"Good",Table1[[#This Row],[academic_performance]]&gt;3,"Very good",Table1[[#This Row],[academic_performance]]&gt;4,"Excellent")</f>
        <v>Need Improvement</v>
      </c>
      <c r="K1016">
        <v>1.9</v>
      </c>
      <c r="L1016" t="str">
        <f>IF(Table1[[#This Row],[physical_activity]]&gt;1.9,"better overall ","lower rate of depression")</f>
        <v>lower rate of depression</v>
      </c>
      <c r="M1016" t="s">
        <v>15</v>
      </c>
      <c r="N1016">
        <v>2</v>
      </c>
      <c r="O1016">
        <v>9</v>
      </c>
      <c r="P1016">
        <v>8</v>
      </c>
      <c r="Q1016">
        <v>0</v>
      </c>
    </row>
    <row r="1017" spans="1:17" x14ac:dyDescent="0.3">
      <c r="A1017">
        <v>19</v>
      </c>
      <c r="B1017" t="s">
        <v>16</v>
      </c>
      <c r="C1017" t="str">
        <f>IF(Table1[[#This Row],[age]]&gt;18,"Adult","Teenage")</f>
        <v>Adult</v>
      </c>
      <c r="D1017">
        <v>7.4</v>
      </c>
      <c r="E1017" t="s">
        <v>20</v>
      </c>
      <c r="F1017">
        <v>4.4000000000000004</v>
      </c>
      <c r="G1017">
        <f>Table1[[#This Row],[sleep_hours]]-Table1[[#This Row],[daily_social_media_hours]]</f>
        <v>-3</v>
      </c>
      <c r="H1017">
        <v>1.4</v>
      </c>
      <c r="I1017">
        <v>3.78</v>
      </c>
      <c r="J1017" t="str" cm="1">
        <f t="array" ref="J1017">_xlfn.IFS(Table1[[#This Row],[academic_performance]]&gt;1,"Need Improvement",Table1[[#This Row],[academic_performance]]&gt;2,"Good",Table1[[#This Row],[academic_performance]]&gt;3,"Very good",Table1[[#This Row],[academic_performance]]&gt;4,"Excellent")</f>
        <v>Need Improvement</v>
      </c>
      <c r="K1017">
        <v>1.1000000000000001</v>
      </c>
      <c r="L1017" t="str">
        <f>IF(Table1[[#This Row],[physical_activity]]&gt;1.9,"better overall ","lower rate of depression")</f>
        <v>lower rate of depression</v>
      </c>
      <c r="M1017" t="s">
        <v>15</v>
      </c>
      <c r="N1017">
        <v>9</v>
      </c>
      <c r="O1017">
        <v>7</v>
      </c>
      <c r="P1017">
        <v>5</v>
      </c>
      <c r="Q1017">
        <v>1</v>
      </c>
    </row>
    <row r="1018" spans="1:17" x14ac:dyDescent="0.3">
      <c r="A1018">
        <v>18</v>
      </c>
      <c r="B1018" t="s">
        <v>16</v>
      </c>
      <c r="C1018" t="str">
        <f>IF(Table1[[#This Row],[age]]&gt;18,"Adult","Teenage")</f>
        <v>Teenage</v>
      </c>
      <c r="D1018">
        <v>2.2999999999999998</v>
      </c>
      <c r="E1018" t="s">
        <v>14</v>
      </c>
      <c r="F1018">
        <v>8.6999999999999993</v>
      </c>
      <c r="G1018">
        <f>Table1[[#This Row],[sleep_hours]]-Table1[[#This Row],[daily_social_media_hours]]</f>
        <v>6.3999999999999995</v>
      </c>
      <c r="H1018">
        <v>0.6</v>
      </c>
      <c r="I1018">
        <v>2.76</v>
      </c>
      <c r="J1018" t="str" cm="1">
        <f t="array" ref="J1018">_xlfn.IFS(Table1[[#This Row],[academic_performance]]&gt;1,"Need Improvement",Table1[[#This Row],[academic_performance]]&gt;2,"Good",Table1[[#This Row],[academic_performance]]&gt;3,"Very good",Table1[[#This Row],[academic_performance]]&gt;4,"Excellent")</f>
        <v>Need Improvement</v>
      </c>
      <c r="K1018">
        <v>1.9</v>
      </c>
      <c r="L1018" t="str">
        <f>IF(Table1[[#This Row],[physical_activity]]&gt;1.9,"better overall ","lower rate of depression")</f>
        <v>lower rate of depression</v>
      </c>
      <c r="M1018" t="s">
        <v>18</v>
      </c>
      <c r="N1018">
        <v>4</v>
      </c>
      <c r="O1018">
        <v>8</v>
      </c>
      <c r="P1018">
        <v>7</v>
      </c>
      <c r="Q1018">
        <v>0</v>
      </c>
    </row>
    <row r="1019" spans="1:17" x14ac:dyDescent="0.3">
      <c r="A1019">
        <v>16</v>
      </c>
      <c r="B1019" t="s">
        <v>13</v>
      </c>
      <c r="C1019" t="str">
        <f>IF(Table1[[#This Row],[age]]&gt;18,"Adult","Teenage")</f>
        <v>Teenage</v>
      </c>
      <c r="D1019">
        <v>7.6</v>
      </c>
      <c r="E1019" t="s">
        <v>20</v>
      </c>
      <c r="F1019">
        <v>6.1</v>
      </c>
      <c r="G1019">
        <f>Table1[[#This Row],[sleep_hours]]-Table1[[#This Row],[daily_social_media_hours]]</f>
        <v>-1.5</v>
      </c>
      <c r="H1019">
        <v>0.8</v>
      </c>
      <c r="I1019">
        <v>3.09</v>
      </c>
      <c r="J1019" t="str" cm="1">
        <f t="array" ref="J1019">_xlfn.IFS(Table1[[#This Row],[academic_performance]]&gt;1,"Need Improvement",Table1[[#This Row],[academic_performance]]&gt;2,"Good",Table1[[#This Row],[academic_performance]]&gt;3,"Very good",Table1[[#This Row],[academic_performance]]&gt;4,"Excellent")</f>
        <v>Need Improvement</v>
      </c>
      <c r="K1019">
        <v>1.3</v>
      </c>
      <c r="L1019" t="str">
        <f>IF(Table1[[#This Row],[physical_activity]]&gt;1.9,"better overall ","lower rate of depression")</f>
        <v>lower rate of depression</v>
      </c>
      <c r="M1019" t="s">
        <v>15</v>
      </c>
      <c r="N1019">
        <v>8</v>
      </c>
      <c r="O1019">
        <v>4</v>
      </c>
      <c r="P1019">
        <v>4</v>
      </c>
      <c r="Q1019">
        <v>0</v>
      </c>
    </row>
    <row r="1020" spans="1:17" x14ac:dyDescent="0.3">
      <c r="A1020">
        <v>16</v>
      </c>
      <c r="B1020" t="s">
        <v>16</v>
      </c>
      <c r="C1020" t="str">
        <f>IF(Table1[[#This Row],[age]]&gt;18,"Adult","Teenage")</f>
        <v>Teenage</v>
      </c>
      <c r="D1020">
        <v>7.6</v>
      </c>
      <c r="E1020" t="s">
        <v>17</v>
      </c>
      <c r="F1020">
        <v>7.6</v>
      </c>
      <c r="G1020">
        <f>Table1[[#This Row],[sleep_hours]]-Table1[[#This Row],[daily_social_media_hours]]</f>
        <v>0</v>
      </c>
      <c r="H1020">
        <v>2.4</v>
      </c>
      <c r="I1020">
        <v>2.2400000000000002</v>
      </c>
      <c r="J1020" t="str" cm="1">
        <f t="array" ref="J1020">_xlfn.IFS(Table1[[#This Row],[academic_performance]]&gt;1,"Need Improvement",Table1[[#This Row],[academic_performance]]&gt;2,"Good",Table1[[#This Row],[academic_performance]]&gt;3,"Very good",Table1[[#This Row],[academic_performance]]&gt;4,"Excellent")</f>
        <v>Need Improvement</v>
      </c>
      <c r="K1020">
        <v>1.1000000000000001</v>
      </c>
      <c r="L1020" t="str">
        <f>IF(Table1[[#This Row],[physical_activity]]&gt;1.9,"better overall ","lower rate of depression")</f>
        <v>lower rate of depression</v>
      </c>
      <c r="M1020" t="s">
        <v>19</v>
      </c>
      <c r="N1020">
        <v>1</v>
      </c>
      <c r="O1020">
        <v>5</v>
      </c>
      <c r="P1020">
        <v>5</v>
      </c>
      <c r="Q1020">
        <v>0</v>
      </c>
    </row>
    <row r="1021" spans="1:17" x14ac:dyDescent="0.3">
      <c r="A1021">
        <v>17</v>
      </c>
      <c r="B1021" t="s">
        <v>16</v>
      </c>
      <c r="C1021" t="str">
        <f>IF(Table1[[#This Row],[age]]&gt;18,"Adult","Teenage")</f>
        <v>Teenage</v>
      </c>
      <c r="D1021">
        <v>3.4</v>
      </c>
      <c r="E1021" t="s">
        <v>20</v>
      </c>
      <c r="F1021">
        <v>4.7</v>
      </c>
      <c r="G1021">
        <f>Table1[[#This Row],[sleep_hours]]-Table1[[#This Row],[daily_social_media_hours]]</f>
        <v>1.3000000000000003</v>
      </c>
      <c r="H1021">
        <v>0.5</v>
      </c>
      <c r="I1021">
        <v>2.91</v>
      </c>
      <c r="J1021" t="str" cm="1">
        <f t="array" ref="J1021">_xlfn.IFS(Table1[[#This Row],[academic_performance]]&gt;1,"Need Improvement",Table1[[#This Row],[academic_performance]]&gt;2,"Good",Table1[[#This Row],[academic_performance]]&gt;3,"Very good",Table1[[#This Row],[academic_performance]]&gt;4,"Excellent")</f>
        <v>Need Improvement</v>
      </c>
      <c r="K1021">
        <v>2</v>
      </c>
      <c r="L1021" t="str">
        <f>IF(Table1[[#This Row],[physical_activity]]&gt;1.9,"better overall ","lower rate of depression")</f>
        <v xml:space="preserve">better overall </v>
      </c>
      <c r="M1021" t="s">
        <v>18</v>
      </c>
      <c r="N1021">
        <v>2</v>
      </c>
      <c r="O1021">
        <v>8</v>
      </c>
      <c r="P1021">
        <v>1</v>
      </c>
      <c r="Q1021">
        <v>0</v>
      </c>
    </row>
    <row r="1022" spans="1:17" x14ac:dyDescent="0.3">
      <c r="A1022">
        <v>18</v>
      </c>
      <c r="B1022" t="s">
        <v>16</v>
      </c>
      <c r="C1022" t="str">
        <f>IF(Table1[[#This Row],[age]]&gt;18,"Adult","Teenage")</f>
        <v>Teenage</v>
      </c>
      <c r="D1022">
        <v>2.2999999999999998</v>
      </c>
      <c r="E1022" t="s">
        <v>14</v>
      </c>
      <c r="F1022">
        <v>4.2</v>
      </c>
      <c r="G1022">
        <f>Table1[[#This Row],[sleep_hours]]-Table1[[#This Row],[daily_social_media_hours]]</f>
        <v>1.9000000000000004</v>
      </c>
      <c r="H1022">
        <v>0.9</v>
      </c>
      <c r="I1022">
        <v>3.84</v>
      </c>
      <c r="J1022" t="str" cm="1">
        <f t="array" ref="J1022">_xlfn.IFS(Table1[[#This Row],[academic_performance]]&gt;1,"Need Improvement",Table1[[#This Row],[academic_performance]]&gt;2,"Good",Table1[[#This Row],[academic_performance]]&gt;3,"Very good",Table1[[#This Row],[academic_performance]]&gt;4,"Excellent")</f>
        <v>Need Improvement</v>
      </c>
      <c r="K1022">
        <v>1.3</v>
      </c>
      <c r="L1022" t="str">
        <f>IF(Table1[[#This Row],[physical_activity]]&gt;1.9,"better overall ","lower rate of depression")</f>
        <v>lower rate of depression</v>
      </c>
      <c r="M1022" t="s">
        <v>18</v>
      </c>
      <c r="N1022">
        <v>6</v>
      </c>
      <c r="O1022">
        <v>6</v>
      </c>
      <c r="P1022">
        <v>10</v>
      </c>
      <c r="Q1022">
        <v>0</v>
      </c>
    </row>
    <row r="1023" spans="1:17" x14ac:dyDescent="0.3">
      <c r="A1023">
        <v>18</v>
      </c>
      <c r="B1023" t="s">
        <v>13</v>
      </c>
      <c r="C1023" t="str">
        <f>IF(Table1[[#This Row],[age]]&gt;18,"Adult","Teenage")</f>
        <v>Teenage</v>
      </c>
      <c r="D1023">
        <v>5</v>
      </c>
      <c r="E1023" t="s">
        <v>14</v>
      </c>
      <c r="F1023">
        <v>4.3</v>
      </c>
      <c r="G1023">
        <f>Table1[[#This Row],[sleep_hours]]-Table1[[#This Row],[daily_social_media_hours]]</f>
        <v>-0.70000000000000018</v>
      </c>
      <c r="H1023">
        <v>1.1000000000000001</v>
      </c>
      <c r="I1023">
        <v>2.2200000000000002</v>
      </c>
      <c r="J1023" t="str" cm="1">
        <f t="array" ref="J1023">_xlfn.IFS(Table1[[#This Row],[academic_performance]]&gt;1,"Need Improvement",Table1[[#This Row],[academic_performance]]&gt;2,"Good",Table1[[#This Row],[academic_performance]]&gt;3,"Very good",Table1[[#This Row],[academic_performance]]&gt;4,"Excellent")</f>
        <v>Need Improvement</v>
      </c>
      <c r="K1023">
        <v>0.1</v>
      </c>
      <c r="L1023" t="str">
        <f>IF(Table1[[#This Row],[physical_activity]]&gt;1.9,"better overall ","lower rate of depression")</f>
        <v>lower rate of depression</v>
      </c>
      <c r="M1023" t="s">
        <v>18</v>
      </c>
      <c r="N1023">
        <v>7</v>
      </c>
      <c r="O1023">
        <v>2</v>
      </c>
      <c r="P1023">
        <v>2</v>
      </c>
      <c r="Q1023">
        <v>0</v>
      </c>
    </row>
    <row r="1024" spans="1:17" x14ac:dyDescent="0.3">
      <c r="A1024">
        <v>15</v>
      </c>
      <c r="B1024" t="s">
        <v>13</v>
      </c>
      <c r="C1024" t="str">
        <f>IF(Table1[[#This Row],[age]]&gt;18,"Adult","Teenage")</f>
        <v>Teenage</v>
      </c>
      <c r="D1024">
        <v>3.8</v>
      </c>
      <c r="E1024" t="s">
        <v>17</v>
      </c>
      <c r="F1024">
        <v>7.1</v>
      </c>
      <c r="G1024">
        <f>Table1[[#This Row],[sleep_hours]]-Table1[[#This Row],[daily_social_media_hours]]</f>
        <v>3.3</v>
      </c>
      <c r="H1024">
        <v>0.5</v>
      </c>
      <c r="I1024">
        <v>3.08</v>
      </c>
      <c r="J1024" t="str" cm="1">
        <f t="array" ref="J1024">_xlfn.IFS(Table1[[#This Row],[academic_performance]]&gt;1,"Need Improvement",Table1[[#This Row],[academic_performance]]&gt;2,"Good",Table1[[#This Row],[academic_performance]]&gt;3,"Very good",Table1[[#This Row],[academic_performance]]&gt;4,"Excellent")</f>
        <v>Need Improvement</v>
      </c>
      <c r="K1024">
        <v>0.2</v>
      </c>
      <c r="L1024" t="str">
        <f>IF(Table1[[#This Row],[physical_activity]]&gt;1.9,"better overall ","lower rate of depression")</f>
        <v>lower rate of depression</v>
      </c>
      <c r="M1024" t="s">
        <v>19</v>
      </c>
      <c r="N1024">
        <v>2</v>
      </c>
      <c r="O1024">
        <v>9</v>
      </c>
      <c r="P1024">
        <v>7</v>
      </c>
      <c r="Q1024">
        <v>0</v>
      </c>
    </row>
    <row r="1025" spans="1:17" x14ac:dyDescent="0.3">
      <c r="A1025">
        <v>16</v>
      </c>
      <c r="B1025" t="s">
        <v>13</v>
      </c>
      <c r="C1025" t="str">
        <f>IF(Table1[[#This Row],[age]]&gt;18,"Adult","Teenage")</f>
        <v>Teenage</v>
      </c>
      <c r="D1025">
        <v>3.7</v>
      </c>
      <c r="E1025" t="s">
        <v>14</v>
      </c>
      <c r="F1025">
        <v>7.6</v>
      </c>
      <c r="G1025">
        <f>Table1[[#This Row],[sleep_hours]]-Table1[[#This Row],[daily_social_media_hours]]</f>
        <v>3.8999999999999995</v>
      </c>
      <c r="H1025">
        <v>1.2</v>
      </c>
      <c r="I1025">
        <v>3.2</v>
      </c>
      <c r="J1025" t="str" cm="1">
        <f t="array" ref="J1025">_xlfn.IFS(Table1[[#This Row],[academic_performance]]&gt;1,"Need Improvement",Table1[[#This Row],[academic_performance]]&gt;2,"Good",Table1[[#This Row],[academic_performance]]&gt;3,"Very good",Table1[[#This Row],[academic_performance]]&gt;4,"Excellent")</f>
        <v>Need Improvement</v>
      </c>
      <c r="K1025">
        <v>1</v>
      </c>
      <c r="L1025" t="str">
        <f>IF(Table1[[#This Row],[physical_activity]]&gt;1.9,"better overall ","lower rate of depression")</f>
        <v>lower rate of depression</v>
      </c>
      <c r="M1025" t="s">
        <v>19</v>
      </c>
      <c r="N1025">
        <v>4</v>
      </c>
      <c r="O1025">
        <v>8</v>
      </c>
      <c r="P1025">
        <v>6</v>
      </c>
      <c r="Q1025">
        <v>0</v>
      </c>
    </row>
    <row r="1026" spans="1:17" x14ac:dyDescent="0.3">
      <c r="A1026">
        <v>13</v>
      </c>
      <c r="B1026" t="s">
        <v>13</v>
      </c>
      <c r="C1026" t="str">
        <f>IF(Table1[[#This Row],[age]]&gt;18,"Adult","Teenage")</f>
        <v>Teenage</v>
      </c>
      <c r="D1026">
        <v>1.4</v>
      </c>
      <c r="E1026" t="s">
        <v>20</v>
      </c>
      <c r="F1026">
        <v>8.6</v>
      </c>
      <c r="G1026">
        <f>Table1[[#This Row],[sleep_hours]]-Table1[[#This Row],[daily_social_media_hours]]</f>
        <v>7.1999999999999993</v>
      </c>
      <c r="H1026">
        <v>2.4</v>
      </c>
      <c r="I1026">
        <v>3.31</v>
      </c>
      <c r="J1026" t="str" cm="1">
        <f t="array" ref="J1026">_xlfn.IFS(Table1[[#This Row],[academic_performance]]&gt;1,"Need Improvement",Table1[[#This Row],[academic_performance]]&gt;2,"Good",Table1[[#This Row],[academic_performance]]&gt;3,"Very good",Table1[[#This Row],[academic_performance]]&gt;4,"Excellent")</f>
        <v>Need Improvement</v>
      </c>
      <c r="K1026">
        <v>0.7</v>
      </c>
      <c r="L1026" t="str">
        <f>IF(Table1[[#This Row],[physical_activity]]&gt;1.9,"better overall ","lower rate of depression")</f>
        <v>lower rate of depression</v>
      </c>
      <c r="M1026" t="s">
        <v>15</v>
      </c>
      <c r="N1026">
        <v>2</v>
      </c>
      <c r="O1026">
        <v>6</v>
      </c>
      <c r="P1026">
        <v>2</v>
      </c>
      <c r="Q1026">
        <v>0</v>
      </c>
    </row>
    <row r="1027" spans="1:17" x14ac:dyDescent="0.3">
      <c r="A1027">
        <v>18</v>
      </c>
      <c r="B1027" t="s">
        <v>13</v>
      </c>
      <c r="C1027" t="str">
        <f>IF(Table1[[#This Row],[age]]&gt;18,"Adult","Teenage")</f>
        <v>Teenage</v>
      </c>
      <c r="D1027">
        <v>1.8</v>
      </c>
      <c r="E1027" t="s">
        <v>20</v>
      </c>
      <c r="F1027">
        <v>4.9000000000000004</v>
      </c>
      <c r="G1027">
        <f>Table1[[#This Row],[sleep_hours]]-Table1[[#This Row],[daily_social_media_hours]]</f>
        <v>3.1000000000000005</v>
      </c>
      <c r="H1027">
        <v>2.7</v>
      </c>
      <c r="I1027">
        <v>2.12</v>
      </c>
      <c r="J1027" t="str" cm="1">
        <f t="array" ref="J1027">_xlfn.IFS(Table1[[#This Row],[academic_performance]]&gt;1,"Need Improvement",Table1[[#This Row],[academic_performance]]&gt;2,"Good",Table1[[#This Row],[academic_performance]]&gt;3,"Very good",Table1[[#This Row],[academic_performance]]&gt;4,"Excellent")</f>
        <v>Need Improvement</v>
      </c>
      <c r="K1027">
        <v>0.2</v>
      </c>
      <c r="L1027" t="str">
        <f>IF(Table1[[#This Row],[physical_activity]]&gt;1.9,"better overall ","lower rate of depression")</f>
        <v>lower rate of depression</v>
      </c>
      <c r="M1027" t="s">
        <v>15</v>
      </c>
      <c r="N1027">
        <v>1</v>
      </c>
      <c r="O1027">
        <v>3</v>
      </c>
      <c r="P1027">
        <v>8</v>
      </c>
      <c r="Q1027">
        <v>0</v>
      </c>
    </row>
    <row r="1028" spans="1:17" x14ac:dyDescent="0.3">
      <c r="A1028">
        <v>19</v>
      </c>
      <c r="B1028" t="s">
        <v>13</v>
      </c>
      <c r="C1028" t="str">
        <f>IF(Table1[[#This Row],[age]]&gt;18,"Adult","Teenage")</f>
        <v>Adult</v>
      </c>
      <c r="D1028">
        <v>1.5</v>
      </c>
      <c r="E1028" t="s">
        <v>17</v>
      </c>
      <c r="F1028">
        <v>5.8</v>
      </c>
      <c r="G1028">
        <f>Table1[[#This Row],[sleep_hours]]-Table1[[#This Row],[daily_social_media_hours]]</f>
        <v>4.3</v>
      </c>
      <c r="H1028">
        <v>1.1000000000000001</v>
      </c>
      <c r="I1028">
        <v>3.29</v>
      </c>
      <c r="J1028" t="str" cm="1">
        <f t="array" ref="J1028">_xlfn.IFS(Table1[[#This Row],[academic_performance]]&gt;1,"Need Improvement",Table1[[#This Row],[academic_performance]]&gt;2,"Good",Table1[[#This Row],[academic_performance]]&gt;3,"Very good",Table1[[#This Row],[academic_performance]]&gt;4,"Excellent")</f>
        <v>Need Improvement</v>
      </c>
      <c r="K1028">
        <v>1.7</v>
      </c>
      <c r="L1028" t="str">
        <f>IF(Table1[[#This Row],[physical_activity]]&gt;1.9,"better overall ","lower rate of depression")</f>
        <v>lower rate of depression</v>
      </c>
      <c r="M1028" t="s">
        <v>18</v>
      </c>
      <c r="N1028">
        <v>6</v>
      </c>
      <c r="O1028">
        <v>4</v>
      </c>
      <c r="P1028">
        <v>2</v>
      </c>
      <c r="Q1028">
        <v>0</v>
      </c>
    </row>
    <row r="1029" spans="1:17" x14ac:dyDescent="0.3">
      <c r="A1029">
        <v>18</v>
      </c>
      <c r="B1029" t="s">
        <v>16</v>
      </c>
      <c r="C1029" t="str">
        <f>IF(Table1[[#This Row],[age]]&gt;18,"Adult","Teenage")</f>
        <v>Teenage</v>
      </c>
      <c r="D1029">
        <v>5.5</v>
      </c>
      <c r="E1029" t="s">
        <v>20</v>
      </c>
      <c r="F1029">
        <v>5.5</v>
      </c>
      <c r="G1029">
        <f>Table1[[#This Row],[sleep_hours]]-Table1[[#This Row],[daily_social_media_hours]]</f>
        <v>0</v>
      </c>
      <c r="H1029">
        <v>1.8</v>
      </c>
      <c r="I1029">
        <v>2.2400000000000002</v>
      </c>
      <c r="J1029" t="str" cm="1">
        <f t="array" ref="J1029">_xlfn.IFS(Table1[[#This Row],[academic_performance]]&gt;1,"Need Improvement",Table1[[#This Row],[academic_performance]]&gt;2,"Good",Table1[[#This Row],[academic_performance]]&gt;3,"Very good",Table1[[#This Row],[academic_performance]]&gt;4,"Excellent")</f>
        <v>Need Improvement</v>
      </c>
      <c r="K1029">
        <v>0</v>
      </c>
      <c r="L1029" t="str">
        <f>IF(Table1[[#This Row],[physical_activity]]&gt;1.9,"better overall ","lower rate of depression")</f>
        <v>lower rate of depression</v>
      </c>
      <c r="M1029" t="s">
        <v>18</v>
      </c>
      <c r="N1029">
        <v>3</v>
      </c>
      <c r="O1029">
        <v>4</v>
      </c>
      <c r="P1029">
        <v>10</v>
      </c>
      <c r="Q1029">
        <v>0</v>
      </c>
    </row>
    <row r="1030" spans="1:17" x14ac:dyDescent="0.3">
      <c r="A1030">
        <v>15</v>
      </c>
      <c r="B1030" t="s">
        <v>13</v>
      </c>
      <c r="C1030" t="str">
        <f>IF(Table1[[#This Row],[age]]&gt;18,"Adult","Teenage")</f>
        <v>Teenage</v>
      </c>
      <c r="D1030">
        <v>4.9000000000000004</v>
      </c>
      <c r="E1030" t="s">
        <v>20</v>
      </c>
      <c r="F1030">
        <v>5.2</v>
      </c>
      <c r="G1030">
        <f>Table1[[#This Row],[sleep_hours]]-Table1[[#This Row],[daily_social_media_hours]]</f>
        <v>0.29999999999999982</v>
      </c>
      <c r="H1030">
        <v>0.7</v>
      </c>
      <c r="I1030">
        <v>2.5499999999999998</v>
      </c>
      <c r="J1030" t="str" cm="1">
        <f t="array" ref="J1030">_xlfn.IFS(Table1[[#This Row],[academic_performance]]&gt;1,"Need Improvement",Table1[[#This Row],[academic_performance]]&gt;2,"Good",Table1[[#This Row],[academic_performance]]&gt;3,"Very good",Table1[[#This Row],[academic_performance]]&gt;4,"Excellent")</f>
        <v>Need Improvement</v>
      </c>
      <c r="K1030">
        <v>0.1</v>
      </c>
      <c r="L1030" t="str">
        <f>IF(Table1[[#This Row],[physical_activity]]&gt;1.9,"better overall ","lower rate of depression")</f>
        <v>lower rate of depression</v>
      </c>
      <c r="M1030" t="s">
        <v>15</v>
      </c>
      <c r="N1030">
        <v>10</v>
      </c>
      <c r="O1030">
        <v>6</v>
      </c>
      <c r="P1030">
        <v>4</v>
      </c>
      <c r="Q1030">
        <v>0</v>
      </c>
    </row>
    <row r="1031" spans="1:17" x14ac:dyDescent="0.3">
      <c r="A1031">
        <v>14</v>
      </c>
      <c r="B1031" t="s">
        <v>16</v>
      </c>
      <c r="C1031" t="str">
        <f>IF(Table1[[#This Row],[age]]&gt;18,"Adult","Teenage")</f>
        <v>Teenage</v>
      </c>
      <c r="D1031">
        <v>7.2</v>
      </c>
      <c r="E1031" t="s">
        <v>20</v>
      </c>
      <c r="F1031">
        <v>7</v>
      </c>
      <c r="G1031">
        <f>Table1[[#This Row],[sleep_hours]]-Table1[[#This Row],[daily_social_media_hours]]</f>
        <v>-0.20000000000000018</v>
      </c>
      <c r="H1031">
        <v>2.2999999999999998</v>
      </c>
      <c r="I1031">
        <v>3.74</v>
      </c>
      <c r="J1031" t="str" cm="1">
        <f t="array" ref="J1031">_xlfn.IFS(Table1[[#This Row],[academic_performance]]&gt;1,"Need Improvement",Table1[[#This Row],[academic_performance]]&gt;2,"Good",Table1[[#This Row],[academic_performance]]&gt;3,"Very good",Table1[[#This Row],[academic_performance]]&gt;4,"Excellent")</f>
        <v>Need Improvement</v>
      </c>
      <c r="K1031">
        <v>0.7</v>
      </c>
      <c r="L1031" t="str">
        <f>IF(Table1[[#This Row],[physical_activity]]&gt;1.9,"better overall ","lower rate of depression")</f>
        <v>lower rate of depression</v>
      </c>
      <c r="M1031" t="s">
        <v>15</v>
      </c>
      <c r="N1031">
        <v>8</v>
      </c>
      <c r="O1031">
        <v>4</v>
      </c>
      <c r="P1031">
        <v>7</v>
      </c>
      <c r="Q1031">
        <v>0</v>
      </c>
    </row>
    <row r="1032" spans="1:17" x14ac:dyDescent="0.3">
      <c r="A1032">
        <v>16</v>
      </c>
      <c r="B1032" t="s">
        <v>16</v>
      </c>
      <c r="C1032" t="str">
        <f>IF(Table1[[#This Row],[age]]&gt;18,"Adult","Teenage")</f>
        <v>Teenage</v>
      </c>
      <c r="D1032">
        <v>6.8</v>
      </c>
      <c r="E1032" t="s">
        <v>14</v>
      </c>
      <c r="F1032">
        <v>7.2</v>
      </c>
      <c r="G1032">
        <f>Table1[[#This Row],[sleep_hours]]-Table1[[#This Row],[daily_social_media_hours]]</f>
        <v>0.40000000000000036</v>
      </c>
      <c r="H1032">
        <v>1.1000000000000001</v>
      </c>
      <c r="I1032">
        <v>2.29</v>
      </c>
      <c r="J1032" t="str" cm="1">
        <f t="array" ref="J1032">_xlfn.IFS(Table1[[#This Row],[academic_performance]]&gt;1,"Need Improvement",Table1[[#This Row],[academic_performance]]&gt;2,"Good",Table1[[#This Row],[academic_performance]]&gt;3,"Very good",Table1[[#This Row],[academic_performance]]&gt;4,"Excellent")</f>
        <v>Need Improvement</v>
      </c>
      <c r="K1032">
        <v>1.9</v>
      </c>
      <c r="L1032" t="str">
        <f>IF(Table1[[#This Row],[physical_activity]]&gt;1.9,"better overall ","lower rate of depression")</f>
        <v>lower rate of depression</v>
      </c>
      <c r="M1032" t="s">
        <v>15</v>
      </c>
      <c r="N1032">
        <v>8</v>
      </c>
      <c r="O1032">
        <v>5</v>
      </c>
      <c r="P1032">
        <v>9</v>
      </c>
      <c r="Q1032">
        <v>0</v>
      </c>
    </row>
    <row r="1033" spans="1:17" x14ac:dyDescent="0.3">
      <c r="A1033">
        <v>13</v>
      </c>
      <c r="B1033" t="s">
        <v>16</v>
      </c>
      <c r="C1033" t="str">
        <f>IF(Table1[[#This Row],[age]]&gt;18,"Adult","Teenage")</f>
        <v>Teenage</v>
      </c>
      <c r="D1033">
        <v>2.2000000000000002</v>
      </c>
      <c r="E1033" t="s">
        <v>20</v>
      </c>
      <c r="F1033">
        <v>7.7</v>
      </c>
      <c r="G1033">
        <f>Table1[[#This Row],[sleep_hours]]-Table1[[#This Row],[daily_social_media_hours]]</f>
        <v>5.5</v>
      </c>
      <c r="H1033">
        <v>2.1</v>
      </c>
      <c r="I1033">
        <v>2.33</v>
      </c>
      <c r="J1033" t="str" cm="1">
        <f t="array" ref="J1033">_xlfn.IFS(Table1[[#This Row],[academic_performance]]&gt;1,"Need Improvement",Table1[[#This Row],[academic_performance]]&gt;2,"Good",Table1[[#This Row],[academic_performance]]&gt;3,"Very good",Table1[[#This Row],[academic_performance]]&gt;4,"Excellent")</f>
        <v>Need Improvement</v>
      </c>
      <c r="K1033">
        <v>1.7</v>
      </c>
      <c r="L1033" t="str">
        <f>IF(Table1[[#This Row],[physical_activity]]&gt;1.9,"better overall ","lower rate of depression")</f>
        <v>lower rate of depression</v>
      </c>
      <c r="M1033" t="s">
        <v>15</v>
      </c>
      <c r="N1033">
        <v>2</v>
      </c>
      <c r="O1033">
        <v>8</v>
      </c>
      <c r="P1033">
        <v>7</v>
      </c>
      <c r="Q1033">
        <v>0</v>
      </c>
    </row>
    <row r="1034" spans="1:17" x14ac:dyDescent="0.3">
      <c r="A1034">
        <v>16</v>
      </c>
      <c r="B1034" t="s">
        <v>16</v>
      </c>
      <c r="C1034" t="str">
        <f>IF(Table1[[#This Row],[age]]&gt;18,"Adult","Teenage")</f>
        <v>Teenage</v>
      </c>
      <c r="D1034">
        <v>5.9</v>
      </c>
      <c r="E1034" t="s">
        <v>17</v>
      </c>
      <c r="F1034">
        <v>7</v>
      </c>
      <c r="G1034">
        <f>Table1[[#This Row],[sleep_hours]]-Table1[[#This Row],[daily_social_media_hours]]</f>
        <v>1.0999999999999996</v>
      </c>
      <c r="H1034">
        <v>0.8</v>
      </c>
      <c r="I1034">
        <v>2.29</v>
      </c>
      <c r="J1034" t="str" cm="1">
        <f t="array" ref="J1034">_xlfn.IFS(Table1[[#This Row],[academic_performance]]&gt;1,"Need Improvement",Table1[[#This Row],[academic_performance]]&gt;2,"Good",Table1[[#This Row],[academic_performance]]&gt;3,"Very good",Table1[[#This Row],[academic_performance]]&gt;4,"Excellent")</f>
        <v>Need Improvement</v>
      </c>
      <c r="K1034">
        <v>1.6</v>
      </c>
      <c r="L1034" t="str">
        <f>IF(Table1[[#This Row],[physical_activity]]&gt;1.9,"better overall ","lower rate of depression")</f>
        <v>lower rate of depression</v>
      </c>
      <c r="M1034" t="s">
        <v>15</v>
      </c>
      <c r="N1034">
        <v>6</v>
      </c>
      <c r="O1034">
        <v>8</v>
      </c>
      <c r="P1034">
        <v>1</v>
      </c>
      <c r="Q1034">
        <v>0</v>
      </c>
    </row>
    <row r="1035" spans="1:17" x14ac:dyDescent="0.3">
      <c r="A1035">
        <v>15</v>
      </c>
      <c r="B1035" t="s">
        <v>16</v>
      </c>
      <c r="C1035" t="str">
        <f>IF(Table1[[#This Row],[age]]&gt;18,"Adult","Teenage")</f>
        <v>Teenage</v>
      </c>
      <c r="D1035">
        <v>2.2000000000000002</v>
      </c>
      <c r="E1035" t="s">
        <v>14</v>
      </c>
      <c r="F1035">
        <v>7.5</v>
      </c>
      <c r="G1035">
        <f>Table1[[#This Row],[sleep_hours]]-Table1[[#This Row],[daily_social_media_hours]]</f>
        <v>5.3</v>
      </c>
      <c r="H1035">
        <v>1.4</v>
      </c>
      <c r="I1035">
        <v>3.19</v>
      </c>
      <c r="J1035" t="str" cm="1">
        <f t="array" ref="J1035">_xlfn.IFS(Table1[[#This Row],[academic_performance]]&gt;1,"Need Improvement",Table1[[#This Row],[academic_performance]]&gt;2,"Good",Table1[[#This Row],[academic_performance]]&gt;3,"Very good",Table1[[#This Row],[academic_performance]]&gt;4,"Excellent")</f>
        <v>Need Improvement</v>
      </c>
      <c r="K1035">
        <v>1.8</v>
      </c>
      <c r="L1035" t="str">
        <f>IF(Table1[[#This Row],[physical_activity]]&gt;1.9,"better overall ","lower rate of depression")</f>
        <v>lower rate of depression</v>
      </c>
      <c r="M1035" t="s">
        <v>15</v>
      </c>
      <c r="N1035">
        <v>6</v>
      </c>
      <c r="O1035">
        <v>1</v>
      </c>
      <c r="P1035">
        <v>7</v>
      </c>
      <c r="Q1035">
        <v>0</v>
      </c>
    </row>
    <row r="1036" spans="1:17" x14ac:dyDescent="0.3">
      <c r="A1036">
        <v>19</v>
      </c>
      <c r="B1036" t="s">
        <v>16</v>
      </c>
      <c r="C1036" t="str">
        <f>IF(Table1[[#This Row],[age]]&gt;18,"Adult","Teenage")</f>
        <v>Adult</v>
      </c>
      <c r="D1036">
        <v>2.4</v>
      </c>
      <c r="E1036" t="s">
        <v>14</v>
      </c>
      <c r="F1036">
        <v>4.2</v>
      </c>
      <c r="G1036">
        <f>Table1[[#This Row],[sleep_hours]]-Table1[[#This Row],[daily_social_media_hours]]</f>
        <v>1.8000000000000003</v>
      </c>
      <c r="H1036">
        <v>1.2</v>
      </c>
      <c r="I1036">
        <v>3.87</v>
      </c>
      <c r="J1036" t="str" cm="1">
        <f t="array" ref="J1036">_xlfn.IFS(Table1[[#This Row],[academic_performance]]&gt;1,"Need Improvement",Table1[[#This Row],[academic_performance]]&gt;2,"Good",Table1[[#This Row],[academic_performance]]&gt;3,"Very good",Table1[[#This Row],[academic_performance]]&gt;4,"Excellent")</f>
        <v>Need Improvement</v>
      </c>
      <c r="K1036">
        <v>1.3</v>
      </c>
      <c r="L1036" t="str">
        <f>IF(Table1[[#This Row],[physical_activity]]&gt;1.9,"better overall ","lower rate of depression")</f>
        <v>lower rate of depression</v>
      </c>
      <c r="M1036" t="s">
        <v>15</v>
      </c>
      <c r="N1036">
        <v>1</v>
      </c>
      <c r="O1036">
        <v>9</v>
      </c>
      <c r="P1036">
        <v>5</v>
      </c>
      <c r="Q1036">
        <v>0</v>
      </c>
    </row>
    <row r="1037" spans="1:17" x14ac:dyDescent="0.3">
      <c r="A1037">
        <v>15</v>
      </c>
      <c r="B1037" t="s">
        <v>13</v>
      </c>
      <c r="C1037" t="str">
        <f>IF(Table1[[#This Row],[age]]&gt;18,"Adult","Teenage")</f>
        <v>Teenage</v>
      </c>
      <c r="D1037">
        <v>4.0999999999999996</v>
      </c>
      <c r="E1037" t="s">
        <v>14</v>
      </c>
      <c r="F1037">
        <v>7.6</v>
      </c>
      <c r="G1037">
        <f>Table1[[#This Row],[sleep_hours]]-Table1[[#This Row],[daily_social_media_hours]]</f>
        <v>3.5</v>
      </c>
      <c r="H1037">
        <v>1</v>
      </c>
      <c r="I1037">
        <v>2.17</v>
      </c>
      <c r="J1037" t="str" cm="1">
        <f t="array" ref="J1037">_xlfn.IFS(Table1[[#This Row],[academic_performance]]&gt;1,"Need Improvement",Table1[[#This Row],[academic_performance]]&gt;2,"Good",Table1[[#This Row],[academic_performance]]&gt;3,"Very good",Table1[[#This Row],[academic_performance]]&gt;4,"Excellent")</f>
        <v>Need Improvement</v>
      </c>
      <c r="K1037">
        <v>1.1000000000000001</v>
      </c>
      <c r="L1037" t="str">
        <f>IF(Table1[[#This Row],[physical_activity]]&gt;1.9,"better overall ","lower rate of depression")</f>
        <v>lower rate of depression</v>
      </c>
      <c r="M1037" t="s">
        <v>15</v>
      </c>
      <c r="N1037">
        <v>4</v>
      </c>
      <c r="O1037">
        <v>5</v>
      </c>
      <c r="P1037">
        <v>1</v>
      </c>
      <c r="Q1037">
        <v>0</v>
      </c>
    </row>
    <row r="1038" spans="1:17" x14ac:dyDescent="0.3">
      <c r="A1038">
        <v>18</v>
      </c>
      <c r="B1038" t="s">
        <v>16</v>
      </c>
      <c r="C1038" t="str">
        <f>IF(Table1[[#This Row],[age]]&gt;18,"Adult","Teenage")</f>
        <v>Teenage</v>
      </c>
      <c r="D1038">
        <v>4.5</v>
      </c>
      <c r="E1038" t="s">
        <v>14</v>
      </c>
      <c r="F1038">
        <v>7</v>
      </c>
      <c r="G1038">
        <f>Table1[[#This Row],[sleep_hours]]-Table1[[#This Row],[daily_social_media_hours]]</f>
        <v>2.5</v>
      </c>
      <c r="H1038">
        <v>2.7</v>
      </c>
      <c r="I1038">
        <v>2.89</v>
      </c>
      <c r="J1038" t="str" cm="1">
        <f t="array" ref="J1038">_xlfn.IFS(Table1[[#This Row],[academic_performance]]&gt;1,"Need Improvement",Table1[[#This Row],[academic_performance]]&gt;2,"Good",Table1[[#This Row],[academic_performance]]&gt;3,"Very good",Table1[[#This Row],[academic_performance]]&gt;4,"Excellent")</f>
        <v>Need Improvement</v>
      </c>
      <c r="K1038">
        <v>1.8</v>
      </c>
      <c r="L1038" t="str">
        <f>IF(Table1[[#This Row],[physical_activity]]&gt;1.9,"better overall ","lower rate of depression")</f>
        <v>lower rate of depression</v>
      </c>
      <c r="M1038" t="s">
        <v>18</v>
      </c>
      <c r="N1038">
        <v>1</v>
      </c>
      <c r="O1038">
        <v>1</v>
      </c>
      <c r="P1038">
        <v>2</v>
      </c>
      <c r="Q1038">
        <v>0</v>
      </c>
    </row>
    <row r="1039" spans="1:17" x14ac:dyDescent="0.3">
      <c r="A1039">
        <v>14</v>
      </c>
      <c r="B1039" t="s">
        <v>16</v>
      </c>
      <c r="C1039" t="str">
        <f>IF(Table1[[#This Row],[age]]&gt;18,"Adult","Teenage")</f>
        <v>Teenage</v>
      </c>
      <c r="D1039">
        <v>4.5999999999999996</v>
      </c>
      <c r="E1039" t="s">
        <v>14</v>
      </c>
      <c r="F1039">
        <v>5.9</v>
      </c>
      <c r="G1039">
        <f>Table1[[#This Row],[sleep_hours]]-Table1[[#This Row],[daily_social_media_hours]]</f>
        <v>1.3000000000000007</v>
      </c>
      <c r="H1039">
        <v>1.4</v>
      </c>
      <c r="I1039">
        <v>2.15</v>
      </c>
      <c r="J1039" t="str" cm="1">
        <f t="array" ref="J1039">_xlfn.IFS(Table1[[#This Row],[academic_performance]]&gt;1,"Need Improvement",Table1[[#This Row],[academic_performance]]&gt;2,"Good",Table1[[#This Row],[academic_performance]]&gt;3,"Very good",Table1[[#This Row],[academic_performance]]&gt;4,"Excellent")</f>
        <v>Need Improvement</v>
      </c>
      <c r="K1039">
        <v>0.3</v>
      </c>
      <c r="L1039" t="str">
        <f>IF(Table1[[#This Row],[physical_activity]]&gt;1.9,"better overall ","lower rate of depression")</f>
        <v>lower rate of depression</v>
      </c>
      <c r="M1039" t="s">
        <v>18</v>
      </c>
      <c r="N1039">
        <v>3</v>
      </c>
      <c r="O1039">
        <v>10</v>
      </c>
      <c r="P1039">
        <v>2</v>
      </c>
      <c r="Q1039">
        <v>0</v>
      </c>
    </row>
    <row r="1040" spans="1:17" x14ac:dyDescent="0.3">
      <c r="A1040">
        <v>17</v>
      </c>
      <c r="B1040" t="s">
        <v>16</v>
      </c>
      <c r="C1040" t="str">
        <f>IF(Table1[[#This Row],[age]]&gt;18,"Adult","Teenage")</f>
        <v>Teenage</v>
      </c>
      <c r="D1040">
        <v>4.5</v>
      </c>
      <c r="E1040" t="s">
        <v>20</v>
      </c>
      <c r="F1040">
        <v>6.1</v>
      </c>
      <c r="G1040">
        <f>Table1[[#This Row],[sleep_hours]]-Table1[[#This Row],[daily_social_media_hours]]</f>
        <v>1.5999999999999996</v>
      </c>
      <c r="H1040">
        <v>2.8</v>
      </c>
      <c r="I1040">
        <v>3.38</v>
      </c>
      <c r="J1040" t="str" cm="1">
        <f t="array" ref="J1040">_xlfn.IFS(Table1[[#This Row],[academic_performance]]&gt;1,"Need Improvement",Table1[[#This Row],[academic_performance]]&gt;2,"Good",Table1[[#This Row],[academic_performance]]&gt;3,"Very good",Table1[[#This Row],[academic_performance]]&gt;4,"Excellent")</f>
        <v>Need Improvement</v>
      </c>
      <c r="K1040">
        <v>1.2</v>
      </c>
      <c r="L1040" t="str">
        <f>IF(Table1[[#This Row],[physical_activity]]&gt;1.9,"better overall ","lower rate of depression")</f>
        <v>lower rate of depression</v>
      </c>
      <c r="M1040" t="s">
        <v>15</v>
      </c>
      <c r="N1040">
        <v>10</v>
      </c>
      <c r="O1040">
        <v>4</v>
      </c>
      <c r="P1040">
        <v>2</v>
      </c>
      <c r="Q1040">
        <v>0</v>
      </c>
    </row>
    <row r="1041" spans="1:17" x14ac:dyDescent="0.3">
      <c r="A1041">
        <v>13</v>
      </c>
      <c r="B1041" t="s">
        <v>13</v>
      </c>
      <c r="C1041" t="str">
        <f>IF(Table1[[#This Row],[age]]&gt;18,"Adult","Teenage")</f>
        <v>Teenage</v>
      </c>
      <c r="D1041">
        <v>5</v>
      </c>
      <c r="E1041" t="s">
        <v>14</v>
      </c>
      <c r="F1041">
        <v>5.2</v>
      </c>
      <c r="G1041">
        <f>Table1[[#This Row],[sleep_hours]]-Table1[[#This Row],[daily_social_media_hours]]</f>
        <v>0.20000000000000018</v>
      </c>
      <c r="H1041">
        <v>2.6</v>
      </c>
      <c r="I1041">
        <v>2.04</v>
      </c>
      <c r="J1041" t="str" cm="1">
        <f t="array" ref="J1041">_xlfn.IFS(Table1[[#This Row],[academic_performance]]&gt;1,"Need Improvement",Table1[[#This Row],[academic_performance]]&gt;2,"Good",Table1[[#This Row],[academic_performance]]&gt;3,"Very good",Table1[[#This Row],[academic_performance]]&gt;4,"Excellent")</f>
        <v>Need Improvement</v>
      </c>
      <c r="K1041">
        <v>1.7</v>
      </c>
      <c r="L1041" t="str">
        <f>IF(Table1[[#This Row],[physical_activity]]&gt;1.9,"better overall ","lower rate of depression")</f>
        <v>lower rate of depression</v>
      </c>
      <c r="M1041" t="s">
        <v>19</v>
      </c>
      <c r="N1041">
        <v>4</v>
      </c>
      <c r="O1041">
        <v>4</v>
      </c>
      <c r="P1041">
        <v>5</v>
      </c>
      <c r="Q1041">
        <v>0</v>
      </c>
    </row>
    <row r="1042" spans="1:17" x14ac:dyDescent="0.3">
      <c r="A1042">
        <v>19</v>
      </c>
      <c r="B1042" t="s">
        <v>16</v>
      </c>
      <c r="C1042" t="str">
        <f>IF(Table1[[#This Row],[age]]&gt;18,"Adult","Teenage")</f>
        <v>Adult</v>
      </c>
      <c r="D1042">
        <v>4.0999999999999996</v>
      </c>
      <c r="E1042" t="s">
        <v>20</v>
      </c>
      <c r="F1042">
        <v>6.4</v>
      </c>
      <c r="G1042">
        <f>Table1[[#This Row],[sleep_hours]]-Table1[[#This Row],[daily_social_media_hours]]</f>
        <v>2.3000000000000007</v>
      </c>
      <c r="H1042">
        <v>1.4</v>
      </c>
      <c r="I1042">
        <v>2.2599999999999998</v>
      </c>
      <c r="J1042" t="str" cm="1">
        <f t="array" ref="J1042">_xlfn.IFS(Table1[[#This Row],[academic_performance]]&gt;1,"Need Improvement",Table1[[#This Row],[academic_performance]]&gt;2,"Good",Table1[[#This Row],[academic_performance]]&gt;3,"Very good",Table1[[#This Row],[academic_performance]]&gt;4,"Excellent")</f>
        <v>Need Improvement</v>
      </c>
      <c r="K1042">
        <v>1.6</v>
      </c>
      <c r="L1042" t="str">
        <f>IF(Table1[[#This Row],[physical_activity]]&gt;1.9,"better overall ","lower rate of depression")</f>
        <v>lower rate of depression</v>
      </c>
      <c r="M1042" t="s">
        <v>18</v>
      </c>
      <c r="N1042">
        <v>2</v>
      </c>
      <c r="O1042">
        <v>3</v>
      </c>
      <c r="P1042">
        <v>6</v>
      </c>
      <c r="Q1042">
        <v>0</v>
      </c>
    </row>
    <row r="1043" spans="1:17" x14ac:dyDescent="0.3">
      <c r="A1043">
        <v>18</v>
      </c>
      <c r="B1043" t="s">
        <v>13</v>
      </c>
      <c r="C1043" t="str">
        <f>IF(Table1[[#This Row],[age]]&gt;18,"Adult","Teenage")</f>
        <v>Teenage</v>
      </c>
      <c r="D1043">
        <v>7.5</v>
      </c>
      <c r="E1043" t="s">
        <v>17</v>
      </c>
      <c r="F1043">
        <v>7.6</v>
      </c>
      <c r="G1043">
        <f>Table1[[#This Row],[sleep_hours]]-Table1[[#This Row],[daily_social_media_hours]]</f>
        <v>9.9999999999999645E-2</v>
      </c>
      <c r="H1043">
        <v>1.8</v>
      </c>
      <c r="I1043">
        <v>3.19</v>
      </c>
      <c r="J1043" t="str" cm="1">
        <f t="array" ref="J1043">_xlfn.IFS(Table1[[#This Row],[academic_performance]]&gt;1,"Need Improvement",Table1[[#This Row],[academic_performance]]&gt;2,"Good",Table1[[#This Row],[academic_performance]]&gt;3,"Very good",Table1[[#This Row],[academic_performance]]&gt;4,"Excellent")</f>
        <v>Need Improvement</v>
      </c>
      <c r="K1043">
        <v>1.7</v>
      </c>
      <c r="L1043" t="str">
        <f>IF(Table1[[#This Row],[physical_activity]]&gt;1.9,"better overall ","lower rate of depression")</f>
        <v>lower rate of depression</v>
      </c>
      <c r="M1043" t="s">
        <v>18</v>
      </c>
      <c r="N1043">
        <v>2</v>
      </c>
      <c r="O1043">
        <v>6</v>
      </c>
      <c r="P1043">
        <v>6</v>
      </c>
      <c r="Q1043">
        <v>0</v>
      </c>
    </row>
    <row r="1044" spans="1:17" x14ac:dyDescent="0.3">
      <c r="A1044">
        <v>18</v>
      </c>
      <c r="B1044" t="s">
        <v>13</v>
      </c>
      <c r="C1044" t="str">
        <f>IF(Table1[[#This Row],[age]]&gt;18,"Adult","Teenage")</f>
        <v>Teenage</v>
      </c>
      <c r="D1044">
        <v>4.2</v>
      </c>
      <c r="E1044" t="s">
        <v>14</v>
      </c>
      <c r="F1044">
        <v>5.5</v>
      </c>
      <c r="G1044">
        <f>Table1[[#This Row],[sleep_hours]]-Table1[[#This Row],[daily_social_media_hours]]</f>
        <v>1.2999999999999998</v>
      </c>
      <c r="H1044">
        <v>1.8</v>
      </c>
      <c r="I1044">
        <v>3.83</v>
      </c>
      <c r="J1044" t="str" cm="1">
        <f t="array" ref="J1044">_xlfn.IFS(Table1[[#This Row],[academic_performance]]&gt;1,"Need Improvement",Table1[[#This Row],[academic_performance]]&gt;2,"Good",Table1[[#This Row],[academic_performance]]&gt;3,"Very good",Table1[[#This Row],[academic_performance]]&gt;4,"Excellent")</f>
        <v>Need Improvement</v>
      </c>
      <c r="K1044">
        <v>1.9</v>
      </c>
      <c r="L1044" t="str">
        <f>IF(Table1[[#This Row],[physical_activity]]&gt;1.9,"better overall ","lower rate of depression")</f>
        <v>lower rate of depression</v>
      </c>
      <c r="M1044" t="s">
        <v>15</v>
      </c>
      <c r="N1044">
        <v>3</v>
      </c>
      <c r="O1044">
        <v>8</v>
      </c>
      <c r="P1044">
        <v>8</v>
      </c>
      <c r="Q1044">
        <v>0</v>
      </c>
    </row>
    <row r="1045" spans="1:17" x14ac:dyDescent="0.3">
      <c r="A1045">
        <v>14</v>
      </c>
      <c r="B1045" t="s">
        <v>16</v>
      </c>
      <c r="C1045" t="str">
        <f>IF(Table1[[#This Row],[age]]&gt;18,"Adult","Teenage")</f>
        <v>Teenage</v>
      </c>
      <c r="D1045">
        <v>7.2</v>
      </c>
      <c r="E1045" t="s">
        <v>20</v>
      </c>
      <c r="F1045">
        <v>5</v>
      </c>
      <c r="G1045">
        <f>Table1[[#This Row],[sleep_hours]]-Table1[[#This Row],[daily_social_media_hours]]</f>
        <v>-2.2000000000000002</v>
      </c>
      <c r="H1045">
        <v>2.9</v>
      </c>
      <c r="I1045">
        <v>3.76</v>
      </c>
      <c r="J1045" t="str" cm="1">
        <f t="array" ref="J1045">_xlfn.IFS(Table1[[#This Row],[academic_performance]]&gt;1,"Need Improvement",Table1[[#This Row],[academic_performance]]&gt;2,"Good",Table1[[#This Row],[academic_performance]]&gt;3,"Very good",Table1[[#This Row],[academic_performance]]&gt;4,"Excellent")</f>
        <v>Need Improvement</v>
      </c>
      <c r="K1045">
        <v>0.4</v>
      </c>
      <c r="L1045" t="str">
        <f>IF(Table1[[#This Row],[physical_activity]]&gt;1.9,"better overall ","lower rate of depression")</f>
        <v>lower rate of depression</v>
      </c>
      <c r="M1045" t="s">
        <v>19</v>
      </c>
      <c r="N1045">
        <v>7</v>
      </c>
      <c r="O1045">
        <v>4</v>
      </c>
      <c r="P1045">
        <v>2</v>
      </c>
      <c r="Q1045">
        <v>0</v>
      </c>
    </row>
    <row r="1046" spans="1:17" x14ac:dyDescent="0.3">
      <c r="A1046">
        <v>13</v>
      </c>
      <c r="B1046" t="s">
        <v>13</v>
      </c>
      <c r="C1046" t="str">
        <f>IF(Table1[[#This Row],[age]]&gt;18,"Adult","Teenage")</f>
        <v>Teenage</v>
      </c>
      <c r="D1046">
        <v>4.8</v>
      </c>
      <c r="E1046" t="s">
        <v>14</v>
      </c>
      <c r="F1046">
        <v>6</v>
      </c>
      <c r="G1046">
        <f>Table1[[#This Row],[sleep_hours]]-Table1[[#This Row],[daily_social_media_hours]]</f>
        <v>1.2000000000000002</v>
      </c>
      <c r="H1046">
        <v>0.6</v>
      </c>
      <c r="I1046">
        <v>2.41</v>
      </c>
      <c r="J1046" t="str" cm="1">
        <f t="array" ref="J1046">_xlfn.IFS(Table1[[#This Row],[academic_performance]]&gt;1,"Need Improvement",Table1[[#This Row],[academic_performance]]&gt;2,"Good",Table1[[#This Row],[academic_performance]]&gt;3,"Very good",Table1[[#This Row],[academic_performance]]&gt;4,"Excellent")</f>
        <v>Need Improvement</v>
      </c>
      <c r="K1046">
        <v>0</v>
      </c>
      <c r="L1046" t="str">
        <f>IF(Table1[[#This Row],[physical_activity]]&gt;1.9,"better overall ","lower rate of depression")</f>
        <v>lower rate of depression</v>
      </c>
      <c r="M1046" t="s">
        <v>18</v>
      </c>
      <c r="N1046">
        <v>3</v>
      </c>
      <c r="O1046">
        <v>6</v>
      </c>
      <c r="P1046">
        <v>9</v>
      </c>
      <c r="Q1046">
        <v>0</v>
      </c>
    </row>
    <row r="1047" spans="1:17" x14ac:dyDescent="0.3">
      <c r="A1047">
        <v>17</v>
      </c>
      <c r="B1047" t="s">
        <v>16</v>
      </c>
      <c r="C1047" t="str">
        <f>IF(Table1[[#This Row],[age]]&gt;18,"Adult","Teenage")</f>
        <v>Teenage</v>
      </c>
      <c r="D1047">
        <v>7.3</v>
      </c>
      <c r="E1047" t="s">
        <v>14</v>
      </c>
      <c r="F1047">
        <v>6.7</v>
      </c>
      <c r="G1047">
        <f>Table1[[#This Row],[sleep_hours]]-Table1[[#This Row],[daily_social_media_hours]]</f>
        <v>-0.59999999999999964</v>
      </c>
      <c r="H1047">
        <v>1</v>
      </c>
      <c r="I1047">
        <v>3.41</v>
      </c>
      <c r="J1047" t="str" cm="1">
        <f t="array" ref="J1047">_xlfn.IFS(Table1[[#This Row],[academic_performance]]&gt;1,"Need Improvement",Table1[[#This Row],[academic_performance]]&gt;2,"Good",Table1[[#This Row],[academic_performance]]&gt;3,"Very good",Table1[[#This Row],[academic_performance]]&gt;4,"Excellent")</f>
        <v>Need Improvement</v>
      </c>
      <c r="K1047">
        <v>1.7</v>
      </c>
      <c r="L1047" t="str">
        <f>IF(Table1[[#This Row],[physical_activity]]&gt;1.9,"better overall ","lower rate of depression")</f>
        <v>lower rate of depression</v>
      </c>
      <c r="M1047" t="s">
        <v>19</v>
      </c>
      <c r="N1047">
        <v>6</v>
      </c>
      <c r="O1047">
        <v>5</v>
      </c>
      <c r="P1047">
        <v>2</v>
      </c>
      <c r="Q1047">
        <v>0</v>
      </c>
    </row>
    <row r="1048" spans="1:17" x14ac:dyDescent="0.3">
      <c r="A1048">
        <v>13</v>
      </c>
      <c r="B1048" t="s">
        <v>13</v>
      </c>
      <c r="C1048" t="str">
        <f>IF(Table1[[#This Row],[age]]&gt;18,"Adult","Teenage")</f>
        <v>Teenage</v>
      </c>
      <c r="D1048">
        <v>3.9</v>
      </c>
      <c r="E1048" t="s">
        <v>20</v>
      </c>
      <c r="F1048">
        <v>4.5</v>
      </c>
      <c r="G1048">
        <f>Table1[[#This Row],[sleep_hours]]-Table1[[#This Row],[daily_social_media_hours]]</f>
        <v>0.60000000000000009</v>
      </c>
      <c r="H1048">
        <v>1.6</v>
      </c>
      <c r="I1048">
        <v>2.02</v>
      </c>
      <c r="J1048" t="str" cm="1">
        <f t="array" ref="J1048">_xlfn.IFS(Table1[[#This Row],[academic_performance]]&gt;1,"Need Improvement",Table1[[#This Row],[academic_performance]]&gt;2,"Good",Table1[[#This Row],[academic_performance]]&gt;3,"Very good",Table1[[#This Row],[academic_performance]]&gt;4,"Excellent")</f>
        <v>Need Improvement</v>
      </c>
      <c r="K1048">
        <v>0.6</v>
      </c>
      <c r="L1048" t="str">
        <f>IF(Table1[[#This Row],[physical_activity]]&gt;1.9,"better overall ","lower rate of depression")</f>
        <v>lower rate of depression</v>
      </c>
      <c r="M1048" t="s">
        <v>18</v>
      </c>
      <c r="N1048">
        <v>6</v>
      </c>
      <c r="O1048">
        <v>6</v>
      </c>
      <c r="P1048">
        <v>5</v>
      </c>
      <c r="Q1048">
        <v>0</v>
      </c>
    </row>
    <row r="1049" spans="1:17" x14ac:dyDescent="0.3">
      <c r="A1049">
        <v>15</v>
      </c>
      <c r="B1049" t="s">
        <v>16</v>
      </c>
      <c r="C1049" t="str">
        <f>IF(Table1[[#This Row],[age]]&gt;18,"Adult","Teenage")</f>
        <v>Teenage</v>
      </c>
      <c r="D1049">
        <v>5.5</v>
      </c>
      <c r="E1049" t="s">
        <v>20</v>
      </c>
      <c r="F1049">
        <v>4</v>
      </c>
      <c r="G1049">
        <f>Table1[[#This Row],[sleep_hours]]-Table1[[#This Row],[daily_social_media_hours]]</f>
        <v>-1.5</v>
      </c>
      <c r="H1049">
        <v>2.4</v>
      </c>
      <c r="I1049">
        <v>3.01</v>
      </c>
      <c r="J1049" t="str" cm="1">
        <f t="array" ref="J1049">_xlfn.IFS(Table1[[#This Row],[academic_performance]]&gt;1,"Need Improvement",Table1[[#This Row],[academic_performance]]&gt;2,"Good",Table1[[#This Row],[academic_performance]]&gt;3,"Very good",Table1[[#This Row],[academic_performance]]&gt;4,"Excellent")</f>
        <v>Need Improvement</v>
      </c>
      <c r="K1049">
        <v>0.9</v>
      </c>
      <c r="L1049" t="str">
        <f>IF(Table1[[#This Row],[physical_activity]]&gt;1.9,"better overall ","lower rate of depression")</f>
        <v>lower rate of depression</v>
      </c>
      <c r="M1049" t="s">
        <v>15</v>
      </c>
      <c r="N1049">
        <v>10</v>
      </c>
      <c r="O1049">
        <v>3</v>
      </c>
      <c r="P1049">
        <v>2</v>
      </c>
      <c r="Q1049">
        <v>0</v>
      </c>
    </row>
    <row r="1050" spans="1:17" x14ac:dyDescent="0.3">
      <c r="A1050">
        <v>15</v>
      </c>
      <c r="B1050" t="s">
        <v>13</v>
      </c>
      <c r="C1050" t="str">
        <f>IF(Table1[[#This Row],[age]]&gt;18,"Adult","Teenage")</f>
        <v>Teenage</v>
      </c>
      <c r="D1050">
        <v>7.5</v>
      </c>
      <c r="E1050" t="s">
        <v>20</v>
      </c>
      <c r="F1050">
        <v>6.3</v>
      </c>
      <c r="G1050">
        <f>Table1[[#This Row],[sleep_hours]]-Table1[[#This Row],[daily_social_media_hours]]</f>
        <v>-1.2000000000000002</v>
      </c>
      <c r="H1050">
        <v>2.8</v>
      </c>
      <c r="I1050">
        <v>3.04</v>
      </c>
      <c r="J1050" t="str" cm="1">
        <f t="array" ref="J1050">_xlfn.IFS(Table1[[#This Row],[academic_performance]]&gt;1,"Need Improvement",Table1[[#This Row],[academic_performance]]&gt;2,"Good",Table1[[#This Row],[academic_performance]]&gt;3,"Very good",Table1[[#This Row],[academic_performance]]&gt;4,"Excellent")</f>
        <v>Need Improvement</v>
      </c>
      <c r="K1050">
        <v>1.8</v>
      </c>
      <c r="L1050" t="str">
        <f>IF(Table1[[#This Row],[physical_activity]]&gt;1.9,"better overall ","lower rate of depression")</f>
        <v>lower rate of depression</v>
      </c>
      <c r="M1050" t="s">
        <v>15</v>
      </c>
      <c r="N1050">
        <v>1</v>
      </c>
      <c r="O1050">
        <v>5</v>
      </c>
      <c r="P1050">
        <v>8</v>
      </c>
      <c r="Q1050">
        <v>0</v>
      </c>
    </row>
    <row r="1051" spans="1:17" x14ac:dyDescent="0.3">
      <c r="A1051">
        <v>17</v>
      </c>
      <c r="B1051" t="s">
        <v>13</v>
      </c>
      <c r="C1051" t="str">
        <f>IF(Table1[[#This Row],[age]]&gt;18,"Adult","Teenage")</f>
        <v>Teenage</v>
      </c>
      <c r="D1051">
        <v>1.8</v>
      </c>
      <c r="E1051" t="s">
        <v>14</v>
      </c>
      <c r="F1051">
        <v>6.9</v>
      </c>
      <c r="G1051">
        <f>Table1[[#This Row],[sleep_hours]]-Table1[[#This Row],[daily_social_media_hours]]</f>
        <v>5.1000000000000005</v>
      </c>
      <c r="H1051">
        <v>2.7</v>
      </c>
      <c r="I1051">
        <v>2.5299999999999998</v>
      </c>
      <c r="J1051" t="str" cm="1">
        <f t="array" ref="J1051">_xlfn.IFS(Table1[[#This Row],[academic_performance]]&gt;1,"Need Improvement",Table1[[#This Row],[academic_performance]]&gt;2,"Good",Table1[[#This Row],[academic_performance]]&gt;3,"Very good",Table1[[#This Row],[academic_performance]]&gt;4,"Excellent")</f>
        <v>Need Improvement</v>
      </c>
      <c r="K1051">
        <v>1.7</v>
      </c>
      <c r="L1051" t="str">
        <f>IF(Table1[[#This Row],[physical_activity]]&gt;1.9,"better overall ","lower rate of depression")</f>
        <v>lower rate of depression</v>
      </c>
      <c r="M1051" t="s">
        <v>18</v>
      </c>
      <c r="N1051">
        <v>2</v>
      </c>
      <c r="O1051">
        <v>2</v>
      </c>
      <c r="P1051">
        <v>7</v>
      </c>
      <c r="Q1051">
        <v>0</v>
      </c>
    </row>
    <row r="1052" spans="1:17" x14ac:dyDescent="0.3">
      <c r="A1052">
        <v>16</v>
      </c>
      <c r="B1052" t="s">
        <v>13</v>
      </c>
      <c r="C1052" t="str">
        <f>IF(Table1[[#This Row],[age]]&gt;18,"Adult","Teenage")</f>
        <v>Teenage</v>
      </c>
      <c r="D1052">
        <v>2.6</v>
      </c>
      <c r="E1052" t="s">
        <v>14</v>
      </c>
      <c r="F1052">
        <v>5.0999999999999996</v>
      </c>
      <c r="G1052">
        <f>Table1[[#This Row],[sleep_hours]]-Table1[[#This Row],[daily_social_media_hours]]</f>
        <v>2.4999999999999996</v>
      </c>
      <c r="H1052">
        <v>0.9</v>
      </c>
      <c r="I1052">
        <v>2.57</v>
      </c>
      <c r="J1052" t="str" cm="1">
        <f t="array" ref="J1052">_xlfn.IFS(Table1[[#This Row],[academic_performance]]&gt;1,"Need Improvement",Table1[[#This Row],[academic_performance]]&gt;2,"Good",Table1[[#This Row],[academic_performance]]&gt;3,"Very good",Table1[[#This Row],[academic_performance]]&gt;4,"Excellent")</f>
        <v>Need Improvement</v>
      </c>
      <c r="K1052">
        <v>1.4</v>
      </c>
      <c r="L1052" t="str">
        <f>IF(Table1[[#This Row],[physical_activity]]&gt;1.9,"better overall ","lower rate of depression")</f>
        <v>lower rate of depression</v>
      </c>
      <c r="M1052" t="s">
        <v>19</v>
      </c>
      <c r="N1052">
        <v>8</v>
      </c>
      <c r="O1052">
        <v>5</v>
      </c>
      <c r="P1052">
        <v>8</v>
      </c>
      <c r="Q1052">
        <v>0</v>
      </c>
    </row>
    <row r="1053" spans="1:17" x14ac:dyDescent="0.3">
      <c r="A1053">
        <v>17</v>
      </c>
      <c r="B1053" t="s">
        <v>16</v>
      </c>
      <c r="C1053" t="str">
        <f>IF(Table1[[#This Row],[age]]&gt;18,"Adult","Teenage")</f>
        <v>Teenage</v>
      </c>
      <c r="D1053">
        <v>5.5</v>
      </c>
      <c r="E1053" t="s">
        <v>20</v>
      </c>
      <c r="F1053">
        <v>6</v>
      </c>
      <c r="G1053">
        <f>Table1[[#This Row],[sleep_hours]]-Table1[[#This Row],[daily_social_media_hours]]</f>
        <v>0.5</v>
      </c>
      <c r="H1053">
        <v>2.8</v>
      </c>
      <c r="I1053">
        <v>3.4</v>
      </c>
      <c r="J1053" t="str" cm="1">
        <f t="array" ref="J1053">_xlfn.IFS(Table1[[#This Row],[academic_performance]]&gt;1,"Need Improvement",Table1[[#This Row],[academic_performance]]&gt;2,"Good",Table1[[#This Row],[academic_performance]]&gt;3,"Very good",Table1[[#This Row],[academic_performance]]&gt;4,"Excellent")</f>
        <v>Need Improvement</v>
      </c>
      <c r="K1053">
        <v>0</v>
      </c>
      <c r="L1053" t="str">
        <f>IF(Table1[[#This Row],[physical_activity]]&gt;1.9,"better overall ","lower rate of depression")</f>
        <v>lower rate of depression</v>
      </c>
      <c r="M1053" t="s">
        <v>19</v>
      </c>
      <c r="N1053">
        <v>2</v>
      </c>
      <c r="O1053">
        <v>3</v>
      </c>
      <c r="P1053">
        <v>8</v>
      </c>
      <c r="Q1053">
        <v>0</v>
      </c>
    </row>
    <row r="1054" spans="1:17" x14ac:dyDescent="0.3">
      <c r="A1054">
        <v>15</v>
      </c>
      <c r="B1054" t="s">
        <v>16</v>
      </c>
      <c r="C1054" t="str">
        <f>IF(Table1[[#This Row],[age]]&gt;18,"Adult","Teenage")</f>
        <v>Teenage</v>
      </c>
      <c r="D1054">
        <v>3.6</v>
      </c>
      <c r="E1054" t="s">
        <v>17</v>
      </c>
      <c r="F1054">
        <v>7.1</v>
      </c>
      <c r="G1054">
        <f>Table1[[#This Row],[sleep_hours]]-Table1[[#This Row],[daily_social_media_hours]]</f>
        <v>3.4999999999999996</v>
      </c>
      <c r="H1054">
        <v>0.9</v>
      </c>
      <c r="I1054">
        <v>2.84</v>
      </c>
      <c r="J1054" t="str" cm="1">
        <f t="array" ref="J1054">_xlfn.IFS(Table1[[#This Row],[academic_performance]]&gt;1,"Need Improvement",Table1[[#This Row],[academic_performance]]&gt;2,"Good",Table1[[#This Row],[academic_performance]]&gt;3,"Very good",Table1[[#This Row],[academic_performance]]&gt;4,"Excellent")</f>
        <v>Need Improvement</v>
      </c>
      <c r="K1054">
        <v>0.3</v>
      </c>
      <c r="L1054" t="str">
        <f>IF(Table1[[#This Row],[physical_activity]]&gt;1.9,"better overall ","lower rate of depression")</f>
        <v>lower rate of depression</v>
      </c>
      <c r="M1054" t="s">
        <v>15</v>
      </c>
      <c r="N1054">
        <v>1</v>
      </c>
      <c r="O1054">
        <v>9</v>
      </c>
      <c r="P1054">
        <v>4</v>
      </c>
      <c r="Q1054">
        <v>0</v>
      </c>
    </row>
    <row r="1055" spans="1:17" x14ac:dyDescent="0.3">
      <c r="A1055">
        <v>19</v>
      </c>
      <c r="B1055" t="s">
        <v>16</v>
      </c>
      <c r="C1055" t="str">
        <f>IF(Table1[[#This Row],[age]]&gt;18,"Adult","Teenage")</f>
        <v>Adult</v>
      </c>
      <c r="D1055">
        <v>7.6</v>
      </c>
      <c r="E1055" t="s">
        <v>20</v>
      </c>
      <c r="F1055">
        <v>5.4</v>
      </c>
      <c r="G1055">
        <f>Table1[[#This Row],[sleep_hours]]-Table1[[#This Row],[daily_social_media_hours]]</f>
        <v>-2.1999999999999993</v>
      </c>
      <c r="H1055">
        <v>1.9</v>
      </c>
      <c r="I1055">
        <v>2.56</v>
      </c>
      <c r="J1055" t="str" cm="1">
        <f t="array" ref="J1055">_xlfn.IFS(Table1[[#This Row],[academic_performance]]&gt;1,"Need Improvement",Table1[[#This Row],[academic_performance]]&gt;2,"Good",Table1[[#This Row],[academic_performance]]&gt;3,"Very good",Table1[[#This Row],[academic_performance]]&gt;4,"Excellent")</f>
        <v>Need Improvement</v>
      </c>
      <c r="K1055">
        <v>1.4</v>
      </c>
      <c r="L1055" t="str">
        <f>IF(Table1[[#This Row],[physical_activity]]&gt;1.9,"better overall ","lower rate of depression")</f>
        <v>lower rate of depression</v>
      </c>
      <c r="M1055" t="s">
        <v>15</v>
      </c>
      <c r="N1055">
        <v>2</v>
      </c>
      <c r="O1055">
        <v>7</v>
      </c>
      <c r="P1055">
        <v>9</v>
      </c>
      <c r="Q1055">
        <v>0</v>
      </c>
    </row>
    <row r="1056" spans="1:17" x14ac:dyDescent="0.3">
      <c r="A1056">
        <v>13</v>
      </c>
      <c r="B1056" t="s">
        <v>13</v>
      </c>
      <c r="C1056" t="str">
        <f>IF(Table1[[#This Row],[age]]&gt;18,"Adult","Teenage")</f>
        <v>Teenage</v>
      </c>
      <c r="D1056">
        <v>7.9</v>
      </c>
      <c r="E1056" t="s">
        <v>14</v>
      </c>
      <c r="F1056">
        <v>7.1</v>
      </c>
      <c r="G1056">
        <f>Table1[[#This Row],[sleep_hours]]-Table1[[#This Row],[daily_social_media_hours]]</f>
        <v>-0.80000000000000071</v>
      </c>
      <c r="H1056">
        <v>0.7</v>
      </c>
      <c r="I1056">
        <v>2.8</v>
      </c>
      <c r="J1056" t="str" cm="1">
        <f t="array" ref="J1056">_xlfn.IFS(Table1[[#This Row],[academic_performance]]&gt;1,"Need Improvement",Table1[[#This Row],[academic_performance]]&gt;2,"Good",Table1[[#This Row],[academic_performance]]&gt;3,"Very good",Table1[[#This Row],[academic_performance]]&gt;4,"Excellent")</f>
        <v>Need Improvement</v>
      </c>
      <c r="K1056">
        <v>0.3</v>
      </c>
      <c r="L1056" t="str">
        <f>IF(Table1[[#This Row],[physical_activity]]&gt;1.9,"better overall ","lower rate of depression")</f>
        <v>lower rate of depression</v>
      </c>
      <c r="M1056" t="s">
        <v>19</v>
      </c>
      <c r="N1056">
        <v>6</v>
      </c>
      <c r="O1056">
        <v>8</v>
      </c>
      <c r="P1056">
        <v>8</v>
      </c>
      <c r="Q1056">
        <v>0</v>
      </c>
    </row>
    <row r="1057" spans="1:17" x14ac:dyDescent="0.3">
      <c r="A1057">
        <v>15</v>
      </c>
      <c r="B1057" t="s">
        <v>13</v>
      </c>
      <c r="C1057" t="str">
        <f>IF(Table1[[#This Row],[age]]&gt;18,"Adult","Teenage")</f>
        <v>Teenage</v>
      </c>
      <c r="D1057">
        <v>2.6</v>
      </c>
      <c r="E1057" t="s">
        <v>20</v>
      </c>
      <c r="F1057">
        <v>6.8</v>
      </c>
      <c r="G1057">
        <f>Table1[[#This Row],[sleep_hours]]-Table1[[#This Row],[daily_social_media_hours]]</f>
        <v>4.1999999999999993</v>
      </c>
      <c r="H1057">
        <v>1.7</v>
      </c>
      <c r="I1057">
        <v>2.06</v>
      </c>
      <c r="J1057" t="str" cm="1">
        <f t="array" ref="J1057">_xlfn.IFS(Table1[[#This Row],[academic_performance]]&gt;1,"Need Improvement",Table1[[#This Row],[academic_performance]]&gt;2,"Good",Table1[[#This Row],[academic_performance]]&gt;3,"Very good",Table1[[#This Row],[academic_performance]]&gt;4,"Excellent")</f>
        <v>Need Improvement</v>
      </c>
      <c r="K1057">
        <v>0.4</v>
      </c>
      <c r="L1057" t="str">
        <f>IF(Table1[[#This Row],[physical_activity]]&gt;1.9,"better overall ","lower rate of depression")</f>
        <v>lower rate of depression</v>
      </c>
      <c r="M1057" t="s">
        <v>19</v>
      </c>
      <c r="N1057">
        <v>8</v>
      </c>
      <c r="O1057">
        <v>6</v>
      </c>
      <c r="P1057">
        <v>6</v>
      </c>
      <c r="Q1057">
        <v>0</v>
      </c>
    </row>
    <row r="1058" spans="1:17" x14ac:dyDescent="0.3">
      <c r="A1058">
        <v>19</v>
      </c>
      <c r="B1058" t="s">
        <v>13</v>
      </c>
      <c r="C1058" t="str">
        <f>IF(Table1[[#This Row],[age]]&gt;18,"Adult","Teenage")</f>
        <v>Adult</v>
      </c>
      <c r="D1058">
        <v>5.7</v>
      </c>
      <c r="E1058" t="s">
        <v>17</v>
      </c>
      <c r="F1058">
        <v>6.4</v>
      </c>
      <c r="G1058">
        <f>Table1[[#This Row],[sleep_hours]]-Table1[[#This Row],[daily_social_media_hours]]</f>
        <v>0.70000000000000018</v>
      </c>
      <c r="H1058">
        <v>0.9</v>
      </c>
      <c r="I1058">
        <v>3.57</v>
      </c>
      <c r="J1058" t="str" cm="1">
        <f t="array" ref="J1058">_xlfn.IFS(Table1[[#This Row],[academic_performance]]&gt;1,"Need Improvement",Table1[[#This Row],[academic_performance]]&gt;2,"Good",Table1[[#This Row],[academic_performance]]&gt;3,"Very good",Table1[[#This Row],[academic_performance]]&gt;4,"Excellent")</f>
        <v>Need Improvement</v>
      </c>
      <c r="K1058">
        <v>1.5</v>
      </c>
      <c r="L1058" t="str">
        <f>IF(Table1[[#This Row],[physical_activity]]&gt;1.9,"better overall ","lower rate of depression")</f>
        <v>lower rate of depression</v>
      </c>
      <c r="M1058" t="s">
        <v>18</v>
      </c>
      <c r="N1058">
        <v>3</v>
      </c>
      <c r="O1058">
        <v>7</v>
      </c>
      <c r="P1058">
        <v>2</v>
      </c>
      <c r="Q1058">
        <v>0</v>
      </c>
    </row>
    <row r="1059" spans="1:17" x14ac:dyDescent="0.3">
      <c r="A1059">
        <v>13</v>
      </c>
      <c r="B1059" t="s">
        <v>16</v>
      </c>
      <c r="C1059" t="str">
        <f>IF(Table1[[#This Row],[age]]&gt;18,"Adult","Teenage")</f>
        <v>Teenage</v>
      </c>
      <c r="D1059">
        <v>7.1</v>
      </c>
      <c r="E1059" t="s">
        <v>14</v>
      </c>
      <c r="F1059">
        <v>5.7</v>
      </c>
      <c r="G1059">
        <f>Table1[[#This Row],[sleep_hours]]-Table1[[#This Row],[daily_social_media_hours]]</f>
        <v>-1.3999999999999995</v>
      </c>
      <c r="H1059">
        <v>1.2</v>
      </c>
      <c r="I1059">
        <v>3.83</v>
      </c>
      <c r="J1059" t="str" cm="1">
        <f t="array" ref="J1059">_xlfn.IFS(Table1[[#This Row],[academic_performance]]&gt;1,"Need Improvement",Table1[[#This Row],[academic_performance]]&gt;2,"Good",Table1[[#This Row],[academic_performance]]&gt;3,"Very good",Table1[[#This Row],[academic_performance]]&gt;4,"Excellent")</f>
        <v>Need Improvement</v>
      </c>
      <c r="K1059">
        <v>2</v>
      </c>
      <c r="L1059" t="str">
        <f>IF(Table1[[#This Row],[physical_activity]]&gt;1.9,"better overall ","lower rate of depression")</f>
        <v xml:space="preserve">better overall </v>
      </c>
      <c r="M1059" t="s">
        <v>19</v>
      </c>
      <c r="N1059">
        <v>2</v>
      </c>
      <c r="O1059">
        <v>8</v>
      </c>
      <c r="P1059">
        <v>7</v>
      </c>
      <c r="Q1059">
        <v>0</v>
      </c>
    </row>
    <row r="1060" spans="1:17" x14ac:dyDescent="0.3">
      <c r="A1060">
        <v>13</v>
      </c>
      <c r="B1060" t="s">
        <v>16</v>
      </c>
      <c r="C1060" t="str">
        <f>IF(Table1[[#This Row],[age]]&gt;18,"Adult","Teenage")</f>
        <v>Teenage</v>
      </c>
      <c r="D1060">
        <v>1.3</v>
      </c>
      <c r="E1060" t="s">
        <v>17</v>
      </c>
      <c r="F1060">
        <v>8.6999999999999993</v>
      </c>
      <c r="G1060">
        <f>Table1[[#This Row],[sleep_hours]]-Table1[[#This Row],[daily_social_media_hours]]</f>
        <v>7.3999999999999995</v>
      </c>
      <c r="H1060">
        <v>0.9</v>
      </c>
      <c r="I1060">
        <v>4</v>
      </c>
      <c r="J1060" t="str" cm="1">
        <f t="array" ref="J1060">_xlfn.IFS(Table1[[#This Row],[academic_performance]]&gt;1,"Need Improvement",Table1[[#This Row],[academic_performance]]&gt;2,"Good",Table1[[#This Row],[academic_performance]]&gt;3,"Very good",Table1[[#This Row],[academic_performance]]&gt;4,"Excellent")</f>
        <v>Need Improvement</v>
      </c>
      <c r="K1060">
        <v>0.1</v>
      </c>
      <c r="L1060" t="str">
        <f>IF(Table1[[#This Row],[physical_activity]]&gt;1.9,"better overall ","lower rate of depression")</f>
        <v>lower rate of depression</v>
      </c>
      <c r="M1060" t="s">
        <v>15</v>
      </c>
      <c r="N1060">
        <v>10</v>
      </c>
      <c r="O1060">
        <v>9</v>
      </c>
      <c r="P1060">
        <v>9</v>
      </c>
      <c r="Q1060">
        <v>0</v>
      </c>
    </row>
    <row r="1061" spans="1:17" x14ac:dyDescent="0.3">
      <c r="A1061">
        <v>13</v>
      </c>
      <c r="B1061" t="s">
        <v>16</v>
      </c>
      <c r="C1061" t="str">
        <f>IF(Table1[[#This Row],[age]]&gt;18,"Adult","Teenage")</f>
        <v>Teenage</v>
      </c>
      <c r="D1061">
        <v>1.1000000000000001</v>
      </c>
      <c r="E1061" t="s">
        <v>20</v>
      </c>
      <c r="F1061">
        <v>6.7</v>
      </c>
      <c r="G1061">
        <f>Table1[[#This Row],[sleep_hours]]-Table1[[#This Row],[daily_social_media_hours]]</f>
        <v>5.6</v>
      </c>
      <c r="H1061">
        <v>2</v>
      </c>
      <c r="I1061">
        <v>3.63</v>
      </c>
      <c r="J1061" t="str" cm="1">
        <f t="array" ref="J1061">_xlfn.IFS(Table1[[#This Row],[academic_performance]]&gt;1,"Need Improvement",Table1[[#This Row],[academic_performance]]&gt;2,"Good",Table1[[#This Row],[academic_performance]]&gt;3,"Very good",Table1[[#This Row],[academic_performance]]&gt;4,"Excellent")</f>
        <v>Need Improvement</v>
      </c>
      <c r="K1061">
        <v>0.2</v>
      </c>
      <c r="L1061" t="str">
        <f>IF(Table1[[#This Row],[physical_activity]]&gt;1.9,"better overall ","lower rate of depression")</f>
        <v>lower rate of depression</v>
      </c>
      <c r="M1061" t="s">
        <v>19</v>
      </c>
      <c r="N1061">
        <v>3</v>
      </c>
      <c r="O1061">
        <v>10</v>
      </c>
      <c r="P1061">
        <v>5</v>
      </c>
      <c r="Q1061">
        <v>0</v>
      </c>
    </row>
    <row r="1062" spans="1:17" x14ac:dyDescent="0.3">
      <c r="A1062">
        <v>13</v>
      </c>
      <c r="B1062" t="s">
        <v>16</v>
      </c>
      <c r="C1062" t="str">
        <f>IF(Table1[[#This Row],[age]]&gt;18,"Adult","Teenage")</f>
        <v>Teenage</v>
      </c>
      <c r="D1062">
        <v>3.3</v>
      </c>
      <c r="E1062" t="s">
        <v>17</v>
      </c>
      <c r="F1062">
        <v>9</v>
      </c>
      <c r="G1062">
        <f>Table1[[#This Row],[sleep_hours]]-Table1[[#This Row],[daily_social_media_hours]]</f>
        <v>5.7</v>
      </c>
      <c r="H1062">
        <v>0.7</v>
      </c>
      <c r="I1062">
        <v>2.4900000000000002</v>
      </c>
      <c r="J1062" t="str" cm="1">
        <f t="array" ref="J1062">_xlfn.IFS(Table1[[#This Row],[academic_performance]]&gt;1,"Need Improvement",Table1[[#This Row],[academic_performance]]&gt;2,"Good",Table1[[#This Row],[academic_performance]]&gt;3,"Very good",Table1[[#This Row],[academic_performance]]&gt;4,"Excellent")</f>
        <v>Need Improvement</v>
      </c>
      <c r="K1062">
        <v>0.6</v>
      </c>
      <c r="L1062" t="str">
        <f>IF(Table1[[#This Row],[physical_activity]]&gt;1.9,"better overall ","lower rate of depression")</f>
        <v>lower rate of depression</v>
      </c>
      <c r="M1062" t="s">
        <v>19</v>
      </c>
      <c r="N1062">
        <v>3</v>
      </c>
      <c r="O1062">
        <v>6</v>
      </c>
      <c r="P1062">
        <v>4</v>
      </c>
      <c r="Q1062">
        <v>0</v>
      </c>
    </row>
    <row r="1063" spans="1:17" x14ac:dyDescent="0.3">
      <c r="A1063">
        <v>16</v>
      </c>
      <c r="B1063" t="s">
        <v>13</v>
      </c>
      <c r="C1063" t="str">
        <f>IF(Table1[[#This Row],[age]]&gt;18,"Adult","Teenage")</f>
        <v>Teenage</v>
      </c>
      <c r="D1063">
        <v>7.4</v>
      </c>
      <c r="E1063" t="s">
        <v>20</v>
      </c>
      <c r="F1063">
        <v>7.2</v>
      </c>
      <c r="G1063">
        <f>Table1[[#This Row],[sleep_hours]]-Table1[[#This Row],[daily_social_media_hours]]</f>
        <v>-0.20000000000000018</v>
      </c>
      <c r="H1063">
        <v>1.8</v>
      </c>
      <c r="I1063">
        <v>2.11</v>
      </c>
      <c r="J1063" t="str" cm="1">
        <f t="array" ref="J1063">_xlfn.IFS(Table1[[#This Row],[academic_performance]]&gt;1,"Need Improvement",Table1[[#This Row],[academic_performance]]&gt;2,"Good",Table1[[#This Row],[academic_performance]]&gt;3,"Very good",Table1[[#This Row],[academic_performance]]&gt;4,"Excellent")</f>
        <v>Need Improvement</v>
      </c>
      <c r="K1063">
        <v>1.4</v>
      </c>
      <c r="L1063" t="str">
        <f>IF(Table1[[#This Row],[physical_activity]]&gt;1.9,"better overall ","lower rate of depression")</f>
        <v>lower rate of depression</v>
      </c>
      <c r="M1063" t="s">
        <v>19</v>
      </c>
      <c r="N1063">
        <v>3</v>
      </c>
      <c r="O1063">
        <v>7</v>
      </c>
      <c r="P1063">
        <v>3</v>
      </c>
      <c r="Q1063">
        <v>0</v>
      </c>
    </row>
    <row r="1064" spans="1:17" x14ac:dyDescent="0.3">
      <c r="A1064">
        <v>13</v>
      </c>
      <c r="B1064" t="s">
        <v>13</v>
      </c>
      <c r="C1064" t="str">
        <f>IF(Table1[[#This Row],[age]]&gt;18,"Adult","Teenage")</f>
        <v>Teenage</v>
      </c>
      <c r="D1064">
        <v>5.8</v>
      </c>
      <c r="E1064" t="s">
        <v>17</v>
      </c>
      <c r="F1064">
        <v>8.3000000000000007</v>
      </c>
      <c r="G1064">
        <f>Table1[[#This Row],[sleep_hours]]-Table1[[#This Row],[daily_social_media_hours]]</f>
        <v>2.5000000000000009</v>
      </c>
      <c r="H1064">
        <v>2.8</v>
      </c>
      <c r="I1064">
        <v>2.63</v>
      </c>
      <c r="J1064" t="str" cm="1">
        <f t="array" ref="J1064">_xlfn.IFS(Table1[[#This Row],[academic_performance]]&gt;1,"Need Improvement",Table1[[#This Row],[academic_performance]]&gt;2,"Good",Table1[[#This Row],[academic_performance]]&gt;3,"Very good",Table1[[#This Row],[academic_performance]]&gt;4,"Excellent")</f>
        <v>Need Improvement</v>
      </c>
      <c r="K1064">
        <v>0.6</v>
      </c>
      <c r="L1064" t="str">
        <f>IF(Table1[[#This Row],[physical_activity]]&gt;1.9,"better overall ","lower rate of depression")</f>
        <v>lower rate of depression</v>
      </c>
      <c r="M1064" t="s">
        <v>18</v>
      </c>
      <c r="N1064">
        <v>5</v>
      </c>
      <c r="O1064">
        <v>3</v>
      </c>
      <c r="P1064">
        <v>7</v>
      </c>
      <c r="Q1064">
        <v>0</v>
      </c>
    </row>
    <row r="1065" spans="1:17" x14ac:dyDescent="0.3">
      <c r="A1065">
        <v>18</v>
      </c>
      <c r="B1065" t="s">
        <v>16</v>
      </c>
      <c r="C1065" t="str">
        <f>IF(Table1[[#This Row],[age]]&gt;18,"Adult","Teenage")</f>
        <v>Teenage</v>
      </c>
      <c r="D1065">
        <v>4.5999999999999996</v>
      </c>
      <c r="E1065" t="s">
        <v>17</v>
      </c>
      <c r="F1065">
        <v>6.8</v>
      </c>
      <c r="G1065">
        <f>Table1[[#This Row],[sleep_hours]]-Table1[[#This Row],[daily_social_media_hours]]</f>
        <v>2.2000000000000002</v>
      </c>
      <c r="H1065">
        <v>1.5</v>
      </c>
      <c r="I1065">
        <v>2.4</v>
      </c>
      <c r="J1065" t="str" cm="1">
        <f t="array" ref="J1065">_xlfn.IFS(Table1[[#This Row],[academic_performance]]&gt;1,"Need Improvement",Table1[[#This Row],[academic_performance]]&gt;2,"Good",Table1[[#This Row],[academic_performance]]&gt;3,"Very good",Table1[[#This Row],[academic_performance]]&gt;4,"Excellent")</f>
        <v>Need Improvement</v>
      </c>
      <c r="K1065">
        <v>1.4</v>
      </c>
      <c r="L1065" t="str">
        <f>IF(Table1[[#This Row],[physical_activity]]&gt;1.9,"better overall ","lower rate of depression")</f>
        <v>lower rate of depression</v>
      </c>
      <c r="M1065" t="s">
        <v>19</v>
      </c>
      <c r="N1065">
        <v>5</v>
      </c>
      <c r="O1065">
        <v>10</v>
      </c>
      <c r="P1065">
        <v>2</v>
      </c>
      <c r="Q1065">
        <v>0</v>
      </c>
    </row>
    <row r="1066" spans="1:17" x14ac:dyDescent="0.3">
      <c r="A1066">
        <v>18</v>
      </c>
      <c r="B1066" t="s">
        <v>16</v>
      </c>
      <c r="C1066" t="str">
        <f>IF(Table1[[#This Row],[age]]&gt;18,"Adult","Teenage")</f>
        <v>Teenage</v>
      </c>
      <c r="D1066">
        <v>2.5</v>
      </c>
      <c r="E1066" t="s">
        <v>17</v>
      </c>
      <c r="F1066">
        <v>7.1</v>
      </c>
      <c r="G1066">
        <f>Table1[[#This Row],[sleep_hours]]-Table1[[#This Row],[daily_social_media_hours]]</f>
        <v>4.5999999999999996</v>
      </c>
      <c r="H1066">
        <v>1.6</v>
      </c>
      <c r="I1066">
        <v>3.97</v>
      </c>
      <c r="J1066" t="str" cm="1">
        <f t="array" ref="J1066">_xlfn.IFS(Table1[[#This Row],[academic_performance]]&gt;1,"Need Improvement",Table1[[#This Row],[academic_performance]]&gt;2,"Good",Table1[[#This Row],[academic_performance]]&gt;3,"Very good",Table1[[#This Row],[academic_performance]]&gt;4,"Excellent")</f>
        <v>Need Improvement</v>
      </c>
      <c r="K1066">
        <v>0.7</v>
      </c>
      <c r="L1066" t="str">
        <f>IF(Table1[[#This Row],[physical_activity]]&gt;1.9,"better overall ","lower rate of depression")</f>
        <v>lower rate of depression</v>
      </c>
      <c r="M1066" t="s">
        <v>19</v>
      </c>
      <c r="N1066">
        <v>10</v>
      </c>
      <c r="O1066">
        <v>7</v>
      </c>
      <c r="P1066">
        <v>3</v>
      </c>
      <c r="Q1066">
        <v>0</v>
      </c>
    </row>
    <row r="1067" spans="1:17" x14ac:dyDescent="0.3">
      <c r="A1067">
        <v>18</v>
      </c>
      <c r="B1067" t="s">
        <v>13</v>
      </c>
      <c r="C1067" t="str">
        <f>IF(Table1[[#This Row],[age]]&gt;18,"Adult","Teenage")</f>
        <v>Teenage</v>
      </c>
      <c r="D1067">
        <v>4</v>
      </c>
      <c r="E1067" t="s">
        <v>20</v>
      </c>
      <c r="F1067">
        <v>8</v>
      </c>
      <c r="G1067">
        <f>Table1[[#This Row],[sleep_hours]]-Table1[[#This Row],[daily_social_media_hours]]</f>
        <v>4</v>
      </c>
      <c r="H1067">
        <v>2</v>
      </c>
      <c r="I1067">
        <v>3.04</v>
      </c>
      <c r="J1067" t="str" cm="1">
        <f t="array" ref="J1067">_xlfn.IFS(Table1[[#This Row],[academic_performance]]&gt;1,"Need Improvement",Table1[[#This Row],[academic_performance]]&gt;2,"Good",Table1[[#This Row],[academic_performance]]&gt;3,"Very good",Table1[[#This Row],[academic_performance]]&gt;4,"Excellent")</f>
        <v>Need Improvement</v>
      </c>
      <c r="K1067">
        <v>1.4</v>
      </c>
      <c r="L1067" t="str">
        <f>IF(Table1[[#This Row],[physical_activity]]&gt;1.9,"better overall ","lower rate of depression")</f>
        <v>lower rate of depression</v>
      </c>
      <c r="M1067" t="s">
        <v>18</v>
      </c>
      <c r="N1067">
        <v>3</v>
      </c>
      <c r="O1067">
        <v>1</v>
      </c>
      <c r="P1067">
        <v>8</v>
      </c>
      <c r="Q1067">
        <v>0</v>
      </c>
    </row>
    <row r="1068" spans="1:17" x14ac:dyDescent="0.3">
      <c r="A1068">
        <v>17</v>
      </c>
      <c r="B1068" t="s">
        <v>16</v>
      </c>
      <c r="C1068" t="str">
        <f>IF(Table1[[#This Row],[age]]&gt;18,"Adult","Teenage")</f>
        <v>Teenage</v>
      </c>
      <c r="D1068">
        <v>6.6</v>
      </c>
      <c r="E1068" t="s">
        <v>20</v>
      </c>
      <c r="F1068">
        <v>8</v>
      </c>
      <c r="G1068">
        <f>Table1[[#This Row],[sleep_hours]]-Table1[[#This Row],[daily_social_media_hours]]</f>
        <v>1.4000000000000004</v>
      </c>
      <c r="H1068">
        <v>1.9</v>
      </c>
      <c r="I1068">
        <v>2.86</v>
      </c>
      <c r="J1068" t="str" cm="1">
        <f t="array" ref="J1068">_xlfn.IFS(Table1[[#This Row],[academic_performance]]&gt;1,"Need Improvement",Table1[[#This Row],[academic_performance]]&gt;2,"Good",Table1[[#This Row],[academic_performance]]&gt;3,"Very good",Table1[[#This Row],[academic_performance]]&gt;4,"Excellent")</f>
        <v>Need Improvement</v>
      </c>
      <c r="K1068">
        <v>0.4</v>
      </c>
      <c r="L1068" t="str">
        <f>IF(Table1[[#This Row],[physical_activity]]&gt;1.9,"better overall ","lower rate of depression")</f>
        <v>lower rate of depression</v>
      </c>
      <c r="M1068" t="s">
        <v>19</v>
      </c>
      <c r="N1068">
        <v>4</v>
      </c>
      <c r="O1068">
        <v>8</v>
      </c>
      <c r="P1068">
        <v>5</v>
      </c>
      <c r="Q1068">
        <v>0</v>
      </c>
    </row>
    <row r="1069" spans="1:17" x14ac:dyDescent="0.3">
      <c r="A1069">
        <v>14</v>
      </c>
      <c r="B1069" t="s">
        <v>16</v>
      </c>
      <c r="C1069" t="str">
        <f>IF(Table1[[#This Row],[age]]&gt;18,"Adult","Teenage")</f>
        <v>Teenage</v>
      </c>
      <c r="D1069">
        <v>2.9</v>
      </c>
      <c r="E1069" t="s">
        <v>17</v>
      </c>
      <c r="F1069">
        <v>5.8</v>
      </c>
      <c r="G1069">
        <f>Table1[[#This Row],[sleep_hours]]-Table1[[#This Row],[daily_social_media_hours]]</f>
        <v>2.9</v>
      </c>
      <c r="H1069">
        <v>1.6</v>
      </c>
      <c r="I1069">
        <v>3.34</v>
      </c>
      <c r="J1069" t="str" cm="1">
        <f t="array" ref="J1069">_xlfn.IFS(Table1[[#This Row],[academic_performance]]&gt;1,"Need Improvement",Table1[[#This Row],[academic_performance]]&gt;2,"Good",Table1[[#This Row],[academic_performance]]&gt;3,"Very good",Table1[[#This Row],[academic_performance]]&gt;4,"Excellent")</f>
        <v>Need Improvement</v>
      </c>
      <c r="K1069">
        <v>1.1000000000000001</v>
      </c>
      <c r="L1069" t="str">
        <f>IF(Table1[[#This Row],[physical_activity]]&gt;1.9,"better overall ","lower rate of depression")</f>
        <v>lower rate of depression</v>
      </c>
      <c r="M1069" t="s">
        <v>19</v>
      </c>
      <c r="N1069">
        <v>6</v>
      </c>
      <c r="O1069">
        <v>10</v>
      </c>
      <c r="P1069">
        <v>3</v>
      </c>
      <c r="Q1069">
        <v>0</v>
      </c>
    </row>
    <row r="1070" spans="1:17" x14ac:dyDescent="0.3">
      <c r="A1070">
        <v>14</v>
      </c>
      <c r="B1070" t="s">
        <v>13</v>
      </c>
      <c r="C1070" t="str">
        <f>IF(Table1[[#This Row],[age]]&gt;18,"Adult","Teenage")</f>
        <v>Teenage</v>
      </c>
      <c r="D1070">
        <v>7.2</v>
      </c>
      <c r="E1070" t="s">
        <v>17</v>
      </c>
      <c r="F1070">
        <v>5.7</v>
      </c>
      <c r="G1070">
        <f>Table1[[#This Row],[sleep_hours]]-Table1[[#This Row],[daily_social_media_hours]]</f>
        <v>-1.5</v>
      </c>
      <c r="H1070">
        <v>2.7</v>
      </c>
      <c r="I1070">
        <v>2.76</v>
      </c>
      <c r="J1070" t="str" cm="1">
        <f t="array" ref="J1070">_xlfn.IFS(Table1[[#This Row],[academic_performance]]&gt;1,"Need Improvement",Table1[[#This Row],[academic_performance]]&gt;2,"Good",Table1[[#This Row],[academic_performance]]&gt;3,"Very good",Table1[[#This Row],[academic_performance]]&gt;4,"Excellent")</f>
        <v>Need Improvement</v>
      </c>
      <c r="K1070">
        <v>0.4</v>
      </c>
      <c r="L1070" t="str">
        <f>IF(Table1[[#This Row],[physical_activity]]&gt;1.9,"better overall ","lower rate of depression")</f>
        <v>lower rate of depression</v>
      </c>
      <c r="M1070" t="s">
        <v>15</v>
      </c>
      <c r="N1070">
        <v>7</v>
      </c>
      <c r="O1070">
        <v>3</v>
      </c>
      <c r="P1070">
        <v>7</v>
      </c>
      <c r="Q1070">
        <v>0</v>
      </c>
    </row>
    <row r="1071" spans="1:17" x14ac:dyDescent="0.3">
      <c r="A1071">
        <v>13</v>
      </c>
      <c r="B1071" t="s">
        <v>16</v>
      </c>
      <c r="C1071" t="str">
        <f>IF(Table1[[#This Row],[age]]&gt;18,"Adult","Teenage")</f>
        <v>Teenage</v>
      </c>
      <c r="D1071">
        <v>2.9</v>
      </c>
      <c r="E1071" t="s">
        <v>14</v>
      </c>
      <c r="F1071">
        <v>5.3</v>
      </c>
      <c r="G1071">
        <f>Table1[[#This Row],[sleep_hours]]-Table1[[#This Row],[daily_social_media_hours]]</f>
        <v>2.4</v>
      </c>
      <c r="H1071">
        <v>1</v>
      </c>
      <c r="I1071">
        <v>3.89</v>
      </c>
      <c r="J1071" t="str" cm="1">
        <f t="array" ref="J1071">_xlfn.IFS(Table1[[#This Row],[academic_performance]]&gt;1,"Need Improvement",Table1[[#This Row],[academic_performance]]&gt;2,"Good",Table1[[#This Row],[academic_performance]]&gt;3,"Very good",Table1[[#This Row],[academic_performance]]&gt;4,"Excellent")</f>
        <v>Need Improvement</v>
      </c>
      <c r="K1071">
        <v>1.7</v>
      </c>
      <c r="L1071" t="str">
        <f>IF(Table1[[#This Row],[physical_activity]]&gt;1.9,"better overall ","lower rate of depression")</f>
        <v>lower rate of depression</v>
      </c>
      <c r="M1071" t="s">
        <v>18</v>
      </c>
      <c r="N1071">
        <v>9</v>
      </c>
      <c r="O1071">
        <v>2</v>
      </c>
      <c r="P1071">
        <v>4</v>
      </c>
      <c r="Q1071">
        <v>0</v>
      </c>
    </row>
    <row r="1072" spans="1:17" x14ac:dyDescent="0.3">
      <c r="A1072">
        <v>15</v>
      </c>
      <c r="B1072" t="s">
        <v>16</v>
      </c>
      <c r="C1072" t="str">
        <f>IF(Table1[[#This Row],[age]]&gt;18,"Adult","Teenage")</f>
        <v>Teenage</v>
      </c>
      <c r="D1072">
        <v>7.3</v>
      </c>
      <c r="E1072" t="s">
        <v>20</v>
      </c>
      <c r="F1072">
        <v>5.7</v>
      </c>
      <c r="G1072">
        <f>Table1[[#This Row],[sleep_hours]]-Table1[[#This Row],[daily_social_media_hours]]</f>
        <v>-1.5999999999999996</v>
      </c>
      <c r="H1072">
        <v>2.9</v>
      </c>
      <c r="I1072">
        <v>3.48</v>
      </c>
      <c r="J1072" t="str" cm="1">
        <f t="array" ref="J1072">_xlfn.IFS(Table1[[#This Row],[academic_performance]]&gt;1,"Need Improvement",Table1[[#This Row],[academic_performance]]&gt;2,"Good",Table1[[#This Row],[academic_performance]]&gt;3,"Very good",Table1[[#This Row],[academic_performance]]&gt;4,"Excellent")</f>
        <v>Need Improvement</v>
      </c>
      <c r="K1072">
        <v>1.8</v>
      </c>
      <c r="L1072" t="str">
        <f>IF(Table1[[#This Row],[physical_activity]]&gt;1.9,"better overall ","lower rate of depression")</f>
        <v>lower rate of depression</v>
      </c>
      <c r="M1072" t="s">
        <v>19</v>
      </c>
      <c r="N1072">
        <v>2</v>
      </c>
      <c r="O1072">
        <v>7</v>
      </c>
      <c r="P1072">
        <v>8</v>
      </c>
      <c r="Q1072">
        <v>0</v>
      </c>
    </row>
    <row r="1073" spans="1:17" x14ac:dyDescent="0.3">
      <c r="A1073">
        <v>16</v>
      </c>
      <c r="B1073" t="s">
        <v>16</v>
      </c>
      <c r="C1073" t="str">
        <f>IF(Table1[[#This Row],[age]]&gt;18,"Adult","Teenage")</f>
        <v>Teenage</v>
      </c>
      <c r="D1073">
        <v>3.7</v>
      </c>
      <c r="E1073" t="s">
        <v>17</v>
      </c>
      <c r="F1073">
        <v>9</v>
      </c>
      <c r="G1073">
        <f>Table1[[#This Row],[sleep_hours]]-Table1[[#This Row],[daily_social_media_hours]]</f>
        <v>5.3</v>
      </c>
      <c r="H1073">
        <v>1.5</v>
      </c>
      <c r="I1073">
        <v>3.37</v>
      </c>
      <c r="J1073" t="str" cm="1">
        <f t="array" ref="J1073">_xlfn.IFS(Table1[[#This Row],[academic_performance]]&gt;1,"Need Improvement",Table1[[#This Row],[academic_performance]]&gt;2,"Good",Table1[[#This Row],[academic_performance]]&gt;3,"Very good",Table1[[#This Row],[academic_performance]]&gt;4,"Excellent")</f>
        <v>Need Improvement</v>
      </c>
      <c r="K1073">
        <v>1.9</v>
      </c>
      <c r="L1073" t="str">
        <f>IF(Table1[[#This Row],[physical_activity]]&gt;1.9,"better overall ","lower rate of depression")</f>
        <v>lower rate of depression</v>
      </c>
      <c r="M1073" t="s">
        <v>15</v>
      </c>
      <c r="N1073">
        <v>4</v>
      </c>
      <c r="O1073">
        <v>3</v>
      </c>
      <c r="P1073">
        <v>1</v>
      </c>
      <c r="Q1073">
        <v>0</v>
      </c>
    </row>
    <row r="1074" spans="1:17" x14ac:dyDescent="0.3">
      <c r="A1074">
        <v>16</v>
      </c>
      <c r="B1074" t="s">
        <v>13</v>
      </c>
      <c r="C1074" t="str">
        <f>IF(Table1[[#This Row],[age]]&gt;18,"Adult","Teenage")</f>
        <v>Teenage</v>
      </c>
      <c r="D1074">
        <v>7</v>
      </c>
      <c r="E1074" t="s">
        <v>14</v>
      </c>
      <c r="F1074">
        <v>4.8</v>
      </c>
      <c r="G1074">
        <f>Table1[[#This Row],[sleep_hours]]-Table1[[#This Row],[daily_social_media_hours]]</f>
        <v>-2.2000000000000002</v>
      </c>
      <c r="H1074">
        <v>1.7</v>
      </c>
      <c r="I1074">
        <v>2.9</v>
      </c>
      <c r="J1074" t="str" cm="1">
        <f t="array" ref="J1074">_xlfn.IFS(Table1[[#This Row],[academic_performance]]&gt;1,"Need Improvement",Table1[[#This Row],[academic_performance]]&gt;2,"Good",Table1[[#This Row],[academic_performance]]&gt;3,"Very good",Table1[[#This Row],[academic_performance]]&gt;4,"Excellent")</f>
        <v>Need Improvement</v>
      </c>
      <c r="K1074">
        <v>0.3</v>
      </c>
      <c r="L1074" t="str">
        <f>IF(Table1[[#This Row],[physical_activity]]&gt;1.9,"better overall ","lower rate of depression")</f>
        <v>lower rate of depression</v>
      </c>
      <c r="M1074" t="s">
        <v>15</v>
      </c>
      <c r="N1074">
        <v>4</v>
      </c>
      <c r="O1074">
        <v>1</v>
      </c>
      <c r="P1074">
        <v>8</v>
      </c>
      <c r="Q1074">
        <v>0</v>
      </c>
    </row>
    <row r="1075" spans="1:17" x14ac:dyDescent="0.3">
      <c r="A1075">
        <v>15</v>
      </c>
      <c r="B1075" t="s">
        <v>13</v>
      </c>
      <c r="C1075" t="str">
        <f>IF(Table1[[#This Row],[age]]&gt;18,"Adult","Teenage")</f>
        <v>Teenage</v>
      </c>
      <c r="D1075">
        <v>4</v>
      </c>
      <c r="E1075" t="s">
        <v>17</v>
      </c>
      <c r="F1075">
        <v>8.4</v>
      </c>
      <c r="G1075">
        <f>Table1[[#This Row],[sleep_hours]]-Table1[[#This Row],[daily_social_media_hours]]</f>
        <v>4.4000000000000004</v>
      </c>
      <c r="H1075">
        <v>2.2999999999999998</v>
      </c>
      <c r="I1075">
        <v>2.52</v>
      </c>
      <c r="J1075" t="str" cm="1">
        <f t="array" ref="J1075">_xlfn.IFS(Table1[[#This Row],[academic_performance]]&gt;1,"Need Improvement",Table1[[#This Row],[academic_performance]]&gt;2,"Good",Table1[[#This Row],[academic_performance]]&gt;3,"Very good",Table1[[#This Row],[academic_performance]]&gt;4,"Excellent")</f>
        <v>Need Improvement</v>
      </c>
      <c r="K1075">
        <v>0.9</v>
      </c>
      <c r="L1075" t="str">
        <f>IF(Table1[[#This Row],[physical_activity]]&gt;1.9,"better overall ","lower rate of depression")</f>
        <v>lower rate of depression</v>
      </c>
      <c r="M1075" t="s">
        <v>15</v>
      </c>
      <c r="N1075">
        <v>4</v>
      </c>
      <c r="O1075">
        <v>5</v>
      </c>
      <c r="P1075">
        <v>3</v>
      </c>
      <c r="Q1075">
        <v>0</v>
      </c>
    </row>
    <row r="1076" spans="1:17" x14ac:dyDescent="0.3">
      <c r="A1076">
        <v>16</v>
      </c>
      <c r="B1076" t="s">
        <v>13</v>
      </c>
      <c r="C1076" t="str">
        <f>IF(Table1[[#This Row],[age]]&gt;18,"Adult","Teenage")</f>
        <v>Teenage</v>
      </c>
      <c r="D1076">
        <v>2.7</v>
      </c>
      <c r="E1076" t="s">
        <v>20</v>
      </c>
      <c r="F1076">
        <v>7.5</v>
      </c>
      <c r="G1076">
        <f>Table1[[#This Row],[sleep_hours]]-Table1[[#This Row],[daily_social_media_hours]]</f>
        <v>4.8</v>
      </c>
      <c r="H1076">
        <v>2.8</v>
      </c>
      <c r="I1076">
        <v>3.53</v>
      </c>
      <c r="J1076" t="str" cm="1">
        <f t="array" ref="J1076">_xlfn.IFS(Table1[[#This Row],[academic_performance]]&gt;1,"Need Improvement",Table1[[#This Row],[academic_performance]]&gt;2,"Good",Table1[[#This Row],[academic_performance]]&gt;3,"Very good",Table1[[#This Row],[academic_performance]]&gt;4,"Excellent")</f>
        <v>Need Improvement</v>
      </c>
      <c r="K1076">
        <v>0.9</v>
      </c>
      <c r="L1076" t="str">
        <f>IF(Table1[[#This Row],[physical_activity]]&gt;1.9,"better overall ","lower rate of depression")</f>
        <v>lower rate of depression</v>
      </c>
      <c r="M1076" t="s">
        <v>19</v>
      </c>
      <c r="N1076">
        <v>3</v>
      </c>
      <c r="O1076">
        <v>1</v>
      </c>
      <c r="P1076">
        <v>5</v>
      </c>
      <c r="Q1076">
        <v>0</v>
      </c>
    </row>
    <row r="1077" spans="1:17" x14ac:dyDescent="0.3">
      <c r="A1077">
        <v>15</v>
      </c>
      <c r="B1077" t="s">
        <v>13</v>
      </c>
      <c r="C1077" t="str">
        <f>IF(Table1[[#This Row],[age]]&gt;18,"Adult","Teenage")</f>
        <v>Teenage</v>
      </c>
      <c r="D1077">
        <v>7.2</v>
      </c>
      <c r="E1077" t="s">
        <v>20</v>
      </c>
      <c r="F1077">
        <v>5.7</v>
      </c>
      <c r="G1077">
        <f>Table1[[#This Row],[sleep_hours]]-Table1[[#This Row],[daily_social_media_hours]]</f>
        <v>-1.5</v>
      </c>
      <c r="H1077">
        <v>0.7</v>
      </c>
      <c r="I1077">
        <v>3.89</v>
      </c>
      <c r="J1077" t="str" cm="1">
        <f t="array" ref="J1077">_xlfn.IFS(Table1[[#This Row],[academic_performance]]&gt;1,"Need Improvement",Table1[[#This Row],[academic_performance]]&gt;2,"Good",Table1[[#This Row],[academic_performance]]&gt;3,"Very good",Table1[[#This Row],[academic_performance]]&gt;4,"Excellent")</f>
        <v>Need Improvement</v>
      </c>
      <c r="K1077">
        <v>1</v>
      </c>
      <c r="L1077" t="str">
        <f>IF(Table1[[#This Row],[physical_activity]]&gt;1.9,"better overall ","lower rate of depression")</f>
        <v>lower rate of depression</v>
      </c>
      <c r="M1077" t="s">
        <v>19</v>
      </c>
      <c r="N1077">
        <v>1</v>
      </c>
      <c r="O1077">
        <v>3</v>
      </c>
      <c r="P1077">
        <v>6</v>
      </c>
      <c r="Q1077">
        <v>0</v>
      </c>
    </row>
    <row r="1078" spans="1:17" x14ac:dyDescent="0.3">
      <c r="A1078">
        <v>18</v>
      </c>
      <c r="B1078" t="s">
        <v>13</v>
      </c>
      <c r="C1078" t="str">
        <f>IF(Table1[[#This Row],[age]]&gt;18,"Adult","Teenage")</f>
        <v>Teenage</v>
      </c>
      <c r="D1078">
        <v>7.9</v>
      </c>
      <c r="E1078" t="s">
        <v>20</v>
      </c>
      <c r="F1078">
        <v>7</v>
      </c>
      <c r="G1078">
        <f>Table1[[#This Row],[sleep_hours]]-Table1[[#This Row],[daily_social_media_hours]]</f>
        <v>-0.90000000000000036</v>
      </c>
      <c r="H1078">
        <v>2.7</v>
      </c>
      <c r="I1078">
        <v>3.9</v>
      </c>
      <c r="J1078" t="str" cm="1">
        <f t="array" ref="J1078">_xlfn.IFS(Table1[[#This Row],[academic_performance]]&gt;1,"Need Improvement",Table1[[#This Row],[academic_performance]]&gt;2,"Good",Table1[[#This Row],[academic_performance]]&gt;3,"Very good",Table1[[#This Row],[academic_performance]]&gt;4,"Excellent")</f>
        <v>Need Improvement</v>
      </c>
      <c r="K1078">
        <v>1</v>
      </c>
      <c r="L1078" t="str">
        <f>IF(Table1[[#This Row],[physical_activity]]&gt;1.9,"better overall ","lower rate of depression")</f>
        <v>lower rate of depression</v>
      </c>
      <c r="M1078" t="s">
        <v>19</v>
      </c>
      <c r="N1078">
        <v>1</v>
      </c>
      <c r="O1078">
        <v>2</v>
      </c>
      <c r="P1078">
        <v>10</v>
      </c>
      <c r="Q1078">
        <v>0</v>
      </c>
    </row>
    <row r="1079" spans="1:17" x14ac:dyDescent="0.3">
      <c r="A1079">
        <v>14</v>
      </c>
      <c r="B1079" t="s">
        <v>16</v>
      </c>
      <c r="C1079" t="str">
        <f>IF(Table1[[#This Row],[age]]&gt;18,"Adult","Teenage")</f>
        <v>Teenage</v>
      </c>
      <c r="D1079">
        <v>5.0999999999999996</v>
      </c>
      <c r="E1079" t="s">
        <v>14</v>
      </c>
      <c r="F1079">
        <v>5.3</v>
      </c>
      <c r="G1079">
        <f>Table1[[#This Row],[sleep_hours]]-Table1[[#This Row],[daily_social_media_hours]]</f>
        <v>0.20000000000000018</v>
      </c>
      <c r="H1079">
        <v>2.2999999999999998</v>
      </c>
      <c r="I1079">
        <v>2.31</v>
      </c>
      <c r="J1079" t="str" cm="1">
        <f t="array" ref="J1079">_xlfn.IFS(Table1[[#This Row],[academic_performance]]&gt;1,"Need Improvement",Table1[[#This Row],[academic_performance]]&gt;2,"Good",Table1[[#This Row],[academic_performance]]&gt;3,"Very good",Table1[[#This Row],[academic_performance]]&gt;4,"Excellent")</f>
        <v>Need Improvement</v>
      </c>
      <c r="K1079">
        <v>0.2</v>
      </c>
      <c r="L1079" t="str">
        <f>IF(Table1[[#This Row],[physical_activity]]&gt;1.9,"better overall ","lower rate of depression")</f>
        <v>lower rate of depression</v>
      </c>
      <c r="M1079" t="s">
        <v>18</v>
      </c>
      <c r="N1079">
        <v>3</v>
      </c>
      <c r="O1079">
        <v>3</v>
      </c>
      <c r="P1079">
        <v>6</v>
      </c>
      <c r="Q1079">
        <v>0</v>
      </c>
    </row>
    <row r="1080" spans="1:17" x14ac:dyDescent="0.3">
      <c r="A1080">
        <v>15</v>
      </c>
      <c r="B1080" t="s">
        <v>16</v>
      </c>
      <c r="C1080" t="str">
        <f>IF(Table1[[#This Row],[age]]&gt;18,"Adult","Teenage")</f>
        <v>Teenage</v>
      </c>
      <c r="D1080">
        <v>6.4</v>
      </c>
      <c r="E1080" t="s">
        <v>20</v>
      </c>
      <c r="F1080">
        <v>7.7</v>
      </c>
      <c r="G1080">
        <f>Table1[[#This Row],[sleep_hours]]-Table1[[#This Row],[daily_social_media_hours]]</f>
        <v>1.2999999999999998</v>
      </c>
      <c r="H1080">
        <v>0.7</v>
      </c>
      <c r="I1080">
        <v>3.86</v>
      </c>
      <c r="J1080" t="str" cm="1">
        <f t="array" ref="J1080">_xlfn.IFS(Table1[[#This Row],[academic_performance]]&gt;1,"Need Improvement",Table1[[#This Row],[academic_performance]]&gt;2,"Good",Table1[[#This Row],[academic_performance]]&gt;3,"Very good",Table1[[#This Row],[academic_performance]]&gt;4,"Excellent")</f>
        <v>Need Improvement</v>
      </c>
      <c r="K1080">
        <v>1.5</v>
      </c>
      <c r="L1080" t="str">
        <f>IF(Table1[[#This Row],[physical_activity]]&gt;1.9,"better overall ","lower rate of depression")</f>
        <v>lower rate of depression</v>
      </c>
      <c r="M1080" t="s">
        <v>18</v>
      </c>
      <c r="N1080">
        <v>10</v>
      </c>
      <c r="O1080">
        <v>2</v>
      </c>
      <c r="P1080">
        <v>7</v>
      </c>
      <c r="Q1080">
        <v>0</v>
      </c>
    </row>
    <row r="1081" spans="1:17" x14ac:dyDescent="0.3">
      <c r="A1081">
        <v>16</v>
      </c>
      <c r="B1081" t="s">
        <v>16</v>
      </c>
      <c r="C1081" t="str">
        <f>IF(Table1[[#This Row],[age]]&gt;18,"Adult","Teenage")</f>
        <v>Teenage</v>
      </c>
      <c r="D1081">
        <v>4.4000000000000004</v>
      </c>
      <c r="E1081" t="s">
        <v>20</v>
      </c>
      <c r="F1081">
        <v>4.2</v>
      </c>
      <c r="G1081">
        <f>Table1[[#This Row],[sleep_hours]]-Table1[[#This Row],[daily_social_media_hours]]</f>
        <v>-0.20000000000000018</v>
      </c>
      <c r="H1081">
        <v>2</v>
      </c>
      <c r="I1081">
        <v>3.89</v>
      </c>
      <c r="J1081" t="str" cm="1">
        <f t="array" ref="J1081">_xlfn.IFS(Table1[[#This Row],[academic_performance]]&gt;1,"Need Improvement",Table1[[#This Row],[academic_performance]]&gt;2,"Good",Table1[[#This Row],[academic_performance]]&gt;3,"Very good",Table1[[#This Row],[academic_performance]]&gt;4,"Excellent")</f>
        <v>Need Improvement</v>
      </c>
      <c r="K1081">
        <v>1.1000000000000001</v>
      </c>
      <c r="L1081" t="str">
        <f>IF(Table1[[#This Row],[physical_activity]]&gt;1.9,"better overall ","lower rate of depression")</f>
        <v>lower rate of depression</v>
      </c>
      <c r="M1081" t="s">
        <v>19</v>
      </c>
      <c r="N1081">
        <v>2</v>
      </c>
      <c r="O1081">
        <v>9</v>
      </c>
      <c r="P1081">
        <v>8</v>
      </c>
      <c r="Q1081">
        <v>0</v>
      </c>
    </row>
    <row r="1082" spans="1:17" x14ac:dyDescent="0.3">
      <c r="A1082">
        <v>16</v>
      </c>
      <c r="B1082" t="s">
        <v>13</v>
      </c>
      <c r="C1082" t="str">
        <f>IF(Table1[[#This Row],[age]]&gt;18,"Adult","Teenage")</f>
        <v>Teenage</v>
      </c>
      <c r="D1082">
        <v>7</v>
      </c>
      <c r="E1082" t="s">
        <v>17</v>
      </c>
      <c r="F1082">
        <v>7.4</v>
      </c>
      <c r="G1082">
        <f>Table1[[#This Row],[sleep_hours]]-Table1[[#This Row],[daily_social_media_hours]]</f>
        <v>0.40000000000000036</v>
      </c>
      <c r="H1082">
        <v>2.6</v>
      </c>
      <c r="I1082">
        <v>2.92</v>
      </c>
      <c r="J1082" t="str" cm="1">
        <f t="array" ref="J1082">_xlfn.IFS(Table1[[#This Row],[academic_performance]]&gt;1,"Need Improvement",Table1[[#This Row],[academic_performance]]&gt;2,"Good",Table1[[#This Row],[academic_performance]]&gt;3,"Very good",Table1[[#This Row],[academic_performance]]&gt;4,"Excellent")</f>
        <v>Need Improvement</v>
      </c>
      <c r="K1082">
        <v>1</v>
      </c>
      <c r="L1082" t="str">
        <f>IF(Table1[[#This Row],[physical_activity]]&gt;1.9,"better overall ","lower rate of depression")</f>
        <v>lower rate of depression</v>
      </c>
      <c r="M1082" t="s">
        <v>19</v>
      </c>
      <c r="N1082">
        <v>10</v>
      </c>
      <c r="O1082">
        <v>6</v>
      </c>
      <c r="P1082">
        <v>3</v>
      </c>
      <c r="Q1082">
        <v>0</v>
      </c>
    </row>
    <row r="1083" spans="1:17" x14ac:dyDescent="0.3">
      <c r="A1083">
        <v>17</v>
      </c>
      <c r="B1083" t="s">
        <v>16</v>
      </c>
      <c r="C1083" t="str">
        <f>IF(Table1[[#This Row],[age]]&gt;18,"Adult","Teenage")</f>
        <v>Teenage</v>
      </c>
      <c r="D1083">
        <v>7.8</v>
      </c>
      <c r="E1083" t="s">
        <v>17</v>
      </c>
      <c r="F1083">
        <v>5.7</v>
      </c>
      <c r="G1083">
        <f>Table1[[#This Row],[sleep_hours]]-Table1[[#This Row],[daily_social_media_hours]]</f>
        <v>-2.0999999999999996</v>
      </c>
      <c r="H1083">
        <v>1.2</v>
      </c>
      <c r="I1083">
        <v>3.72</v>
      </c>
      <c r="J1083" t="str" cm="1">
        <f t="array" ref="J1083">_xlfn.IFS(Table1[[#This Row],[academic_performance]]&gt;1,"Need Improvement",Table1[[#This Row],[academic_performance]]&gt;2,"Good",Table1[[#This Row],[academic_performance]]&gt;3,"Very good",Table1[[#This Row],[academic_performance]]&gt;4,"Excellent")</f>
        <v>Need Improvement</v>
      </c>
      <c r="K1083">
        <v>1.2</v>
      </c>
      <c r="L1083" t="str">
        <f>IF(Table1[[#This Row],[physical_activity]]&gt;1.9,"better overall ","lower rate of depression")</f>
        <v>lower rate of depression</v>
      </c>
      <c r="M1083" t="s">
        <v>18</v>
      </c>
      <c r="N1083">
        <v>10</v>
      </c>
      <c r="O1083">
        <v>2</v>
      </c>
      <c r="P1083">
        <v>6</v>
      </c>
      <c r="Q1083">
        <v>0</v>
      </c>
    </row>
    <row r="1084" spans="1:17" x14ac:dyDescent="0.3">
      <c r="A1084">
        <v>14</v>
      </c>
      <c r="B1084" t="s">
        <v>16</v>
      </c>
      <c r="C1084" t="str">
        <f>IF(Table1[[#This Row],[age]]&gt;18,"Adult","Teenage")</f>
        <v>Teenage</v>
      </c>
      <c r="D1084">
        <v>5</v>
      </c>
      <c r="E1084" t="s">
        <v>14</v>
      </c>
      <c r="F1084">
        <v>6.2</v>
      </c>
      <c r="G1084">
        <f>Table1[[#This Row],[sleep_hours]]-Table1[[#This Row],[daily_social_media_hours]]</f>
        <v>1.2000000000000002</v>
      </c>
      <c r="H1084">
        <v>1</v>
      </c>
      <c r="I1084">
        <v>2</v>
      </c>
      <c r="J1084" t="str" cm="1">
        <f t="array" ref="J1084">_xlfn.IFS(Table1[[#This Row],[academic_performance]]&gt;1,"Need Improvement",Table1[[#This Row],[academic_performance]]&gt;2,"Good",Table1[[#This Row],[academic_performance]]&gt;3,"Very good",Table1[[#This Row],[academic_performance]]&gt;4,"Excellent")</f>
        <v>Need Improvement</v>
      </c>
      <c r="K1084">
        <v>1.5</v>
      </c>
      <c r="L1084" t="str">
        <f>IF(Table1[[#This Row],[physical_activity]]&gt;1.9,"better overall ","lower rate of depression")</f>
        <v>lower rate of depression</v>
      </c>
      <c r="M1084" t="s">
        <v>15</v>
      </c>
      <c r="N1084">
        <v>5</v>
      </c>
      <c r="O1084">
        <v>6</v>
      </c>
      <c r="P1084">
        <v>1</v>
      </c>
      <c r="Q1084">
        <v>0</v>
      </c>
    </row>
    <row r="1085" spans="1:17" x14ac:dyDescent="0.3">
      <c r="A1085">
        <v>17</v>
      </c>
      <c r="B1085" t="s">
        <v>13</v>
      </c>
      <c r="C1085" t="str">
        <f>IF(Table1[[#This Row],[age]]&gt;18,"Adult","Teenage")</f>
        <v>Teenage</v>
      </c>
      <c r="D1085">
        <v>6.6</v>
      </c>
      <c r="E1085" t="s">
        <v>17</v>
      </c>
      <c r="F1085">
        <v>5.3</v>
      </c>
      <c r="G1085">
        <f>Table1[[#This Row],[sleep_hours]]-Table1[[#This Row],[daily_social_media_hours]]</f>
        <v>-1.2999999999999998</v>
      </c>
      <c r="H1085">
        <v>1.1000000000000001</v>
      </c>
      <c r="I1085">
        <v>3.5</v>
      </c>
      <c r="J1085" t="str" cm="1">
        <f t="array" ref="J1085">_xlfn.IFS(Table1[[#This Row],[academic_performance]]&gt;1,"Need Improvement",Table1[[#This Row],[academic_performance]]&gt;2,"Good",Table1[[#This Row],[academic_performance]]&gt;3,"Very good",Table1[[#This Row],[academic_performance]]&gt;4,"Excellent")</f>
        <v>Need Improvement</v>
      </c>
      <c r="K1085">
        <v>1.7</v>
      </c>
      <c r="L1085" t="str">
        <f>IF(Table1[[#This Row],[physical_activity]]&gt;1.9,"better overall ","lower rate of depression")</f>
        <v>lower rate of depression</v>
      </c>
      <c r="M1085" t="s">
        <v>19</v>
      </c>
      <c r="N1085">
        <v>1</v>
      </c>
      <c r="O1085">
        <v>10</v>
      </c>
      <c r="P1085">
        <v>7</v>
      </c>
      <c r="Q1085">
        <v>0</v>
      </c>
    </row>
    <row r="1086" spans="1:17" x14ac:dyDescent="0.3">
      <c r="A1086">
        <v>18</v>
      </c>
      <c r="B1086" t="s">
        <v>13</v>
      </c>
      <c r="C1086" t="str">
        <f>IF(Table1[[#This Row],[age]]&gt;18,"Adult","Teenage")</f>
        <v>Teenage</v>
      </c>
      <c r="D1086">
        <v>2.6</v>
      </c>
      <c r="E1086" t="s">
        <v>20</v>
      </c>
      <c r="F1086">
        <v>8.6</v>
      </c>
      <c r="G1086">
        <f>Table1[[#This Row],[sleep_hours]]-Table1[[#This Row],[daily_social_media_hours]]</f>
        <v>6</v>
      </c>
      <c r="H1086">
        <v>2.7</v>
      </c>
      <c r="I1086">
        <v>3.28</v>
      </c>
      <c r="J1086" t="str" cm="1">
        <f t="array" ref="J1086">_xlfn.IFS(Table1[[#This Row],[academic_performance]]&gt;1,"Need Improvement",Table1[[#This Row],[academic_performance]]&gt;2,"Good",Table1[[#This Row],[academic_performance]]&gt;3,"Very good",Table1[[#This Row],[academic_performance]]&gt;4,"Excellent")</f>
        <v>Need Improvement</v>
      </c>
      <c r="K1086">
        <v>0.8</v>
      </c>
      <c r="L1086" t="str">
        <f>IF(Table1[[#This Row],[physical_activity]]&gt;1.9,"better overall ","lower rate of depression")</f>
        <v>lower rate of depression</v>
      </c>
      <c r="M1086" t="s">
        <v>18</v>
      </c>
      <c r="N1086">
        <v>5</v>
      </c>
      <c r="O1086">
        <v>4</v>
      </c>
      <c r="P1086">
        <v>6</v>
      </c>
      <c r="Q1086">
        <v>0</v>
      </c>
    </row>
    <row r="1087" spans="1:17" x14ac:dyDescent="0.3">
      <c r="A1087">
        <v>13</v>
      </c>
      <c r="B1087" t="s">
        <v>16</v>
      </c>
      <c r="C1087" t="str">
        <f>IF(Table1[[#This Row],[age]]&gt;18,"Adult","Teenage")</f>
        <v>Teenage</v>
      </c>
      <c r="D1087">
        <v>5.8</v>
      </c>
      <c r="E1087" t="s">
        <v>14</v>
      </c>
      <c r="F1087">
        <v>4.4000000000000004</v>
      </c>
      <c r="G1087">
        <f>Table1[[#This Row],[sleep_hours]]-Table1[[#This Row],[daily_social_media_hours]]</f>
        <v>-1.3999999999999995</v>
      </c>
      <c r="H1087">
        <v>1.8</v>
      </c>
      <c r="I1087">
        <v>3.8</v>
      </c>
      <c r="J1087" t="str" cm="1">
        <f t="array" ref="J1087">_xlfn.IFS(Table1[[#This Row],[academic_performance]]&gt;1,"Need Improvement",Table1[[#This Row],[academic_performance]]&gt;2,"Good",Table1[[#This Row],[academic_performance]]&gt;3,"Very good",Table1[[#This Row],[academic_performance]]&gt;4,"Excellent")</f>
        <v>Need Improvement</v>
      </c>
      <c r="K1087">
        <v>1</v>
      </c>
      <c r="L1087" t="str">
        <f>IF(Table1[[#This Row],[physical_activity]]&gt;1.9,"better overall ","lower rate of depression")</f>
        <v>lower rate of depression</v>
      </c>
      <c r="M1087" t="s">
        <v>18</v>
      </c>
      <c r="N1087">
        <v>2</v>
      </c>
      <c r="O1087">
        <v>2</v>
      </c>
      <c r="P1087">
        <v>1</v>
      </c>
      <c r="Q1087">
        <v>0</v>
      </c>
    </row>
    <row r="1088" spans="1:17" x14ac:dyDescent="0.3">
      <c r="A1088">
        <v>14</v>
      </c>
      <c r="B1088" t="s">
        <v>16</v>
      </c>
      <c r="C1088" t="str">
        <f>IF(Table1[[#This Row],[age]]&gt;18,"Adult","Teenage")</f>
        <v>Teenage</v>
      </c>
      <c r="D1088">
        <v>5.6</v>
      </c>
      <c r="E1088" t="s">
        <v>17</v>
      </c>
      <c r="F1088">
        <v>6.8</v>
      </c>
      <c r="G1088">
        <f>Table1[[#This Row],[sleep_hours]]-Table1[[#This Row],[daily_social_media_hours]]</f>
        <v>1.2000000000000002</v>
      </c>
      <c r="H1088">
        <v>2.2999999999999998</v>
      </c>
      <c r="I1088">
        <v>2.66</v>
      </c>
      <c r="J1088" t="str" cm="1">
        <f t="array" ref="J1088">_xlfn.IFS(Table1[[#This Row],[academic_performance]]&gt;1,"Need Improvement",Table1[[#This Row],[academic_performance]]&gt;2,"Good",Table1[[#This Row],[academic_performance]]&gt;3,"Very good",Table1[[#This Row],[academic_performance]]&gt;4,"Excellent")</f>
        <v>Need Improvement</v>
      </c>
      <c r="K1088">
        <v>1.1000000000000001</v>
      </c>
      <c r="L1088" t="str">
        <f>IF(Table1[[#This Row],[physical_activity]]&gt;1.9,"better overall ","lower rate of depression")</f>
        <v>lower rate of depression</v>
      </c>
      <c r="M1088" t="s">
        <v>18</v>
      </c>
      <c r="N1088">
        <v>7</v>
      </c>
      <c r="O1088">
        <v>6</v>
      </c>
      <c r="P1088">
        <v>2</v>
      </c>
      <c r="Q1088">
        <v>0</v>
      </c>
    </row>
    <row r="1089" spans="1:17" x14ac:dyDescent="0.3">
      <c r="A1089">
        <v>18</v>
      </c>
      <c r="B1089" t="s">
        <v>13</v>
      </c>
      <c r="C1089" t="str">
        <f>IF(Table1[[#This Row],[age]]&gt;18,"Adult","Teenage")</f>
        <v>Teenage</v>
      </c>
      <c r="D1089">
        <v>4.5999999999999996</v>
      </c>
      <c r="E1089" t="s">
        <v>20</v>
      </c>
      <c r="F1089">
        <v>4.3</v>
      </c>
      <c r="G1089">
        <f>Table1[[#This Row],[sleep_hours]]-Table1[[#This Row],[daily_social_media_hours]]</f>
        <v>-0.29999999999999982</v>
      </c>
      <c r="H1089">
        <v>2.9</v>
      </c>
      <c r="I1089">
        <v>2.95</v>
      </c>
      <c r="J1089" t="str" cm="1">
        <f t="array" ref="J1089">_xlfn.IFS(Table1[[#This Row],[academic_performance]]&gt;1,"Need Improvement",Table1[[#This Row],[academic_performance]]&gt;2,"Good",Table1[[#This Row],[academic_performance]]&gt;3,"Very good",Table1[[#This Row],[academic_performance]]&gt;4,"Excellent")</f>
        <v>Need Improvement</v>
      </c>
      <c r="K1089">
        <v>0.6</v>
      </c>
      <c r="L1089" t="str">
        <f>IF(Table1[[#This Row],[physical_activity]]&gt;1.9,"better overall ","lower rate of depression")</f>
        <v>lower rate of depression</v>
      </c>
      <c r="M1089" t="s">
        <v>19</v>
      </c>
      <c r="N1089">
        <v>7</v>
      </c>
      <c r="O1089">
        <v>9</v>
      </c>
      <c r="P1089">
        <v>8</v>
      </c>
      <c r="Q1089">
        <v>0</v>
      </c>
    </row>
    <row r="1090" spans="1:17" x14ac:dyDescent="0.3">
      <c r="A1090">
        <v>19</v>
      </c>
      <c r="B1090" t="s">
        <v>13</v>
      </c>
      <c r="C1090" t="str">
        <f>IF(Table1[[#This Row],[age]]&gt;18,"Adult","Teenage")</f>
        <v>Adult</v>
      </c>
      <c r="D1090">
        <v>1.4</v>
      </c>
      <c r="E1090" t="s">
        <v>20</v>
      </c>
      <c r="F1090">
        <v>4.7</v>
      </c>
      <c r="G1090">
        <f>Table1[[#This Row],[sleep_hours]]-Table1[[#This Row],[daily_social_media_hours]]</f>
        <v>3.3000000000000003</v>
      </c>
      <c r="H1090">
        <v>0.5</v>
      </c>
      <c r="I1090">
        <v>3.57</v>
      </c>
      <c r="J1090" t="str" cm="1">
        <f t="array" ref="J1090">_xlfn.IFS(Table1[[#This Row],[academic_performance]]&gt;1,"Need Improvement",Table1[[#This Row],[academic_performance]]&gt;2,"Good",Table1[[#This Row],[academic_performance]]&gt;3,"Very good",Table1[[#This Row],[academic_performance]]&gt;4,"Excellent")</f>
        <v>Need Improvement</v>
      </c>
      <c r="K1090">
        <v>1.7</v>
      </c>
      <c r="L1090" t="str">
        <f>IF(Table1[[#This Row],[physical_activity]]&gt;1.9,"better overall ","lower rate of depression")</f>
        <v>lower rate of depression</v>
      </c>
      <c r="M1090" t="s">
        <v>18</v>
      </c>
      <c r="N1090">
        <v>1</v>
      </c>
      <c r="O1090">
        <v>5</v>
      </c>
      <c r="P1090">
        <v>6</v>
      </c>
      <c r="Q1090">
        <v>0</v>
      </c>
    </row>
    <row r="1091" spans="1:17" x14ac:dyDescent="0.3">
      <c r="A1091">
        <v>13</v>
      </c>
      <c r="B1091" t="s">
        <v>16</v>
      </c>
      <c r="C1091" t="str">
        <f>IF(Table1[[#This Row],[age]]&gt;18,"Adult","Teenage")</f>
        <v>Teenage</v>
      </c>
      <c r="D1091">
        <v>2.9</v>
      </c>
      <c r="E1091" t="s">
        <v>20</v>
      </c>
      <c r="F1091">
        <v>8.1999999999999993</v>
      </c>
      <c r="G1091">
        <f>Table1[[#This Row],[sleep_hours]]-Table1[[#This Row],[daily_social_media_hours]]</f>
        <v>5.2999999999999989</v>
      </c>
      <c r="H1091">
        <v>2.2999999999999998</v>
      </c>
      <c r="I1091">
        <v>2.48</v>
      </c>
      <c r="J1091" t="str" cm="1">
        <f t="array" ref="J1091">_xlfn.IFS(Table1[[#This Row],[academic_performance]]&gt;1,"Need Improvement",Table1[[#This Row],[academic_performance]]&gt;2,"Good",Table1[[#This Row],[academic_performance]]&gt;3,"Very good",Table1[[#This Row],[academic_performance]]&gt;4,"Excellent")</f>
        <v>Need Improvement</v>
      </c>
      <c r="K1091">
        <v>0.9</v>
      </c>
      <c r="L1091" t="str">
        <f>IF(Table1[[#This Row],[physical_activity]]&gt;1.9,"better overall ","lower rate of depression")</f>
        <v>lower rate of depression</v>
      </c>
      <c r="M1091" t="s">
        <v>15</v>
      </c>
      <c r="N1091">
        <v>5</v>
      </c>
      <c r="O1091">
        <v>8</v>
      </c>
      <c r="P1091">
        <v>9</v>
      </c>
      <c r="Q1091">
        <v>0</v>
      </c>
    </row>
    <row r="1092" spans="1:17" x14ac:dyDescent="0.3">
      <c r="A1092">
        <v>16</v>
      </c>
      <c r="B1092" t="s">
        <v>16</v>
      </c>
      <c r="C1092" t="str">
        <f>IF(Table1[[#This Row],[age]]&gt;18,"Adult","Teenage")</f>
        <v>Teenage</v>
      </c>
      <c r="D1092">
        <v>7.9</v>
      </c>
      <c r="E1092" t="s">
        <v>14</v>
      </c>
      <c r="F1092">
        <v>6.3</v>
      </c>
      <c r="G1092">
        <f>Table1[[#This Row],[sleep_hours]]-Table1[[#This Row],[daily_social_media_hours]]</f>
        <v>-1.6000000000000005</v>
      </c>
      <c r="H1092">
        <v>2.7</v>
      </c>
      <c r="I1092">
        <v>2.88</v>
      </c>
      <c r="J1092" t="str" cm="1">
        <f t="array" ref="J1092">_xlfn.IFS(Table1[[#This Row],[academic_performance]]&gt;1,"Need Improvement",Table1[[#This Row],[academic_performance]]&gt;2,"Good",Table1[[#This Row],[academic_performance]]&gt;3,"Very good",Table1[[#This Row],[academic_performance]]&gt;4,"Excellent")</f>
        <v>Need Improvement</v>
      </c>
      <c r="K1092">
        <v>0.2</v>
      </c>
      <c r="L1092" t="str">
        <f>IF(Table1[[#This Row],[physical_activity]]&gt;1.9,"better overall ","lower rate of depression")</f>
        <v>lower rate of depression</v>
      </c>
      <c r="M1092" t="s">
        <v>18</v>
      </c>
      <c r="N1092">
        <v>2</v>
      </c>
      <c r="O1092">
        <v>7</v>
      </c>
      <c r="P1092">
        <v>5</v>
      </c>
      <c r="Q1092">
        <v>0</v>
      </c>
    </row>
    <row r="1093" spans="1:17" x14ac:dyDescent="0.3">
      <c r="A1093">
        <v>13</v>
      </c>
      <c r="B1093" t="s">
        <v>13</v>
      </c>
      <c r="C1093" t="str">
        <f>IF(Table1[[#This Row],[age]]&gt;18,"Adult","Teenage")</f>
        <v>Teenage</v>
      </c>
      <c r="D1093">
        <v>3.5</v>
      </c>
      <c r="E1093" t="s">
        <v>20</v>
      </c>
      <c r="F1093">
        <v>6.8</v>
      </c>
      <c r="G1093">
        <f>Table1[[#This Row],[sleep_hours]]-Table1[[#This Row],[daily_social_media_hours]]</f>
        <v>3.3</v>
      </c>
      <c r="H1093">
        <v>2.2999999999999998</v>
      </c>
      <c r="I1093">
        <v>2.2799999999999998</v>
      </c>
      <c r="J1093" t="str" cm="1">
        <f t="array" ref="J1093">_xlfn.IFS(Table1[[#This Row],[academic_performance]]&gt;1,"Need Improvement",Table1[[#This Row],[academic_performance]]&gt;2,"Good",Table1[[#This Row],[academic_performance]]&gt;3,"Very good",Table1[[#This Row],[academic_performance]]&gt;4,"Excellent")</f>
        <v>Need Improvement</v>
      </c>
      <c r="K1093">
        <v>1</v>
      </c>
      <c r="L1093" t="str">
        <f>IF(Table1[[#This Row],[physical_activity]]&gt;1.9,"better overall ","lower rate of depression")</f>
        <v>lower rate of depression</v>
      </c>
      <c r="M1093" t="s">
        <v>15</v>
      </c>
      <c r="N1093">
        <v>7</v>
      </c>
      <c r="O1093">
        <v>2</v>
      </c>
      <c r="P1093">
        <v>6</v>
      </c>
      <c r="Q1093">
        <v>0</v>
      </c>
    </row>
    <row r="1094" spans="1:17" x14ac:dyDescent="0.3">
      <c r="A1094">
        <v>14</v>
      </c>
      <c r="B1094" t="s">
        <v>16</v>
      </c>
      <c r="C1094" t="str">
        <f>IF(Table1[[#This Row],[age]]&gt;18,"Adult","Teenage")</f>
        <v>Teenage</v>
      </c>
      <c r="D1094">
        <v>3.8</v>
      </c>
      <c r="E1094" t="s">
        <v>14</v>
      </c>
      <c r="F1094">
        <v>7.9</v>
      </c>
      <c r="G1094">
        <f>Table1[[#This Row],[sleep_hours]]-Table1[[#This Row],[daily_social_media_hours]]</f>
        <v>4.1000000000000005</v>
      </c>
      <c r="H1094">
        <v>1.2</v>
      </c>
      <c r="I1094">
        <v>3.24</v>
      </c>
      <c r="J1094" t="str" cm="1">
        <f t="array" ref="J1094">_xlfn.IFS(Table1[[#This Row],[academic_performance]]&gt;1,"Need Improvement",Table1[[#This Row],[academic_performance]]&gt;2,"Good",Table1[[#This Row],[academic_performance]]&gt;3,"Very good",Table1[[#This Row],[academic_performance]]&gt;4,"Excellent")</f>
        <v>Need Improvement</v>
      </c>
      <c r="K1094">
        <v>1.6</v>
      </c>
      <c r="L1094" t="str">
        <f>IF(Table1[[#This Row],[physical_activity]]&gt;1.9,"better overall ","lower rate of depression")</f>
        <v>lower rate of depression</v>
      </c>
      <c r="M1094" t="s">
        <v>18</v>
      </c>
      <c r="N1094">
        <v>6</v>
      </c>
      <c r="O1094">
        <v>10</v>
      </c>
      <c r="P1094">
        <v>5</v>
      </c>
      <c r="Q1094">
        <v>0</v>
      </c>
    </row>
    <row r="1095" spans="1:17" x14ac:dyDescent="0.3">
      <c r="A1095">
        <v>19</v>
      </c>
      <c r="B1095" t="s">
        <v>13</v>
      </c>
      <c r="C1095" t="str">
        <f>IF(Table1[[#This Row],[age]]&gt;18,"Adult","Teenage")</f>
        <v>Adult</v>
      </c>
      <c r="D1095">
        <v>2.9</v>
      </c>
      <c r="E1095" t="s">
        <v>14</v>
      </c>
      <c r="F1095">
        <v>8.6999999999999993</v>
      </c>
      <c r="G1095">
        <f>Table1[[#This Row],[sleep_hours]]-Table1[[#This Row],[daily_social_media_hours]]</f>
        <v>5.7999999999999989</v>
      </c>
      <c r="H1095">
        <v>0.9</v>
      </c>
      <c r="I1095">
        <v>2.99</v>
      </c>
      <c r="J1095" t="str" cm="1">
        <f t="array" ref="J1095">_xlfn.IFS(Table1[[#This Row],[academic_performance]]&gt;1,"Need Improvement",Table1[[#This Row],[academic_performance]]&gt;2,"Good",Table1[[#This Row],[academic_performance]]&gt;3,"Very good",Table1[[#This Row],[academic_performance]]&gt;4,"Excellent")</f>
        <v>Need Improvement</v>
      </c>
      <c r="K1095">
        <v>0.8</v>
      </c>
      <c r="L1095" t="str">
        <f>IF(Table1[[#This Row],[physical_activity]]&gt;1.9,"better overall ","lower rate of depression")</f>
        <v>lower rate of depression</v>
      </c>
      <c r="M1095" t="s">
        <v>19</v>
      </c>
      <c r="N1095">
        <v>7</v>
      </c>
      <c r="O1095">
        <v>8</v>
      </c>
      <c r="P1095">
        <v>2</v>
      </c>
      <c r="Q1095">
        <v>0</v>
      </c>
    </row>
    <row r="1096" spans="1:17" x14ac:dyDescent="0.3">
      <c r="A1096">
        <v>17</v>
      </c>
      <c r="B1096" t="s">
        <v>13</v>
      </c>
      <c r="C1096" t="str">
        <f>IF(Table1[[#This Row],[age]]&gt;18,"Adult","Teenage")</f>
        <v>Teenage</v>
      </c>
      <c r="D1096">
        <v>3.5</v>
      </c>
      <c r="E1096" t="s">
        <v>20</v>
      </c>
      <c r="F1096">
        <v>4.5999999999999996</v>
      </c>
      <c r="G1096">
        <f>Table1[[#This Row],[sleep_hours]]-Table1[[#This Row],[daily_social_media_hours]]</f>
        <v>1.0999999999999996</v>
      </c>
      <c r="H1096">
        <v>0.7</v>
      </c>
      <c r="I1096">
        <v>3.9</v>
      </c>
      <c r="J1096" t="str" cm="1">
        <f t="array" ref="J1096">_xlfn.IFS(Table1[[#This Row],[academic_performance]]&gt;1,"Need Improvement",Table1[[#This Row],[academic_performance]]&gt;2,"Good",Table1[[#This Row],[academic_performance]]&gt;3,"Very good",Table1[[#This Row],[academic_performance]]&gt;4,"Excellent")</f>
        <v>Need Improvement</v>
      </c>
      <c r="K1096">
        <v>0.6</v>
      </c>
      <c r="L1096" t="str">
        <f>IF(Table1[[#This Row],[physical_activity]]&gt;1.9,"better overall ","lower rate of depression")</f>
        <v>lower rate of depression</v>
      </c>
      <c r="M1096" t="s">
        <v>18</v>
      </c>
      <c r="N1096">
        <v>7</v>
      </c>
      <c r="O1096">
        <v>3</v>
      </c>
      <c r="P1096">
        <v>1</v>
      </c>
      <c r="Q1096">
        <v>0</v>
      </c>
    </row>
    <row r="1097" spans="1:17" x14ac:dyDescent="0.3">
      <c r="A1097">
        <v>16</v>
      </c>
      <c r="B1097" t="s">
        <v>13</v>
      </c>
      <c r="C1097" t="str">
        <f>IF(Table1[[#This Row],[age]]&gt;18,"Adult","Teenage")</f>
        <v>Teenage</v>
      </c>
      <c r="D1097">
        <v>4.8</v>
      </c>
      <c r="E1097" t="s">
        <v>14</v>
      </c>
      <c r="F1097">
        <v>8.6</v>
      </c>
      <c r="G1097">
        <f>Table1[[#This Row],[sleep_hours]]-Table1[[#This Row],[daily_social_media_hours]]</f>
        <v>3.8</v>
      </c>
      <c r="H1097">
        <v>1.8</v>
      </c>
      <c r="I1097">
        <v>2.44</v>
      </c>
      <c r="J1097" t="str" cm="1">
        <f t="array" ref="J1097">_xlfn.IFS(Table1[[#This Row],[academic_performance]]&gt;1,"Need Improvement",Table1[[#This Row],[academic_performance]]&gt;2,"Good",Table1[[#This Row],[academic_performance]]&gt;3,"Very good",Table1[[#This Row],[academic_performance]]&gt;4,"Excellent")</f>
        <v>Need Improvement</v>
      </c>
      <c r="K1097">
        <v>1.7</v>
      </c>
      <c r="L1097" t="str">
        <f>IF(Table1[[#This Row],[physical_activity]]&gt;1.9,"better overall ","lower rate of depression")</f>
        <v>lower rate of depression</v>
      </c>
      <c r="M1097" t="s">
        <v>18</v>
      </c>
      <c r="N1097">
        <v>8</v>
      </c>
      <c r="O1097">
        <v>7</v>
      </c>
      <c r="P1097">
        <v>3</v>
      </c>
      <c r="Q1097">
        <v>0</v>
      </c>
    </row>
    <row r="1098" spans="1:17" x14ac:dyDescent="0.3">
      <c r="A1098">
        <v>13</v>
      </c>
      <c r="B1098" t="s">
        <v>13</v>
      </c>
      <c r="C1098" t="str">
        <f>IF(Table1[[#This Row],[age]]&gt;18,"Adult","Teenage")</f>
        <v>Teenage</v>
      </c>
      <c r="D1098">
        <v>5.8</v>
      </c>
      <c r="E1098" t="s">
        <v>17</v>
      </c>
      <c r="F1098">
        <v>7.2</v>
      </c>
      <c r="G1098">
        <f>Table1[[#This Row],[sleep_hours]]-Table1[[#This Row],[daily_social_media_hours]]</f>
        <v>1.4000000000000004</v>
      </c>
      <c r="H1098">
        <v>1.1000000000000001</v>
      </c>
      <c r="I1098">
        <v>2.69</v>
      </c>
      <c r="J1098" t="str" cm="1">
        <f t="array" ref="J1098">_xlfn.IFS(Table1[[#This Row],[academic_performance]]&gt;1,"Need Improvement",Table1[[#This Row],[academic_performance]]&gt;2,"Good",Table1[[#This Row],[academic_performance]]&gt;3,"Very good",Table1[[#This Row],[academic_performance]]&gt;4,"Excellent")</f>
        <v>Need Improvement</v>
      </c>
      <c r="K1098">
        <v>0.4</v>
      </c>
      <c r="L1098" t="str">
        <f>IF(Table1[[#This Row],[physical_activity]]&gt;1.9,"better overall ","lower rate of depression")</f>
        <v>lower rate of depression</v>
      </c>
      <c r="M1098" t="s">
        <v>15</v>
      </c>
      <c r="N1098">
        <v>7</v>
      </c>
      <c r="O1098">
        <v>3</v>
      </c>
      <c r="P1098">
        <v>7</v>
      </c>
      <c r="Q1098">
        <v>0</v>
      </c>
    </row>
    <row r="1099" spans="1:17" x14ac:dyDescent="0.3">
      <c r="A1099">
        <v>16</v>
      </c>
      <c r="B1099" t="s">
        <v>16</v>
      </c>
      <c r="C1099" t="str">
        <f>IF(Table1[[#This Row],[age]]&gt;18,"Adult","Teenage")</f>
        <v>Teenage</v>
      </c>
      <c r="D1099">
        <v>6.1</v>
      </c>
      <c r="E1099" t="s">
        <v>20</v>
      </c>
      <c r="F1099">
        <v>7.5</v>
      </c>
      <c r="G1099">
        <f>Table1[[#This Row],[sleep_hours]]-Table1[[#This Row],[daily_social_media_hours]]</f>
        <v>1.4000000000000004</v>
      </c>
      <c r="H1099">
        <v>2.5</v>
      </c>
      <c r="I1099">
        <v>3.14</v>
      </c>
      <c r="J1099" t="str" cm="1">
        <f t="array" ref="J1099">_xlfn.IFS(Table1[[#This Row],[academic_performance]]&gt;1,"Need Improvement",Table1[[#This Row],[academic_performance]]&gt;2,"Good",Table1[[#This Row],[academic_performance]]&gt;3,"Very good",Table1[[#This Row],[academic_performance]]&gt;4,"Excellent")</f>
        <v>Need Improvement</v>
      </c>
      <c r="K1099">
        <v>0.5</v>
      </c>
      <c r="L1099" t="str">
        <f>IF(Table1[[#This Row],[physical_activity]]&gt;1.9,"better overall ","lower rate of depression")</f>
        <v>lower rate of depression</v>
      </c>
      <c r="M1099" t="s">
        <v>15</v>
      </c>
      <c r="N1099">
        <v>9</v>
      </c>
      <c r="O1099">
        <v>6</v>
      </c>
      <c r="P1099">
        <v>10</v>
      </c>
      <c r="Q1099">
        <v>0</v>
      </c>
    </row>
    <row r="1100" spans="1:17" x14ac:dyDescent="0.3">
      <c r="A1100">
        <v>14</v>
      </c>
      <c r="B1100" t="s">
        <v>16</v>
      </c>
      <c r="C1100" t="str">
        <f>IF(Table1[[#This Row],[age]]&gt;18,"Adult","Teenage")</f>
        <v>Teenage</v>
      </c>
      <c r="D1100">
        <v>4.3</v>
      </c>
      <c r="E1100" t="s">
        <v>20</v>
      </c>
      <c r="F1100">
        <v>7.8</v>
      </c>
      <c r="G1100">
        <f>Table1[[#This Row],[sleep_hours]]-Table1[[#This Row],[daily_social_media_hours]]</f>
        <v>3.5</v>
      </c>
      <c r="H1100">
        <v>0.5</v>
      </c>
      <c r="I1100">
        <v>3.92</v>
      </c>
      <c r="J1100" t="str" cm="1">
        <f t="array" ref="J1100">_xlfn.IFS(Table1[[#This Row],[academic_performance]]&gt;1,"Need Improvement",Table1[[#This Row],[academic_performance]]&gt;2,"Good",Table1[[#This Row],[academic_performance]]&gt;3,"Very good",Table1[[#This Row],[academic_performance]]&gt;4,"Excellent")</f>
        <v>Need Improvement</v>
      </c>
      <c r="K1100">
        <v>0.7</v>
      </c>
      <c r="L1100" t="str">
        <f>IF(Table1[[#This Row],[physical_activity]]&gt;1.9,"better overall ","lower rate of depression")</f>
        <v>lower rate of depression</v>
      </c>
      <c r="M1100" t="s">
        <v>18</v>
      </c>
      <c r="N1100">
        <v>3</v>
      </c>
      <c r="O1100">
        <v>4</v>
      </c>
      <c r="P1100">
        <v>8</v>
      </c>
      <c r="Q1100">
        <v>0</v>
      </c>
    </row>
    <row r="1101" spans="1:17" x14ac:dyDescent="0.3">
      <c r="A1101">
        <v>15</v>
      </c>
      <c r="B1101" t="s">
        <v>16</v>
      </c>
      <c r="C1101" t="str">
        <f>IF(Table1[[#This Row],[age]]&gt;18,"Adult","Teenage")</f>
        <v>Teenage</v>
      </c>
      <c r="D1101">
        <v>7.8</v>
      </c>
      <c r="E1101" t="s">
        <v>14</v>
      </c>
      <c r="F1101">
        <v>4.5999999999999996</v>
      </c>
      <c r="G1101">
        <f>Table1[[#This Row],[sleep_hours]]-Table1[[#This Row],[daily_social_media_hours]]</f>
        <v>-3.2</v>
      </c>
      <c r="H1101">
        <v>3</v>
      </c>
      <c r="I1101">
        <v>2.44</v>
      </c>
      <c r="J1101" t="str" cm="1">
        <f t="array" ref="J1101">_xlfn.IFS(Table1[[#This Row],[academic_performance]]&gt;1,"Need Improvement",Table1[[#This Row],[academic_performance]]&gt;2,"Good",Table1[[#This Row],[academic_performance]]&gt;3,"Very good",Table1[[#This Row],[academic_performance]]&gt;4,"Excellent")</f>
        <v>Need Improvement</v>
      </c>
      <c r="K1101">
        <v>1.4</v>
      </c>
      <c r="L1101" t="str">
        <f>IF(Table1[[#This Row],[physical_activity]]&gt;1.9,"better overall ","lower rate of depression")</f>
        <v>lower rate of depression</v>
      </c>
      <c r="M1101" t="s">
        <v>19</v>
      </c>
      <c r="N1101">
        <v>8</v>
      </c>
      <c r="O1101">
        <v>10</v>
      </c>
      <c r="P1101">
        <v>6</v>
      </c>
      <c r="Q1101">
        <v>1</v>
      </c>
    </row>
    <row r="1102" spans="1:17" x14ac:dyDescent="0.3">
      <c r="A1102">
        <v>15</v>
      </c>
      <c r="B1102" t="s">
        <v>16</v>
      </c>
      <c r="C1102" t="str">
        <f>IF(Table1[[#This Row],[age]]&gt;18,"Adult","Teenage")</f>
        <v>Teenage</v>
      </c>
      <c r="D1102">
        <v>5.2</v>
      </c>
      <c r="E1102" t="s">
        <v>17</v>
      </c>
      <c r="F1102">
        <v>7.5</v>
      </c>
      <c r="G1102">
        <f>Table1[[#This Row],[sleep_hours]]-Table1[[#This Row],[daily_social_media_hours]]</f>
        <v>2.2999999999999998</v>
      </c>
      <c r="H1102">
        <v>1.1000000000000001</v>
      </c>
      <c r="I1102">
        <v>3.61</v>
      </c>
      <c r="J1102" t="str" cm="1">
        <f t="array" ref="J1102">_xlfn.IFS(Table1[[#This Row],[academic_performance]]&gt;1,"Need Improvement",Table1[[#This Row],[academic_performance]]&gt;2,"Good",Table1[[#This Row],[academic_performance]]&gt;3,"Very good",Table1[[#This Row],[academic_performance]]&gt;4,"Excellent")</f>
        <v>Need Improvement</v>
      </c>
      <c r="K1102">
        <v>0.1</v>
      </c>
      <c r="L1102" t="str">
        <f>IF(Table1[[#This Row],[physical_activity]]&gt;1.9,"better overall ","lower rate of depression")</f>
        <v>lower rate of depression</v>
      </c>
      <c r="M1102" t="s">
        <v>15</v>
      </c>
      <c r="N1102">
        <v>4</v>
      </c>
      <c r="O1102">
        <v>6</v>
      </c>
      <c r="P1102">
        <v>7</v>
      </c>
      <c r="Q1102">
        <v>0</v>
      </c>
    </row>
    <row r="1103" spans="1:17" x14ac:dyDescent="0.3">
      <c r="A1103">
        <v>17</v>
      </c>
      <c r="B1103" t="s">
        <v>13</v>
      </c>
      <c r="C1103" t="str">
        <f>IF(Table1[[#This Row],[age]]&gt;18,"Adult","Teenage")</f>
        <v>Teenage</v>
      </c>
      <c r="D1103">
        <v>3.5</v>
      </c>
      <c r="E1103" t="s">
        <v>14</v>
      </c>
      <c r="F1103">
        <v>4.3</v>
      </c>
      <c r="G1103">
        <f>Table1[[#This Row],[sleep_hours]]-Table1[[#This Row],[daily_social_media_hours]]</f>
        <v>0.79999999999999982</v>
      </c>
      <c r="H1103">
        <v>2.2000000000000002</v>
      </c>
      <c r="I1103">
        <v>3.19</v>
      </c>
      <c r="J1103" t="str" cm="1">
        <f t="array" ref="J1103">_xlfn.IFS(Table1[[#This Row],[academic_performance]]&gt;1,"Need Improvement",Table1[[#This Row],[academic_performance]]&gt;2,"Good",Table1[[#This Row],[academic_performance]]&gt;3,"Very good",Table1[[#This Row],[academic_performance]]&gt;4,"Excellent")</f>
        <v>Need Improvement</v>
      </c>
      <c r="K1103">
        <v>1</v>
      </c>
      <c r="L1103" t="str">
        <f>IF(Table1[[#This Row],[physical_activity]]&gt;1.9,"better overall ","lower rate of depression")</f>
        <v>lower rate of depression</v>
      </c>
      <c r="M1103" t="s">
        <v>18</v>
      </c>
      <c r="N1103">
        <v>4</v>
      </c>
      <c r="O1103">
        <v>5</v>
      </c>
      <c r="P1103">
        <v>9</v>
      </c>
      <c r="Q1103">
        <v>0</v>
      </c>
    </row>
    <row r="1104" spans="1:17" x14ac:dyDescent="0.3">
      <c r="A1104">
        <v>16</v>
      </c>
      <c r="B1104" t="s">
        <v>16</v>
      </c>
      <c r="C1104" t="str">
        <f>IF(Table1[[#This Row],[age]]&gt;18,"Adult","Teenage")</f>
        <v>Teenage</v>
      </c>
      <c r="D1104">
        <v>6.5</v>
      </c>
      <c r="E1104" t="s">
        <v>17</v>
      </c>
      <c r="F1104">
        <v>4.5999999999999996</v>
      </c>
      <c r="G1104">
        <f>Table1[[#This Row],[sleep_hours]]-Table1[[#This Row],[daily_social_media_hours]]</f>
        <v>-1.9000000000000004</v>
      </c>
      <c r="H1104">
        <v>1.8</v>
      </c>
      <c r="I1104">
        <v>2.2000000000000002</v>
      </c>
      <c r="J1104" t="str" cm="1">
        <f t="array" ref="J1104">_xlfn.IFS(Table1[[#This Row],[academic_performance]]&gt;1,"Need Improvement",Table1[[#This Row],[academic_performance]]&gt;2,"Good",Table1[[#This Row],[academic_performance]]&gt;3,"Very good",Table1[[#This Row],[academic_performance]]&gt;4,"Excellent")</f>
        <v>Need Improvement</v>
      </c>
      <c r="K1104">
        <v>1.2</v>
      </c>
      <c r="L1104" t="str">
        <f>IF(Table1[[#This Row],[physical_activity]]&gt;1.9,"better overall ","lower rate of depression")</f>
        <v>lower rate of depression</v>
      </c>
      <c r="M1104" t="s">
        <v>15</v>
      </c>
      <c r="N1104">
        <v>7</v>
      </c>
      <c r="O1104">
        <v>4</v>
      </c>
      <c r="P1104">
        <v>4</v>
      </c>
      <c r="Q1104">
        <v>0</v>
      </c>
    </row>
    <row r="1105" spans="1:17" x14ac:dyDescent="0.3">
      <c r="A1105">
        <v>17</v>
      </c>
      <c r="B1105" t="s">
        <v>13</v>
      </c>
      <c r="C1105" t="str">
        <f>IF(Table1[[#This Row],[age]]&gt;18,"Adult","Teenage")</f>
        <v>Teenage</v>
      </c>
      <c r="D1105">
        <v>4.7</v>
      </c>
      <c r="E1105" t="s">
        <v>17</v>
      </c>
      <c r="F1105">
        <v>7.2</v>
      </c>
      <c r="G1105">
        <f>Table1[[#This Row],[sleep_hours]]-Table1[[#This Row],[daily_social_media_hours]]</f>
        <v>2.5</v>
      </c>
      <c r="H1105">
        <v>2.7</v>
      </c>
      <c r="I1105">
        <v>2.06</v>
      </c>
      <c r="J1105" t="str" cm="1">
        <f t="array" ref="J1105">_xlfn.IFS(Table1[[#This Row],[academic_performance]]&gt;1,"Need Improvement",Table1[[#This Row],[academic_performance]]&gt;2,"Good",Table1[[#This Row],[academic_performance]]&gt;3,"Very good",Table1[[#This Row],[academic_performance]]&gt;4,"Excellent")</f>
        <v>Need Improvement</v>
      </c>
      <c r="K1105">
        <v>1.4</v>
      </c>
      <c r="L1105" t="str">
        <f>IF(Table1[[#This Row],[physical_activity]]&gt;1.9,"better overall ","lower rate of depression")</f>
        <v>lower rate of depression</v>
      </c>
      <c r="M1105" t="s">
        <v>15</v>
      </c>
      <c r="N1105">
        <v>3</v>
      </c>
      <c r="O1105">
        <v>1</v>
      </c>
      <c r="P1105">
        <v>4</v>
      </c>
      <c r="Q1105">
        <v>0</v>
      </c>
    </row>
    <row r="1106" spans="1:17" x14ac:dyDescent="0.3">
      <c r="A1106">
        <v>13</v>
      </c>
      <c r="B1106" t="s">
        <v>13</v>
      </c>
      <c r="C1106" t="str">
        <f>IF(Table1[[#This Row],[age]]&gt;18,"Adult","Teenage")</f>
        <v>Teenage</v>
      </c>
      <c r="D1106">
        <v>2.5</v>
      </c>
      <c r="E1106" t="s">
        <v>14</v>
      </c>
      <c r="F1106">
        <v>6.3</v>
      </c>
      <c r="G1106">
        <f>Table1[[#This Row],[sleep_hours]]-Table1[[#This Row],[daily_social_media_hours]]</f>
        <v>3.8</v>
      </c>
      <c r="H1106">
        <v>1.8</v>
      </c>
      <c r="I1106">
        <v>2.2000000000000002</v>
      </c>
      <c r="J1106" t="str" cm="1">
        <f t="array" ref="J1106">_xlfn.IFS(Table1[[#This Row],[academic_performance]]&gt;1,"Need Improvement",Table1[[#This Row],[academic_performance]]&gt;2,"Good",Table1[[#This Row],[academic_performance]]&gt;3,"Very good",Table1[[#This Row],[academic_performance]]&gt;4,"Excellent")</f>
        <v>Need Improvement</v>
      </c>
      <c r="K1106">
        <v>0.1</v>
      </c>
      <c r="L1106" t="str">
        <f>IF(Table1[[#This Row],[physical_activity]]&gt;1.9,"better overall ","lower rate of depression")</f>
        <v>lower rate of depression</v>
      </c>
      <c r="M1106" t="s">
        <v>18</v>
      </c>
      <c r="N1106">
        <v>9</v>
      </c>
      <c r="O1106">
        <v>3</v>
      </c>
      <c r="P1106">
        <v>9</v>
      </c>
      <c r="Q1106">
        <v>0</v>
      </c>
    </row>
    <row r="1107" spans="1:17" x14ac:dyDescent="0.3">
      <c r="A1107">
        <v>19</v>
      </c>
      <c r="B1107" t="s">
        <v>16</v>
      </c>
      <c r="C1107" t="str">
        <f>IF(Table1[[#This Row],[age]]&gt;18,"Adult","Teenage")</f>
        <v>Adult</v>
      </c>
      <c r="D1107">
        <v>5.5</v>
      </c>
      <c r="E1107" t="s">
        <v>17</v>
      </c>
      <c r="F1107">
        <v>7.4</v>
      </c>
      <c r="G1107">
        <f>Table1[[#This Row],[sleep_hours]]-Table1[[#This Row],[daily_social_media_hours]]</f>
        <v>1.9000000000000004</v>
      </c>
      <c r="H1107">
        <v>2</v>
      </c>
      <c r="I1107">
        <v>2.8</v>
      </c>
      <c r="J1107" t="str" cm="1">
        <f t="array" ref="J1107">_xlfn.IFS(Table1[[#This Row],[academic_performance]]&gt;1,"Need Improvement",Table1[[#This Row],[academic_performance]]&gt;2,"Good",Table1[[#This Row],[academic_performance]]&gt;3,"Very good",Table1[[#This Row],[academic_performance]]&gt;4,"Excellent")</f>
        <v>Need Improvement</v>
      </c>
      <c r="K1107">
        <v>1.8</v>
      </c>
      <c r="L1107" t="str">
        <f>IF(Table1[[#This Row],[physical_activity]]&gt;1.9,"better overall ","lower rate of depression")</f>
        <v>lower rate of depression</v>
      </c>
      <c r="M1107" t="s">
        <v>18</v>
      </c>
      <c r="N1107">
        <v>9</v>
      </c>
      <c r="O1107">
        <v>8</v>
      </c>
      <c r="P1107">
        <v>10</v>
      </c>
      <c r="Q1107">
        <v>0</v>
      </c>
    </row>
    <row r="1108" spans="1:17" x14ac:dyDescent="0.3">
      <c r="A1108">
        <v>15</v>
      </c>
      <c r="B1108" t="s">
        <v>16</v>
      </c>
      <c r="C1108" t="str">
        <f>IF(Table1[[#This Row],[age]]&gt;18,"Adult","Teenage")</f>
        <v>Teenage</v>
      </c>
      <c r="D1108">
        <v>3.5</v>
      </c>
      <c r="E1108" t="s">
        <v>14</v>
      </c>
      <c r="F1108">
        <v>8</v>
      </c>
      <c r="G1108">
        <f>Table1[[#This Row],[sleep_hours]]-Table1[[#This Row],[daily_social_media_hours]]</f>
        <v>4.5</v>
      </c>
      <c r="H1108">
        <v>1.9</v>
      </c>
      <c r="I1108">
        <v>3.45</v>
      </c>
      <c r="J1108" t="str" cm="1">
        <f t="array" ref="J1108">_xlfn.IFS(Table1[[#This Row],[academic_performance]]&gt;1,"Need Improvement",Table1[[#This Row],[academic_performance]]&gt;2,"Good",Table1[[#This Row],[academic_performance]]&gt;3,"Very good",Table1[[#This Row],[academic_performance]]&gt;4,"Excellent")</f>
        <v>Need Improvement</v>
      </c>
      <c r="K1108">
        <v>1.5</v>
      </c>
      <c r="L1108" t="str">
        <f>IF(Table1[[#This Row],[physical_activity]]&gt;1.9,"better overall ","lower rate of depression")</f>
        <v>lower rate of depression</v>
      </c>
      <c r="M1108" t="s">
        <v>18</v>
      </c>
      <c r="N1108">
        <v>10</v>
      </c>
      <c r="O1108">
        <v>4</v>
      </c>
      <c r="P1108">
        <v>1</v>
      </c>
      <c r="Q1108">
        <v>0</v>
      </c>
    </row>
    <row r="1109" spans="1:17" x14ac:dyDescent="0.3">
      <c r="A1109">
        <v>14</v>
      </c>
      <c r="B1109" t="s">
        <v>16</v>
      </c>
      <c r="C1109" t="str">
        <f>IF(Table1[[#This Row],[age]]&gt;18,"Adult","Teenage")</f>
        <v>Teenage</v>
      </c>
      <c r="D1109">
        <v>4.5999999999999996</v>
      </c>
      <c r="E1109" t="s">
        <v>17</v>
      </c>
      <c r="F1109">
        <v>7</v>
      </c>
      <c r="G1109">
        <f>Table1[[#This Row],[sleep_hours]]-Table1[[#This Row],[daily_social_media_hours]]</f>
        <v>2.4000000000000004</v>
      </c>
      <c r="H1109">
        <v>1.6</v>
      </c>
      <c r="I1109">
        <v>2.74</v>
      </c>
      <c r="J1109" t="str" cm="1">
        <f t="array" ref="J1109">_xlfn.IFS(Table1[[#This Row],[academic_performance]]&gt;1,"Need Improvement",Table1[[#This Row],[academic_performance]]&gt;2,"Good",Table1[[#This Row],[academic_performance]]&gt;3,"Very good",Table1[[#This Row],[academic_performance]]&gt;4,"Excellent")</f>
        <v>Need Improvement</v>
      </c>
      <c r="K1109">
        <v>0.9</v>
      </c>
      <c r="L1109" t="str">
        <f>IF(Table1[[#This Row],[physical_activity]]&gt;1.9,"better overall ","lower rate of depression")</f>
        <v>lower rate of depression</v>
      </c>
      <c r="M1109" t="s">
        <v>15</v>
      </c>
      <c r="N1109">
        <v>3</v>
      </c>
      <c r="O1109">
        <v>2</v>
      </c>
      <c r="P1109">
        <v>9</v>
      </c>
      <c r="Q1109">
        <v>0</v>
      </c>
    </row>
    <row r="1110" spans="1:17" x14ac:dyDescent="0.3">
      <c r="A1110">
        <v>13</v>
      </c>
      <c r="B1110" t="s">
        <v>16</v>
      </c>
      <c r="C1110" t="str">
        <f>IF(Table1[[#This Row],[age]]&gt;18,"Adult","Teenage")</f>
        <v>Teenage</v>
      </c>
      <c r="D1110">
        <v>3.5</v>
      </c>
      <c r="E1110" t="s">
        <v>14</v>
      </c>
      <c r="F1110">
        <v>6.9</v>
      </c>
      <c r="G1110">
        <f>Table1[[#This Row],[sleep_hours]]-Table1[[#This Row],[daily_social_media_hours]]</f>
        <v>3.4000000000000004</v>
      </c>
      <c r="H1110">
        <v>1.6</v>
      </c>
      <c r="I1110">
        <v>2.08</v>
      </c>
      <c r="J1110" t="str" cm="1">
        <f t="array" ref="J1110">_xlfn.IFS(Table1[[#This Row],[academic_performance]]&gt;1,"Need Improvement",Table1[[#This Row],[academic_performance]]&gt;2,"Good",Table1[[#This Row],[academic_performance]]&gt;3,"Very good",Table1[[#This Row],[academic_performance]]&gt;4,"Excellent")</f>
        <v>Need Improvement</v>
      </c>
      <c r="K1110">
        <v>0.7</v>
      </c>
      <c r="L1110" t="str">
        <f>IF(Table1[[#This Row],[physical_activity]]&gt;1.9,"better overall ","lower rate of depression")</f>
        <v>lower rate of depression</v>
      </c>
      <c r="M1110" t="s">
        <v>15</v>
      </c>
      <c r="N1110">
        <v>9</v>
      </c>
      <c r="O1110">
        <v>9</v>
      </c>
      <c r="P1110">
        <v>9</v>
      </c>
      <c r="Q1110">
        <v>0</v>
      </c>
    </row>
    <row r="1111" spans="1:17" x14ac:dyDescent="0.3">
      <c r="A1111">
        <v>19</v>
      </c>
      <c r="B1111" t="s">
        <v>13</v>
      </c>
      <c r="C1111" t="str">
        <f>IF(Table1[[#This Row],[age]]&gt;18,"Adult","Teenage")</f>
        <v>Adult</v>
      </c>
      <c r="D1111">
        <v>1.6</v>
      </c>
      <c r="E1111" t="s">
        <v>17</v>
      </c>
      <c r="F1111">
        <v>8.6</v>
      </c>
      <c r="G1111">
        <f>Table1[[#This Row],[sleep_hours]]-Table1[[#This Row],[daily_social_media_hours]]</f>
        <v>7</v>
      </c>
      <c r="H1111">
        <v>1.4</v>
      </c>
      <c r="I1111">
        <v>2.69</v>
      </c>
      <c r="J1111" t="str" cm="1">
        <f t="array" ref="J1111">_xlfn.IFS(Table1[[#This Row],[academic_performance]]&gt;1,"Need Improvement",Table1[[#This Row],[academic_performance]]&gt;2,"Good",Table1[[#This Row],[academic_performance]]&gt;3,"Very good",Table1[[#This Row],[academic_performance]]&gt;4,"Excellent")</f>
        <v>Need Improvement</v>
      </c>
      <c r="K1111">
        <v>1.6</v>
      </c>
      <c r="L1111" t="str">
        <f>IF(Table1[[#This Row],[physical_activity]]&gt;1.9,"better overall ","lower rate of depression")</f>
        <v>lower rate of depression</v>
      </c>
      <c r="M1111" t="s">
        <v>19</v>
      </c>
      <c r="N1111">
        <v>4</v>
      </c>
      <c r="O1111">
        <v>3</v>
      </c>
      <c r="P1111">
        <v>4</v>
      </c>
      <c r="Q1111">
        <v>0</v>
      </c>
    </row>
    <row r="1112" spans="1:17" x14ac:dyDescent="0.3">
      <c r="A1112">
        <v>13</v>
      </c>
      <c r="B1112" t="s">
        <v>16</v>
      </c>
      <c r="C1112" t="str">
        <f>IF(Table1[[#This Row],[age]]&gt;18,"Adult","Teenage")</f>
        <v>Teenage</v>
      </c>
      <c r="D1112">
        <v>3.2</v>
      </c>
      <c r="E1112" t="s">
        <v>20</v>
      </c>
      <c r="F1112">
        <v>5.9</v>
      </c>
      <c r="G1112">
        <f>Table1[[#This Row],[sleep_hours]]-Table1[[#This Row],[daily_social_media_hours]]</f>
        <v>2.7</v>
      </c>
      <c r="H1112">
        <v>0.7</v>
      </c>
      <c r="I1112">
        <v>3.98</v>
      </c>
      <c r="J1112" t="str" cm="1">
        <f t="array" ref="J1112">_xlfn.IFS(Table1[[#This Row],[academic_performance]]&gt;1,"Need Improvement",Table1[[#This Row],[academic_performance]]&gt;2,"Good",Table1[[#This Row],[academic_performance]]&gt;3,"Very good",Table1[[#This Row],[academic_performance]]&gt;4,"Excellent")</f>
        <v>Need Improvement</v>
      </c>
      <c r="K1112">
        <v>0.8</v>
      </c>
      <c r="L1112" t="str">
        <f>IF(Table1[[#This Row],[physical_activity]]&gt;1.9,"better overall ","lower rate of depression")</f>
        <v>lower rate of depression</v>
      </c>
      <c r="M1112" t="s">
        <v>15</v>
      </c>
      <c r="N1112">
        <v>6</v>
      </c>
      <c r="O1112">
        <v>8</v>
      </c>
      <c r="P1112">
        <v>1</v>
      </c>
      <c r="Q1112">
        <v>0</v>
      </c>
    </row>
    <row r="1113" spans="1:17" x14ac:dyDescent="0.3">
      <c r="A1113">
        <v>19</v>
      </c>
      <c r="B1113" t="s">
        <v>16</v>
      </c>
      <c r="C1113" t="str">
        <f>IF(Table1[[#This Row],[age]]&gt;18,"Adult","Teenage")</f>
        <v>Adult</v>
      </c>
      <c r="D1113">
        <v>1.7</v>
      </c>
      <c r="E1113" t="s">
        <v>20</v>
      </c>
      <c r="F1113">
        <v>7</v>
      </c>
      <c r="G1113">
        <f>Table1[[#This Row],[sleep_hours]]-Table1[[#This Row],[daily_social_media_hours]]</f>
        <v>5.3</v>
      </c>
      <c r="H1113">
        <v>2.7</v>
      </c>
      <c r="I1113">
        <v>2.0699999999999998</v>
      </c>
      <c r="J1113" t="str" cm="1">
        <f t="array" ref="J1113">_xlfn.IFS(Table1[[#This Row],[academic_performance]]&gt;1,"Need Improvement",Table1[[#This Row],[academic_performance]]&gt;2,"Good",Table1[[#This Row],[academic_performance]]&gt;3,"Very good",Table1[[#This Row],[academic_performance]]&gt;4,"Excellent")</f>
        <v>Need Improvement</v>
      </c>
      <c r="K1113">
        <v>0.5</v>
      </c>
      <c r="L1113" t="str">
        <f>IF(Table1[[#This Row],[physical_activity]]&gt;1.9,"better overall ","lower rate of depression")</f>
        <v>lower rate of depression</v>
      </c>
      <c r="M1113" t="s">
        <v>18</v>
      </c>
      <c r="N1113">
        <v>6</v>
      </c>
      <c r="O1113">
        <v>4</v>
      </c>
      <c r="P1113">
        <v>10</v>
      </c>
      <c r="Q1113">
        <v>0</v>
      </c>
    </row>
    <row r="1114" spans="1:17" x14ac:dyDescent="0.3">
      <c r="A1114">
        <v>14</v>
      </c>
      <c r="B1114" t="s">
        <v>13</v>
      </c>
      <c r="C1114" t="str">
        <f>IF(Table1[[#This Row],[age]]&gt;18,"Adult","Teenage")</f>
        <v>Teenage</v>
      </c>
      <c r="D1114">
        <v>6.4</v>
      </c>
      <c r="E1114" t="s">
        <v>14</v>
      </c>
      <c r="F1114">
        <v>4.3</v>
      </c>
      <c r="G1114">
        <f>Table1[[#This Row],[sleep_hours]]-Table1[[#This Row],[daily_social_media_hours]]</f>
        <v>-2.1000000000000005</v>
      </c>
      <c r="H1114">
        <v>2.2999999999999998</v>
      </c>
      <c r="I1114">
        <v>3.99</v>
      </c>
      <c r="J1114" t="str" cm="1">
        <f t="array" ref="J1114">_xlfn.IFS(Table1[[#This Row],[academic_performance]]&gt;1,"Need Improvement",Table1[[#This Row],[academic_performance]]&gt;2,"Good",Table1[[#This Row],[academic_performance]]&gt;3,"Very good",Table1[[#This Row],[academic_performance]]&gt;4,"Excellent")</f>
        <v>Need Improvement</v>
      </c>
      <c r="K1114">
        <v>1.1000000000000001</v>
      </c>
      <c r="L1114" t="str">
        <f>IF(Table1[[#This Row],[physical_activity]]&gt;1.9,"better overall ","lower rate of depression")</f>
        <v>lower rate of depression</v>
      </c>
      <c r="M1114" t="s">
        <v>15</v>
      </c>
      <c r="N1114">
        <v>7</v>
      </c>
      <c r="O1114">
        <v>4</v>
      </c>
      <c r="P1114">
        <v>3</v>
      </c>
      <c r="Q1114">
        <v>0</v>
      </c>
    </row>
    <row r="1115" spans="1:17" x14ac:dyDescent="0.3">
      <c r="A1115">
        <v>13</v>
      </c>
      <c r="B1115" t="s">
        <v>16</v>
      </c>
      <c r="C1115" t="str">
        <f>IF(Table1[[#This Row],[age]]&gt;18,"Adult","Teenage")</f>
        <v>Teenage</v>
      </c>
      <c r="D1115">
        <v>3.3</v>
      </c>
      <c r="E1115" t="s">
        <v>17</v>
      </c>
      <c r="F1115">
        <v>6.4</v>
      </c>
      <c r="G1115">
        <f>Table1[[#This Row],[sleep_hours]]-Table1[[#This Row],[daily_social_media_hours]]</f>
        <v>3.1000000000000005</v>
      </c>
      <c r="H1115">
        <v>1</v>
      </c>
      <c r="I1115">
        <v>2.4900000000000002</v>
      </c>
      <c r="J1115" t="str" cm="1">
        <f t="array" ref="J1115">_xlfn.IFS(Table1[[#This Row],[academic_performance]]&gt;1,"Need Improvement",Table1[[#This Row],[academic_performance]]&gt;2,"Good",Table1[[#This Row],[academic_performance]]&gt;3,"Very good",Table1[[#This Row],[academic_performance]]&gt;4,"Excellent")</f>
        <v>Need Improvement</v>
      </c>
      <c r="K1115">
        <v>1</v>
      </c>
      <c r="L1115" t="str">
        <f>IF(Table1[[#This Row],[physical_activity]]&gt;1.9,"better overall ","lower rate of depression")</f>
        <v>lower rate of depression</v>
      </c>
      <c r="M1115" t="s">
        <v>15</v>
      </c>
      <c r="N1115">
        <v>9</v>
      </c>
      <c r="O1115">
        <v>2</v>
      </c>
      <c r="P1115">
        <v>4</v>
      </c>
      <c r="Q1115">
        <v>0</v>
      </c>
    </row>
    <row r="1116" spans="1:17" x14ac:dyDescent="0.3">
      <c r="A1116">
        <v>18</v>
      </c>
      <c r="B1116" t="s">
        <v>13</v>
      </c>
      <c r="C1116" t="str">
        <f>IF(Table1[[#This Row],[age]]&gt;18,"Adult","Teenage")</f>
        <v>Teenage</v>
      </c>
      <c r="D1116">
        <v>1.2</v>
      </c>
      <c r="E1116" t="s">
        <v>20</v>
      </c>
      <c r="F1116">
        <v>6.8</v>
      </c>
      <c r="G1116">
        <f>Table1[[#This Row],[sleep_hours]]-Table1[[#This Row],[daily_social_media_hours]]</f>
        <v>5.6</v>
      </c>
      <c r="H1116">
        <v>2.6</v>
      </c>
      <c r="I1116">
        <v>2.85</v>
      </c>
      <c r="J1116" t="str" cm="1">
        <f t="array" ref="J1116">_xlfn.IFS(Table1[[#This Row],[academic_performance]]&gt;1,"Need Improvement",Table1[[#This Row],[academic_performance]]&gt;2,"Good",Table1[[#This Row],[academic_performance]]&gt;3,"Very good",Table1[[#This Row],[academic_performance]]&gt;4,"Excellent")</f>
        <v>Need Improvement</v>
      </c>
      <c r="K1116">
        <v>1.8</v>
      </c>
      <c r="L1116" t="str">
        <f>IF(Table1[[#This Row],[physical_activity]]&gt;1.9,"better overall ","lower rate of depression")</f>
        <v>lower rate of depression</v>
      </c>
      <c r="M1116" t="s">
        <v>19</v>
      </c>
      <c r="N1116">
        <v>4</v>
      </c>
      <c r="O1116">
        <v>3</v>
      </c>
      <c r="P1116">
        <v>9</v>
      </c>
      <c r="Q1116">
        <v>0</v>
      </c>
    </row>
    <row r="1117" spans="1:17" x14ac:dyDescent="0.3">
      <c r="A1117">
        <v>13</v>
      </c>
      <c r="B1117" t="s">
        <v>16</v>
      </c>
      <c r="C1117" t="str">
        <f>IF(Table1[[#This Row],[age]]&gt;18,"Adult","Teenage")</f>
        <v>Teenage</v>
      </c>
      <c r="D1117">
        <v>2.5</v>
      </c>
      <c r="E1117" t="s">
        <v>20</v>
      </c>
      <c r="F1117">
        <v>7.8</v>
      </c>
      <c r="G1117">
        <f>Table1[[#This Row],[sleep_hours]]-Table1[[#This Row],[daily_social_media_hours]]</f>
        <v>5.3</v>
      </c>
      <c r="H1117">
        <v>1.4</v>
      </c>
      <c r="I1117">
        <v>3.43</v>
      </c>
      <c r="J1117" t="str" cm="1">
        <f t="array" ref="J1117">_xlfn.IFS(Table1[[#This Row],[academic_performance]]&gt;1,"Need Improvement",Table1[[#This Row],[academic_performance]]&gt;2,"Good",Table1[[#This Row],[academic_performance]]&gt;3,"Very good",Table1[[#This Row],[academic_performance]]&gt;4,"Excellent")</f>
        <v>Need Improvement</v>
      </c>
      <c r="K1117">
        <v>0.9</v>
      </c>
      <c r="L1117" t="str">
        <f>IF(Table1[[#This Row],[physical_activity]]&gt;1.9,"better overall ","lower rate of depression")</f>
        <v>lower rate of depression</v>
      </c>
      <c r="M1117" t="s">
        <v>19</v>
      </c>
      <c r="N1117">
        <v>1</v>
      </c>
      <c r="O1117">
        <v>4</v>
      </c>
      <c r="P1117">
        <v>6</v>
      </c>
      <c r="Q1117">
        <v>0</v>
      </c>
    </row>
    <row r="1118" spans="1:17" x14ac:dyDescent="0.3">
      <c r="A1118">
        <v>16</v>
      </c>
      <c r="B1118" t="s">
        <v>13</v>
      </c>
      <c r="C1118" t="str">
        <f>IF(Table1[[#This Row],[age]]&gt;18,"Adult","Teenage")</f>
        <v>Teenage</v>
      </c>
      <c r="D1118">
        <v>2.2000000000000002</v>
      </c>
      <c r="E1118" t="s">
        <v>17</v>
      </c>
      <c r="F1118">
        <v>5.0999999999999996</v>
      </c>
      <c r="G1118">
        <f>Table1[[#This Row],[sleep_hours]]-Table1[[#This Row],[daily_social_media_hours]]</f>
        <v>2.8999999999999995</v>
      </c>
      <c r="H1118">
        <v>2.2999999999999998</v>
      </c>
      <c r="I1118">
        <v>3.6</v>
      </c>
      <c r="J1118" t="str" cm="1">
        <f t="array" ref="J1118">_xlfn.IFS(Table1[[#This Row],[academic_performance]]&gt;1,"Need Improvement",Table1[[#This Row],[academic_performance]]&gt;2,"Good",Table1[[#This Row],[academic_performance]]&gt;3,"Very good",Table1[[#This Row],[academic_performance]]&gt;4,"Excellent")</f>
        <v>Need Improvement</v>
      </c>
      <c r="K1118">
        <v>1</v>
      </c>
      <c r="L1118" t="str">
        <f>IF(Table1[[#This Row],[physical_activity]]&gt;1.9,"better overall ","lower rate of depression")</f>
        <v>lower rate of depression</v>
      </c>
      <c r="M1118" t="s">
        <v>18</v>
      </c>
      <c r="N1118">
        <v>4</v>
      </c>
      <c r="O1118">
        <v>7</v>
      </c>
      <c r="P1118">
        <v>6</v>
      </c>
      <c r="Q1118">
        <v>0</v>
      </c>
    </row>
    <row r="1119" spans="1:17" x14ac:dyDescent="0.3">
      <c r="A1119">
        <v>18</v>
      </c>
      <c r="B1119" t="s">
        <v>16</v>
      </c>
      <c r="C1119" t="str">
        <f>IF(Table1[[#This Row],[age]]&gt;18,"Adult","Teenage")</f>
        <v>Teenage</v>
      </c>
      <c r="D1119">
        <v>5.2</v>
      </c>
      <c r="E1119" t="s">
        <v>20</v>
      </c>
      <c r="F1119">
        <v>7.1</v>
      </c>
      <c r="G1119">
        <f>Table1[[#This Row],[sleep_hours]]-Table1[[#This Row],[daily_social_media_hours]]</f>
        <v>1.8999999999999995</v>
      </c>
      <c r="H1119">
        <v>1.9</v>
      </c>
      <c r="I1119">
        <v>2.87</v>
      </c>
      <c r="J1119" t="str" cm="1">
        <f t="array" ref="J1119">_xlfn.IFS(Table1[[#This Row],[academic_performance]]&gt;1,"Need Improvement",Table1[[#This Row],[academic_performance]]&gt;2,"Good",Table1[[#This Row],[academic_performance]]&gt;3,"Very good",Table1[[#This Row],[academic_performance]]&gt;4,"Excellent")</f>
        <v>Need Improvement</v>
      </c>
      <c r="K1119">
        <v>1.7</v>
      </c>
      <c r="L1119" t="str">
        <f>IF(Table1[[#This Row],[physical_activity]]&gt;1.9,"better overall ","lower rate of depression")</f>
        <v>lower rate of depression</v>
      </c>
      <c r="M1119" t="s">
        <v>19</v>
      </c>
      <c r="N1119">
        <v>5</v>
      </c>
      <c r="O1119">
        <v>8</v>
      </c>
      <c r="P1119">
        <v>6</v>
      </c>
      <c r="Q1119">
        <v>0</v>
      </c>
    </row>
    <row r="1120" spans="1:17" x14ac:dyDescent="0.3">
      <c r="A1120">
        <v>16</v>
      </c>
      <c r="B1120" t="s">
        <v>13</v>
      </c>
      <c r="C1120" t="str">
        <f>IF(Table1[[#This Row],[age]]&gt;18,"Adult","Teenage")</f>
        <v>Teenage</v>
      </c>
      <c r="D1120">
        <v>7.9</v>
      </c>
      <c r="E1120" t="s">
        <v>14</v>
      </c>
      <c r="F1120">
        <v>8.6999999999999993</v>
      </c>
      <c r="G1120">
        <f>Table1[[#This Row],[sleep_hours]]-Table1[[#This Row],[daily_social_media_hours]]</f>
        <v>0.79999999999999893</v>
      </c>
      <c r="H1120">
        <v>2.5</v>
      </c>
      <c r="I1120">
        <v>2.29</v>
      </c>
      <c r="J1120" t="str" cm="1">
        <f t="array" ref="J1120">_xlfn.IFS(Table1[[#This Row],[academic_performance]]&gt;1,"Need Improvement",Table1[[#This Row],[academic_performance]]&gt;2,"Good",Table1[[#This Row],[academic_performance]]&gt;3,"Very good",Table1[[#This Row],[academic_performance]]&gt;4,"Excellent")</f>
        <v>Need Improvement</v>
      </c>
      <c r="K1120">
        <v>0.7</v>
      </c>
      <c r="L1120" t="str">
        <f>IF(Table1[[#This Row],[physical_activity]]&gt;1.9,"better overall ","lower rate of depression")</f>
        <v>lower rate of depression</v>
      </c>
      <c r="M1120" t="s">
        <v>18</v>
      </c>
      <c r="N1120">
        <v>7</v>
      </c>
      <c r="O1120">
        <v>7</v>
      </c>
      <c r="P1120">
        <v>4</v>
      </c>
      <c r="Q1120">
        <v>0</v>
      </c>
    </row>
    <row r="1121" spans="1:17" x14ac:dyDescent="0.3">
      <c r="A1121">
        <v>18</v>
      </c>
      <c r="B1121" t="s">
        <v>13</v>
      </c>
      <c r="C1121" t="str">
        <f>IF(Table1[[#This Row],[age]]&gt;18,"Adult","Teenage")</f>
        <v>Teenage</v>
      </c>
      <c r="D1121">
        <v>5.6</v>
      </c>
      <c r="E1121" t="s">
        <v>20</v>
      </c>
      <c r="F1121">
        <v>8</v>
      </c>
      <c r="G1121">
        <f>Table1[[#This Row],[sleep_hours]]-Table1[[#This Row],[daily_social_media_hours]]</f>
        <v>2.4000000000000004</v>
      </c>
      <c r="H1121">
        <v>2.4</v>
      </c>
      <c r="I1121">
        <v>2.95</v>
      </c>
      <c r="J1121" t="str" cm="1">
        <f t="array" ref="J1121">_xlfn.IFS(Table1[[#This Row],[academic_performance]]&gt;1,"Need Improvement",Table1[[#This Row],[academic_performance]]&gt;2,"Good",Table1[[#This Row],[academic_performance]]&gt;3,"Very good",Table1[[#This Row],[academic_performance]]&gt;4,"Excellent")</f>
        <v>Need Improvement</v>
      </c>
      <c r="K1121">
        <v>0</v>
      </c>
      <c r="L1121" t="str">
        <f>IF(Table1[[#This Row],[physical_activity]]&gt;1.9,"better overall ","lower rate of depression")</f>
        <v>lower rate of depression</v>
      </c>
      <c r="M1121" t="s">
        <v>15</v>
      </c>
      <c r="N1121">
        <v>2</v>
      </c>
      <c r="O1121">
        <v>10</v>
      </c>
      <c r="P1121">
        <v>3</v>
      </c>
      <c r="Q1121">
        <v>0</v>
      </c>
    </row>
    <row r="1122" spans="1:17" x14ac:dyDescent="0.3">
      <c r="A1122">
        <v>16</v>
      </c>
      <c r="B1122" t="s">
        <v>13</v>
      </c>
      <c r="C1122" t="str">
        <f>IF(Table1[[#This Row],[age]]&gt;18,"Adult","Teenage")</f>
        <v>Teenage</v>
      </c>
      <c r="D1122">
        <v>3.9</v>
      </c>
      <c r="E1122" t="s">
        <v>17</v>
      </c>
      <c r="F1122">
        <v>4.2</v>
      </c>
      <c r="G1122">
        <f>Table1[[#This Row],[sleep_hours]]-Table1[[#This Row],[daily_social_media_hours]]</f>
        <v>0.30000000000000027</v>
      </c>
      <c r="H1122">
        <v>2.1</v>
      </c>
      <c r="I1122">
        <v>2.2799999999999998</v>
      </c>
      <c r="J1122" t="str" cm="1">
        <f t="array" ref="J1122">_xlfn.IFS(Table1[[#This Row],[academic_performance]]&gt;1,"Need Improvement",Table1[[#This Row],[academic_performance]]&gt;2,"Good",Table1[[#This Row],[academic_performance]]&gt;3,"Very good",Table1[[#This Row],[academic_performance]]&gt;4,"Excellent")</f>
        <v>Need Improvement</v>
      </c>
      <c r="K1122">
        <v>1.1000000000000001</v>
      </c>
      <c r="L1122" t="str">
        <f>IF(Table1[[#This Row],[physical_activity]]&gt;1.9,"better overall ","lower rate of depression")</f>
        <v>lower rate of depression</v>
      </c>
      <c r="M1122" t="s">
        <v>19</v>
      </c>
      <c r="N1122">
        <v>6</v>
      </c>
      <c r="O1122">
        <v>5</v>
      </c>
      <c r="P1122">
        <v>7</v>
      </c>
      <c r="Q1122">
        <v>0</v>
      </c>
    </row>
    <row r="1123" spans="1:17" x14ac:dyDescent="0.3">
      <c r="A1123">
        <v>18</v>
      </c>
      <c r="B1123" t="s">
        <v>16</v>
      </c>
      <c r="C1123" t="str">
        <f>IF(Table1[[#This Row],[age]]&gt;18,"Adult","Teenage")</f>
        <v>Teenage</v>
      </c>
      <c r="D1123">
        <v>1.8</v>
      </c>
      <c r="E1123" t="s">
        <v>17</v>
      </c>
      <c r="F1123">
        <v>6.1</v>
      </c>
      <c r="G1123">
        <f>Table1[[#This Row],[sleep_hours]]-Table1[[#This Row],[daily_social_media_hours]]</f>
        <v>4.3</v>
      </c>
      <c r="H1123">
        <v>2.7</v>
      </c>
      <c r="I1123">
        <v>2.86</v>
      </c>
      <c r="J1123" t="str" cm="1">
        <f t="array" ref="J1123">_xlfn.IFS(Table1[[#This Row],[academic_performance]]&gt;1,"Need Improvement",Table1[[#This Row],[academic_performance]]&gt;2,"Good",Table1[[#This Row],[academic_performance]]&gt;3,"Very good",Table1[[#This Row],[academic_performance]]&gt;4,"Excellent")</f>
        <v>Need Improvement</v>
      </c>
      <c r="K1123">
        <v>1.1000000000000001</v>
      </c>
      <c r="L1123" t="str">
        <f>IF(Table1[[#This Row],[physical_activity]]&gt;1.9,"better overall ","lower rate of depression")</f>
        <v>lower rate of depression</v>
      </c>
      <c r="M1123" t="s">
        <v>15</v>
      </c>
      <c r="N1123">
        <v>4</v>
      </c>
      <c r="O1123">
        <v>2</v>
      </c>
      <c r="P1123">
        <v>4</v>
      </c>
      <c r="Q1123">
        <v>0</v>
      </c>
    </row>
    <row r="1124" spans="1:17" x14ac:dyDescent="0.3">
      <c r="A1124">
        <v>18</v>
      </c>
      <c r="B1124" t="s">
        <v>16</v>
      </c>
      <c r="C1124" t="str">
        <f>IF(Table1[[#This Row],[age]]&gt;18,"Adult","Teenage")</f>
        <v>Teenage</v>
      </c>
      <c r="D1124">
        <v>5.8</v>
      </c>
      <c r="E1124" t="s">
        <v>20</v>
      </c>
      <c r="F1124">
        <v>5.0999999999999996</v>
      </c>
      <c r="G1124">
        <f>Table1[[#This Row],[sleep_hours]]-Table1[[#This Row],[daily_social_media_hours]]</f>
        <v>-0.70000000000000018</v>
      </c>
      <c r="H1124">
        <v>1.2</v>
      </c>
      <c r="I1124">
        <v>3.24</v>
      </c>
      <c r="J1124" t="str" cm="1">
        <f t="array" ref="J1124">_xlfn.IFS(Table1[[#This Row],[academic_performance]]&gt;1,"Need Improvement",Table1[[#This Row],[academic_performance]]&gt;2,"Good",Table1[[#This Row],[academic_performance]]&gt;3,"Very good",Table1[[#This Row],[academic_performance]]&gt;4,"Excellent")</f>
        <v>Need Improvement</v>
      </c>
      <c r="K1124">
        <v>0.4</v>
      </c>
      <c r="L1124" t="str">
        <f>IF(Table1[[#This Row],[physical_activity]]&gt;1.9,"better overall ","lower rate of depression")</f>
        <v>lower rate of depression</v>
      </c>
      <c r="M1124" t="s">
        <v>18</v>
      </c>
      <c r="N1124">
        <v>5</v>
      </c>
      <c r="O1124">
        <v>9</v>
      </c>
      <c r="P1124">
        <v>2</v>
      </c>
      <c r="Q1124">
        <v>0</v>
      </c>
    </row>
    <row r="1125" spans="1:17" x14ac:dyDescent="0.3">
      <c r="A1125">
        <v>18</v>
      </c>
      <c r="B1125" t="s">
        <v>16</v>
      </c>
      <c r="C1125" t="str">
        <f>IF(Table1[[#This Row],[age]]&gt;18,"Adult","Teenage")</f>
        <v>Teenage</v>
      </c>
      <c r="D1125">
        <v>2.2000000000000002</v>
      </c>
      <c r="E1125" t="s">
        <v>14</v>
      </c>
      <c r="F1125">
        <v>4.4000000000000004</v>
      </c>
      <c r="G1125">
        <f>Table1[[#This Row],[sleep_hours]]-Table1[[#This Row],[daily_social_media_hours]]</f>
        <v>2.2000000000000002</v>
      </c>
      <c r="H1125">
        <v>1.7</v>
      </c>
      <c r="I1125">
        <v>2.86</v>
      </c>
      <c r="J1125" t="str" cm="1">
        <f t="array" ref="J1125">_xlfn.IFS(Table1[[#This Row],[academic_performance]]&gt;1,"Need Improvement",Table1[[#This Row],[academic_performance]]&gt;2,"Good",Table1[[#This Row],[academic_performance]]&gt;3,"Very good",Table1[[#This Row],[academic_performance]]&gt;4,"Excellent")</f>
        <v>Need Improvement</v>
      </c>
      <c r="K1125">
        <v>1.1000000000000001</v>
      </c>
      <c r="L1125" t="str">
        <f>IF(Table1[[#This Row],[physical_activity]]&gt;1.9,"better overall ","lower rate of depression")</f>
        <v>lower rate of depression</v>
      </c>
      <c r="M1125" t="s">
        <v>18</v>
      </c>
      <c r="N1125">
        <v>8</v>
      </c>
      <c r="O1125">
        <v>9</v>
      </c>
      <c r="P1125">
        <v>7</v>
      </c>
      <c r="Q1125">
        <v>0</v>
      </c>
    </row>
    <row r="1126" spans="1:17" x14ac:dyDescent="0.3">
      <c r="A1126">
        <v>17</v>
      </c>
      <c r="B1126" t="s">
        <v>13</v>
      </c>
      <c r="C1126" t="str">
        <f>IF(Table1[[#This Row],[age]]&gt;18,"Adult","Teenage")</f>
        <v>Teenage</v>
      </c>
      <c r="D1126">
        <v>6.9</v>
      </c>
      <c r="E1126" t="s">
        <v>20</v>
      </c>
      <c r="F1126">
        <v>4.5999999999999996</v>
      </c>
      <c r="G1126">
        <f>Table1[[#This Row],[sleep_hours]]-Table1[[#This Row],[daily_social_media_hours]]</f>
        <v>-2.3000000000000007</v>
      </c>
      <c r="H1126">
        <v>2.5</v>
      </c>
      <c r="I1126">
        <v>2.04</v>
      </c>
      <c r="J1126" t="str" cm="1">
        <f t="array" ref="J1126">_xlfn.IFS(Table1[[#This Row],[academic_performance]]&gt;1,"Need Improvement",Table1[[#This Row],[academic_performance]]&gt;2,"Good",Table1[[#This Row],[academic_performance]]&gt;3,"Very good",Table1[[#This Row],[academic_performance]]&gt;4,"Excellent")</f>
        <v>Need Improvement</v>
      </c>
      <c r="K1126">
        <v>0.8</v>
      </c>
      <c r="L1126" t="str">
        <f>IF(Table1[[#This Row],[physical_activity]]&gt;1.9,"better overall ","lower rate of depression")</f>
        <v>lower rate of depression</v>
      </c>
      <c r="M1126" t="s">
        <v>18</v>
      </c>
      <c r="N1126">
        <v>10</v>
      </c>
      <c r="O1126">
        <v>9</v>
      </c>
      <c r="P1126">
        <v>2</v>
      </c>
      <c r="Q1126">
        <v>1</v>
      </c>
    </row>
    <row r="1127" spans="1:17" x14ac:dyDescent="0.3">
      <c r="A1127">
        <v>14</v>
      </c>
      <c r="B1127" t="s">
        <v>16</v>
      </c>
      <c r="C1127" t="str">
        <f>IF(Table1[[#This Row],[age]]&gt;18,"Adult","Teenage")</f>
        <v>Teenage</v>
      </c>
      <c r="D1127">
        <v>5.7</v>
      </c>
      <c r="E1127" t="s">
        <v>14</v>
      </c>
      <c r="F1127">
        <v>6.7</v>
      </c>
      <c r="G1127">
        <f>Table1[[#This Row],[sleep_hours]]-Table1[[#This Row],[daily_social_media_hours]]</f>
        <v>1</v>
      </c>
      <c r="H1127">
        <v>2.6</v>
      </c>
      <c r="I1127">
        <v>2.35</v>
      </c>
      <c r="J1127" t="str" cm="1">
        <f t="array" ref="J1127">_xlfn.IFS(Table1[[#This Row],[academic_performance]]&gt;1,"Need Improvement",Table1[[#This Row],[academic_performance]]&gt;2,"Good",Table1[[#This Row],[academic_performance]]&gt;3,"Very good",Table1[[#This Row],[academic_performance]]&gt;4,"Excellent")</f>
        <v>Need Improvement</v>
      </c>
      <c r="K1127">
        <v>1.8</v>
      </c>
      <c r="L1127" t="str">
        <f>IF(Table1[[#This Row],[physical_activity]]&gt;1.9,"better overall ","lower rate of depression")</f>
        <v>lower rate of depression</v>
      </c>
      <c r="M1127" t="s">
        <v>18</v>
      </c>
      <c r="N1127">
        <v>10</v>
      </c>
      <c r="O1127">
        <v>10</v>
      </c>
      <c r="P1127">
        <v>7</v>
      </c>
      <c r="Q1127">
        <v>0</v>
      </c>
    </row>
    <row r="1128" spans="1:17" x14ac:dyDescent="0.3">
      <c r="A1128">
        <v>17</v>
      </c>
      <c r="B1128" t="s">
        <v>13</v>
      </c>
      <c r="C1128" t="str">
        <f>IF(Table1[[#This Row],[age]]&gt;18,"Adult","Teenage")</f>
        <v>Teenage</v>
      </c>
      <c r="D1128">
        <v>7.5</v>
      </c>
      <c r="E1128" t="s">
        <v>17</v>
      </c>
      <c r="F1128">
        <v>5.6</v>
      </c>
      <c r="G1128">
        <f>Table1[[#This Row],[sleep_hours]]-Table1[[#This Row],[daily_social_media_hours]]</f>
        <v>-1.9000000000000004</v>
      </c>
      <c r="H1128">
        <v>2.2999999999999998</v>
      </c>
      <c r="I1128">
        <v>2.37</v>
      </c>
      <c r="J1128" t="str" cm="1">
        <f t="array" ref="J1128">_xlfn.IFS(Table1[[#This Row],[academic_performance]]&gt;1,"Need Improvement",Table1[[#This Row],[academic_performance]]&gt;2,"Good",Table1[[#This Row],[academic_performance]]&gt;3,"Very good",Table1[[#This Row],[academic_performance]]&gt;4,"Excellent")</f>
        <v>Need Improvement</v>
      </c>
      <c r="K1128">
        <v>0</v>
      </c>
      <c r="L1128" t="str">
        <f>IF(Table1[[#This Row],[physical_activity]]&gt;1.9,"better overall ","lower rate of depression")</f>
        <v>lower rate of depression</v>
      </c>
      <c r="M1128" t="s">
        <v>18</v>
      </c>
      <c r="N1128">
        <v>3</v>
      </c>
      <c r="O1128">
        <v>10</v>
      </c>
      <c r="P1128">
        <v>8</v>
      </c>
      <c r="Q1128">
        <v>0</v>
      </c>
    </row>
    <row r="1129" spans="1:17" x14ac:dyDescent="0.3">
      <c r="A1129">
        <v>13</v>
      </c>
      <c r="B1129" t="s">
        <v>13</v>
      </c>
      <c r="C1129" t="str">
        <f>IF(Table1[[#This Row],[age]]&gt;18,"Adult","Teenage")</f>
        <v>Teenage</v>
      </c>
      <c r="D1129">
        <v>5.2</v>
      </c>
      <c r="E1129" t="s">
        <v>20</v>
      </c>
      <c r="F1129">
        <v>6.4</v>
      </c>
      <c r="G1129">
        <f>Table1[[#This Row],[sleep_hours]]-Table1[[#This Row],[daily_social_media_hours]]</f>
        <v>1.2000000000000002</v>
      </c>
      <c r="H1129">
        <v>2.5</v>
      </c>
      <c r="I1129">
        <v>3.13</v>
      </c>
      <c r="J1129" t="str" cm="1">
        <f t="array" ref="J1129">_xlfn.IFS(Table1[[#This Row],[academic_performance]]&gt;1,"Need Improvement",Table1[[#This Row],[academic_performance]]&gt;2,"Good",Table1[[#This Row],[academic_performance]]&gt;3,"Very good",Table1[[#This Row],[academic_performance]]&gt;4,"Excellent")</f>
        <v>Need Improvement</v>
      </c>
      <c r="K1129">
        <v>0.3</v>
      </c>
      <c r="L1129" t="str">
        <f>IF(Table1[[#This Row],[physical_activity]]&gt;1.9,"better overall ","lower rate of depression")</f>
        <v>lower rate of depression</v>
      </c>
      <c r="M1129" t="s">
        <v>19</v>
      </c>
      <c r="N1129">
        <v>8</v>
      </c>
      <c r="O1129">
        <v>6</v>
      </c>
      <c r="P1129">
        <v>7</v>
      </c>
      <c r="Q1129">
        <v>0</v>
      </c>
    </row>
    <row r="1130" spans="1:17" x14ac:dyDescent="0.3">
      <c r="A1130">
        <v>16</v>
      </c>
      <c r="B1130" t="s">
        <v>13</v>
      </c>
      <c r="C1130" t="str">
        <f>IF(Table1[[#This Row],[age]]&gt;18,"Adult","Teenage")</f>
        <v>Teenage</v>
      </c>
      <c r="D1130">
        <v>7.2</v>
      </c>
      <c r="E1130" t="s">
        <v>20</v>
      </c>
      <c r="F1130">
        <v>6.9</v>
      </c>
      <c r="G1130">
        <f>Table1[[#This Row],[sleep_hours]]-Table1[[#This Row],[daily_social_media_hours]]</f>
        <v>-0.29999999999999982</v>
      </c>
      <c r="H1130">
        <v>2.1</v>
      </c>
      <c r="I1130">
        <v>2.3199999999999998</v>
      </c>
      <c r="J1130" t="str" cm="1">
        <f t="array" ref="J1130">_xlfn.IFS(Table1[[#This Row],[academic_performance]]&gt;1,"Need Improvement",Table1[[#This Row],[academic_performance]]&gt;2,"Good",Table1[[#This Row],[academic_performance]]&gt;3,"Very good",Table1[[#This Row],[academic_performance]]&gt;4,"Excellent")</f>
        <v>Need Improvement</v>
      </c>
      <c r="K1130">
        <v>1.1000000000000001</v>
      </c>
      <c r="L1130" t="str">
        <f>IF(Table1[[#This Row],[physical_activity]]&gt;1.9,"better overall ","lower rate of depression")</f>
        <v>lower rate of depression</v>
      </c>
      <c r="M1130" t="s">
        <v>15</v>
      </c>
      <c r="N1130">
        <v>3</v>
      </c>
      <c r="O1130">
        <v>4</v>
      </c>
      <c r="P1130">
        <v>10</v>
      </c>
      <c r="Q1130">
        <v>0</v>
      </c>
    </row>
    <row r="1131" spans="1:17" x14ac:dyDescent="0.3">
      <c r="A1131">
        <v>19</v>
      </c>
      <c r="B1131" t="s">
        <v>13</v>
      </c>
      <c r="C1131" t="str">
        <f>IF(Table1[[#This Row],[age]]&gt;18,"Adult","Teenage")</f>
        <v>Adult</v>
      </c>
      <c r="D1131">
        <v>2</v>
      </c>
      <c r="E1131" t="s">
        <v>17</v>
      </c>
      <c r="F1131">
        <v>4.3</v>
      </c>
      <c r="G1131">
        <f>Table1[[#This Row],[sleep_hours]]-Table1[[#This Row],[daily_social_media_hours]]</f>
        <v>2.2999999999999998</v>
      </c>
      <c r="H1131">
        <v>0.8</v>
      </c>
      <c r="I1131">
        <v>3.4</v>
      </c>
      <c r="J1131" t="str" cm="1">
        <f t="array" ref="J1131">_xlfn.IFS(Table1[[#This Row],[academic_performance]]&gt;1,"Need Improvement",Table1[[#This Row],[academic_performance]]&gt;2,"Good",Table1[[#This Row],[academic_performance]]&gt;3,"Very good",Table1[[#This Row],[academic_performance]]&gt;4,"Excellent")</f>
        <v>Need Improvement</v>
      </c>
      <c r="K1131">
        <v>0.7</v>
      </c>
      <c r="L1131" t="str">
        <f>IF(Table1[[#This Row],[physical_activity]]&gt;1.9,"better overall ","lower rate of depression")</f>
        <v>lower rate of depression</v>
      </c>
      <c r="M1131" t="s">
        <v>15</v>
      </c>
      <c r="N1131">
        <v>8</v>
      </c>
      <c r="O1131">
        <v>1</v>
      </c>
      <c r="P1131">
        <v>1</v>
      </c>
      <c r="Q1131">
        <v>0</v>
      </c>
    </row>
    <row r="1132" spans="1:17" x14ac:dyDescent="0.3">
      <c r="A1132">
        <v>13</v>
      </c>
      <c r="B1132" t="s">
        <v>16</v>
      </c>
      <c r="C1132" t="str">
        <f>IF(Table1[[#This Row],[age]]&gt;18,"Adult","Teenage")</f>
        <v>Teenage</v>
      </c>
      <c r="D1132">
        <v>4.7</v>
      </c>
      <c r="E1132" t="s">
        <v>20</v>
      </c>
      <c r="F1132">
        <v>6.8</v>
      </c>
      <c r="G1132">
        <f>Table1[[#This Row],[sleep_hours]]-Table1[[#This Row],[daily_social_media_hours]]</f>
        <v>2.0999999999999996</v>
      </c>
      <c r="H1132">
        <v>1.4</v>
      </c>
      <c r="I1132">
        <v>3.91</v>
      </c>
      <c r="J1132" t="str" cm="1">
        <f t="array" ref="J1132">_xlfn.IFS(Table1[[#This Row],[academic_performance]]&gt;1,"Need Improvement",Table1[[#This Row],[academic_performance]]&gt;2,"Good",Table1[[#This Row],[academic_performance]]&gt;3,"Very good",Table1[[#This Row],[academic_performance]]&gt;4,"Excellent")</f>
        <v>Need Improvement</v>
      </c>
      <c r="K1132">
        <v>0.8</v>
      </c>
      <c r="L1132" t="str">
        <f>IF(Table1[[#This Row],[physical_activity]]&gt;1.9,"better overall ","lower rate of depression")</f>
        <v>lower rate of depression</v>
      </c>
      <c r="M1132" t="s">
        <v>18</v>
      </c>
      <c r="N1132">
        <v>10</v>
      </c>
      <c r="O1132">
        <v>6</v>
      </c>
      <c r="P1132">
        <v>9</v>
      </c>
      <c r="Q1132">
        <v>0</v>
      </c>
    </row>
    <row r="1133" spans="1:17" x14ac:dyDescent="0.3">
      <c r="A1133">
        <v>14</v>
      </c>
      <c r="B1133" t="s">
        <v>13</v>
      </c>
      <c r="C1133" t="str">
        <f>IF(Table1[[#This Row],[age]]&gt;18,"Adult","Teenage")</f>
        <v>Teenage</v>
      </c>
      <c r="D1133">
        <v>5.6</v>
      </c>
      <c r="E1133" t="s">
        <v>20</v>
      </c>
      <c r="F1133">
        <v>4.5</v>
      </c>
      <c r="G1133">
        <f>Table1[[#This Row],[sleep_hours]]-Table1[[#This Row],[daily_social_media_hours]]</f>
        <v>-1.0999999999999996</v>
      </c>
      <c r="H1133">
        <v>1.4</v>
      </c>
      <c r="I1133">
        <v>2.44</v>
      </c>
      <c r="J1133" t="str" cm="1">
        <f t="array" ref="J1133">_xlfn.IFS(Table1[[#This Row],[academic_performance]]&gt;1,"Need Improvement",Table1[[#This Row],[academic_performance]]&gt;2,"Good",Table1[[#This Row],[academic_performance]]&gt;3,"Very good",Table1[[#This Row],[academic_performance]]&gt;4,"Excellent")</f>
        <v>Need Improvement</v>
      </c>
      <c r="K1133">
        <v>1.2</v>
      </c>
      <c r="L1133" t="str">
        <f>IF(Table1[[#This Row],[physical_activity]]&gt;1.9,"better overall ","lower rate of depression")</f>
        <v>lower rate of depression</v>
      </c>
      <c r="M1133" t="s">
        <v>15</v>
      </c>
      <c r="N1133">
        <v>5</v>
      </c>
      <c r="O1133">
        <v>10</v>
      </c>
      <c r="P1133">
        <v>9</v>
      </c>
      <c r="Q1133">
        <v>0</v>
      </c>
    </row>
    <row r="1134" spans="1:17" x14ac:dyDescent="0.3">
      <c r="A1134">
        <v>18</v>
      </c>
      <c r="B1134" t="s">
        <v>16</v>
      </c>
      <c r="C1134" t="str">
        <f>IF(Table1[[#This Row],[age]]&gt;18,"Adult","Teenage")</f>
        <v>Teenage</v>
      </c>
      <c r="D1134">
        <v>4.5</v>
      </c>
      <c r="E1134" t="s">
        <v>14</v>
      </c>
      <c r="F1134">
        <v>4</v>
      </c>
      <c r="G1134">
        <f>Table1[[#This Row],[sleep_hours]]-Table1[[#This Row],[daily_social_media_hours]]</f>
        <v>-0.5</v>
      </c>
      <c r="H1134">
        <v>2.9</v>
      </c>
      <c r="I1134">
        <v>3.15</v>
      </c>
      <c r="J1134" t="str" cm="1">
        <f t="array" ref="J1134">_xlfn.IFS(Table1[[#This Row],[academic_performance]]&gt;1,"Need Improvement",Table1[[#This Row],[academic_performance]]&gt;2,"Good",Table1[[#This Row],[academic_performance]]&gt;3,"Very good",Table1[[#This Row],[academic_performance]]&gt;4,"Excellent")</f>
        <v>Need Improvement</v>
      </c>
      <c r="K1134">
        <v>1.9</v>
      </c>
      <c r="L1134" t="str">
        <f>IF(Table1[[#This Row],[physical_activity]]&gt;1.9,"better overall ","lower rate of depression")</f>
        <v>lower rate of depression</v>
      </c>
      <c r="M1134" t="s">
        <v>19</v>
      </c>
      <c r="N1134">
        <v>8</v>
      </c>
      <c r="O1134">
        <v>6</v>
      </c>
      <c r="P1134">
        <v>5</v>
      </c>
      <c r="Q1134">
        <v>0</v>
      </c>
    </row>
    <row r="1135" spans="1:17" x14ac:dyDescent="0.3">
      <c r="A1135">
        <v>15</v>
      </c>
      <c r="B1135" t="s">
        <v>16</v>
      </c>
      <c r="C1135" t="str">
        <f>IF(Table1[[#This Row],[age]]&gt;18,"Adult","Teenage")</f>
        <v>Teenage</v>
      </c>
      <c r="D1135">
        <v>1.1000000000000001</v>
      </c>
      <c r="E1135" t="s">
        <v>14</v>
      </c>
      <c r="F1135">
        <v>9</v>
      </c>
      <c r="G1135">
        <f>Table1[[#This Row],[sleep_hours]]-Table1[[#This Row],[daily_social_media_hours]]</f>
        <v>7.9</v>
      </c>
      <c r="H1135">
        <v>1.2</v>
      </c>
      <c r="I1135">
        <v>2.9</v>
      </c>
      <c r="J1135" t="str" cm="1">
        <f t="array" ref="J1135">_xlfn.IFS(Table1[[#This Row],[academic_performance]]&gt;1,"Need Improvement",Table1[[#This Row],[academic_performance]]&gt;2,"Good",Table1[[#This Row],[academic_performance]]&gt;3,"Very good",Table1[[#This Row],[academic_performance]]&gt;4,"Excellent")</f>
        <v>Need Improvement</v>
      </c>
      <c r="K1135">
        <v>1.8</v>
      </c>
      <c r="L1135" t="str">
        <f>IF(Table1[[#This Row],[physical_activity]]&gt;1.9,"better overall ","lower rate of depression")</f>
        <v>lower rate of depression</v>
      </c>
      <c r="M1135" t="s">
        <v>19</v>
      </c>
      <c r="N1135">
        <v>5</v>
      </c>
      <c r="O1135">
        <v>10</v>
      </c>
      <c r="P1135">
        <v>2</v>
      </c>
      <c r="Q1135">
        <v>0</v>
      </c>
    </row>
    <row r="1136" spans="1:17" x14ac:dyDescent="0.3">
      <c r="A1136">
        <v>18</v>
      </c>
      <c r="B1136" t="s">
        <v>16</v>
      </c>
      <c r="C1136" t="str">
        <f>IF(Table1[[#This Row],[age]]&gt;18,"Adult","Teenage")</f>
        <v>Teenage</v>
      </c>
      <c r="D1136">
        <v>5.3</v>
      </c>
      <c r="E1136" t="s">
        <v>20</v>
      </c>
      <c r="F1136">
        <v>4.5999999999999996</v>
      </c>
      <c r="G1136">
        <f>Table1[[#This Row],[sleep_hours]]-Table1[[#This Row],[daily_social_media_hours]]</f>
        <v>-0.70000000000000018</v>
      </c>
      <c r="H1136">
        <v>1.5</v>
      </c>
      <c r="I1136">
        <v>2.54</v>
      </c>
      <c r="J1136" t="str" cm="1">
        <f t="array" ref="J1136">_xlfn.IFS(Table1[[#This Row],[academic_performance]]&gt;1,"Need Improvement",Table1[[#This Row],[academic_performance]]&gt;2,"Good",Table1[[#This Row],[academic_performance]]&gt;3,"Very good",Table1[[#This Row],[academic_performance]]&gt;4,"Excellent")</f>
        <v>Need Improvement</v>
      </c>
      <c r="K1136">
        <v>0.6</v>
      </c>
      <c r="L1136" t="str">
        <f>IF(Table1[[#This Row],[physical_activity]]&gt;1.9,"better overall ","lower rate of depression")</f>
        <v>lower rate of depression</v>
      </c>
      <c r="M1136" t="s">
        <v>19</v>
      </c>
      <c r="N1136">
        <v>4</v>
      </c>
      <c r="O1136">
        <v>3</v>
      </c>
      <c r="P1136">
        <v>4</v>
      </c>
      <c r="Q1136">
        <v>0</v>
      </c>
    </row>
    <row r="1137" spans="1:17" x14ac:dyDescent="0.3">
      <c r="A1137">
        <v>14</v>
      </c>
      <c r="B1137" t="s">
        <v>16</v>
      </c>
      <c r="C1137" t="str">
        <f>IF(Table1[[#This Row],[age]]&gt;18,"Adult","Teenage")</f>
        <v>Teenage</v>
      </c>
      <c r="D1137">
        <v>3.5</v>
      </c>
      <c r="E1137" t="s">
        <v>20</v>
      </c>
      <c r="F1137">
        <v>5.3</v>
      </c>
      <c r="G1137">
        <f>Table1[[#This Row],[sleep_hours]]-Table1[[#This Row],[daily_social_media_hours]]</f>
        <v>1.7999999999999998</v>
      </c>
      <c r="H1137">
        <v>2.5</v>
      </c>
      <c r="I1137">
        <v>2.29</v>
      </c>
      <c r="J1137" t="str" cm="1">
        <f t="array" ref="J1137">_xlfn.IFS(Table1[[#This Row],[academic_performance]]&gt;1,"Need Improvement",Table1[[#This Row],[academic_performance]]&gt;2,"Good",Table1[[#This Row],[academic_performance]]&gt;3,"Very good",Table1[[#This Row],[academic_performance]]&gt;4,"Excellent")</f>
        <v>Need Improvement</v>
      </c>
      <c r="K1137">
        <v>0.7</v>
      </c>
      <c r="L1137" t="str">
        <f>IF(Table1[[#This Row],[physical_activity]]&gt;1.9,"better overall ","lower rate of depression")</f>
        <v>lower rate of depression</v>
      </c>
      <c r="M1137" t="s">
        <v>15</v>
      </c>
      <c r="N1137">
        <v>1</v>
      </c>
      <c r="O1137">
        <v>10</v>
      </c>
      <c r="P1137">
        <v>3</v>
      </c>
      <c r="Q1137">
        <v>0</v>
      </c>
    </row>
    <row r="1138" spans="1:17" x14ac:dyDescent="0.3">
      <c r="A1138">
        <v>15</v>
      </c>
      <c r="B1138" t="s">
        <v>13</v>
      </c>
      <c r="C1138" t="str">
        <f>IF(Table1[[#This Row],[age]]&gt;18,"Adult","Teenage")</f>
        <v>Teenage</v>
      </c>
      <c r="D1138">
        <v>6.5</v>
      </c>
      <c r="E1138" t="s">
        <v>20</v>
      </c>
      <c r="F1138">
        <v>6.2</v>
      </c>
      <c r="G1138">
        <f>Table1[[#This Row],[sleep_hours]]-Table1[[#This Row],[daily_social_media_hours]]</f>
        <v>-0.29999999999999982</v>
      </c>
      <c r="H1138">
        <v>1.2</v>
      </c>
      <c r="I1138">
        <v>3.19</v>
      </c>
      <c r="J1138" t="str" cm="1">
        <f t="array" ref="J1138">_xlfn.IFS(Table1[[#This Row],[academic_performance]]&gt;1,"Need Improvement",Table1[[#This Row],[academic_performance]]&gt;2,"Good",Table1[[#This Row],[academic_performance]]&gt;3,"Very good",Table1[[#This Row],[academic_performance]]&gt;4,"Excellent")</f>
        <v>Need Improvement</v>
      </c>
      <c r="K1138">
        <v>0</v>
      </c>
      <c r="L1138" t="str">
        <f>IF(Table1[[#This Row],[physical_activity]]&gt;1.9,"better overall ","lower rate of depression")</f>
        <v>lower rate of depression</v>
      </c>
      <c r="M1138" t="s">
        <v>19</v>
      </c>
      <c r="N1138">
        <v>6</v>
      </c>
      <c r="O1138">
        <v>5</v>
      </c>
      <c r="P1138">
        <v>2</v>
      </c>
      <c r="Q1138">
        <v>0</v>
      </c>
    </row>
    <row r="1139" spans="1:17" x14ac:dyDescent="0.3">
      <c r="A1139">
        <v>14</v>
      </c>
      <c r="B1139" t="s">
        <v>13</v>
      </c>
      <c r="C1139" t="str">
        <f>IF(Table1[[#This Row],[age]]&gt;18,"Adult","Teenage")</f>
        <v>Teenage</v>
      </c>
      <c r="D1139">
        <v>7</v>
      </c>
      <c r="E1139" t="s">
        <v>20</v>
      </c>
      <c r="F1139">
        <v>6.7</v>
      </c>
      <c r="G1139">
        <f>Table1[[#This Row],[sleep_hours]]-Table1[[#This Row],[daily_social_media_hours]]</f>
        <v>-0.29999999999999982</v>
      </c>
      <c r="H1139">
        <v>1.9</v>
      </c>
      <c r="I1139">
        <v>2.48</v>
      </c>
      <c r="J1139" t="str" cm="1">
        <f t="array" ref="J1139">_xlfn.IFS(Table1[[#This Row],[academic_performance]]&gt;1,"Need Improvement",Table1[[#This Row],[academic_performance]]&gt;2,"Good",Table1[[#This Row],[academic_performance]]&gt;3,"Very good",Table1[[#This Row],[academic_performance]]&gt;4,"Excellent")</f>
        <v>Need Improvement</v>
      </c>
      <c r="K1139">
        <v>1.3</v>
      </c>
      <c r="L1139" t="str">
        <f>IF(Table1[[#This Row],[physical_activity]]&gt;1.9,"better overall ","lower rate of depression")</f>
        <v>lower rate of depression</v>
      </c>
      <c r="M1139" t="s">
        <v>15</v>
      </c>
      <c r="N1139">
        <v>7</v>
      </c>
      <c r="O1139">
        <v>1</v>
      </c>
      <c r="P1139">
        <v>5</v>
      </c>
      <c r="Q1139">
        <v>0</v>
      </c>
    </row>
    <row r="1140" spans="1:17" x14ac:dyDescent="0.3">
      <c r="A1140">
        <v>14</v>
      </c>
      <c r="B1140" t="s">
        <v>16</v>
      </c>
      <c r="C1140" t="str">
        <f>IF(Table1[[#This Row],[age]]&gt;18,"Adult","Teenage")</f>
        <v>Teenage</v>
      </c>
      <c r="D1140">
        <v>4</v>
      </c>
      <c r="E1140" t="s">
        <v>17</v>
      </c>
      <c r="F1140">
        <v>4.0999999999999996</v>
      </c>
      <c r="G1140">
        <f>Table1[[#This Row],[sleep_hours]]-Table1[[#This Row],[daily_social_media_hours]]</f>
        <v>9.9999999999999645E-2</v>
      </c>
      <c r="H1140">
        <v>0.9</v>
      </c>
      <c r="I1140">
        <v>2.99</v>
      </c>
      <c r="J1140" t="str" cm="1">
        <f t="array" ref="J1140">_xlfn.IFS(Table1[[#This Row],[academic_performance]]&gt;1,"Need Improvement",Table1[[#This Row],[academic_performance]]&gt;2,"Good",Table1[[#This Row],[academic_performance]]&gt;3,"Very good",Table1[[#This Row],[academic_performance]]&gt;4,"Excellent")</f>
        <v>Need Improvement</v>
      </c>
      <c r="K1140">
        <v>1.9</v>
      </c>
      <c r="L1140" t="str">
        <f>IF(Table1[[#This Row],[physical_activity]]&gt;1.9,"better overall ","lower rate of depression")</f>
        <v>lower rate of depression</v>
      </c>
      <c r="M1140" t="s">
        <v>15</v>
      </c>
      <c r="N1140">
        <v>2</v>
      </c>
      <c r="O1140">
        <v>9</v>
      </c>
      <c r="P1140">
        <v>10</v>
      </c>
      <c r="Q1140">
        <v>0</v>
      </c>
    </row>
    <row r="1141" spans="1:17" x14ac:dyDescent="0.3">
      <c r="A1141">
        <v>15</v>
      </c>
      <c r="B1141" t="s">
        <v>16</v>
      </c>
      <c r="C1141" t="str">
        <f>IF(Table1[[#This Row],[age]]&gt;18,"Adult","Teenage")</f>
        <v>Teenage</v>
      </c>
      <c r="D1141">
        <v>1.7</v>
      </c>
      <c r="E1141" t="s">
        <v>14</v>
      </c>
      <c r="F1141">
        <v>5.3</v>
      </c>
      <c r="G1141">
        <f>Table1[[#This Row],[sleep_hours]]-Table1[[#This Row],[daily_social_media_hours]]</f>
        <v>3.5999999999999996</v>
      </c>
      <c r="H1141">
        <v>1.5</v>
      </c>
      <c r="I1141">
        <v>3.6</v>
      </c>
      <c r="J1141" t="str" cm="1">
        <f t="array" ref="J1141">_xlfn.IFS(Table1[[#This Row],[academic_performance]]&gt;1,"Need Improvement",Table1[[#This Row],[academic_performance]]&gt;2,"Good",Table1[[#This Row],[academic_performance]]&gt;3,"Very good",Table1[[#This Row],[academic_performance]]&gt;4,"Excellent")</f>
        <v>Need Improvement</v>
      </c>
      <c r="K1141">
        <v>1.5</v>
      </c>
      <c r="L1141" t="str">
        <f>IF(Table1[[#This Row],[physical_activity]]&gt;1.9,"better overall ","lower rate of depression")</f>
        <v>lower rate of depression</v>
      </c>
      <c r="M1141" t="s">
        <v>18</v>
      </c>
      <c r="N1141">
        <v>6</v>
      </c>
      <c r="O1141">
        <v>4</v>
      </c>
      <c r="P1141">
        <v>3</v>
      </c>
      <c r="Q1141">
        <v>0</v>
      </c>
    </row>
    <row r="1142" spans="1:17" x14ac:dyDescent="0.3">
      <c r="A1142">
        <v>14</v>
      </c>
      <c r="B1142" t="s">
        <v>16</v>
      </c>
      <c r="C1142" t="str">
        <f>IF(Table1[[#This Row],[age]]&gt;18,"Adult","Teenage")</f>
        <v>Teenage</v>
      </c>
      <c r="D1142">
        <v>7.8</v>
      </c>
      <c r="E1142" t="s">
        <v>17</v>
      </c>
      <c r="F1142">
        <v>4.7</v>
      </c>
      <c r="G1142">
        <f>Table1[[#This Row],[sleep_hours]]-Table1[[#This Row],[daily_social_media_hours]]</f>
        <v>-3.0999999999999996</v>
      </c>
      <c r="H1142">
        <v>2.2000000000000002</v>
      </c>
      <c r="I1142">
        <v>3.53</v>
      </c>
      <c r="J1142" t="str" cm="1">
        <f t="array" ref="J1142">_xlfn.IFS(Table1[[#This Row],[academic_performance]]&gt;1,"Need Improvement",Table1[[#This Row],[academic_performance]]&gt;2,"Good",Table1[[#This Row],[academic_performance]]&gt;3,"Very good",Table1[[#This Row],[academic_performance]]&gt;4,"Excellent")</f>
        <v>Need Improvement</v>
      </c>
      <c r="K1142">
        <v>0.6</v>
      </c>
      <c r="L1142" t="str">
        <f>IF(Table1[[#This Row],[physical_activity]]&gt;1.9,"better overall ","lower rate of depression")</f>
        <v>lower rate of depression</v>
      </c>
      <c r="M1142" t="s">
        <v>15</v>
      </c>
      <c r="N1142">
        <v>5</v>
      </c>
      <c r="O1142">
        <v>8</v>
      </c>
      <c r="P1142">
        <v>2</v>
      </c>
      <c r="Q1142">
        <v>0</v>
      </c>
    </row>
    <row r="1143" spans="1:17" x14ac:dyDescent="0.3">
      <c r="A1143">
        <v>15</v>
      </c>
      <c r="B1143" t="s">
        <v>16</v>
      </c>
      <c r="C1143" t="str">
        <f>IF(Table1[[#This Row],[age]]&gt;18,"Adult","Teenage")</f>
        <v>Teenage</v>
      </c>
      <c r="D1143">
        <v>5.2</v>
      </c>
      <c r="E1143" t="s">
        <v>14</v>
      </c>
      <c r="F1143">
        <v>6.7</v>
      </c>
      <c r="G1143">
        <f>Table1[[#This Row],[sleep_hours]]-Table1[[#This Row],[daily_social_media_hours]]</f>
        <v>1.5</v>
      </c>
      <c r="H1143">
        <v>3</v>
      </c>
      <c r="I1143">
        <v>3.18</v>
      </c>
      <c r="J1143" t="str" cm="1">
        <f t="array" ref="J1143">_xlfn.IFS(Table1[[#This Row],[academic_performance]]&gt;1,"Need Improvement",Table1[[#This Row],[academic_performance]]&gt;2,"Good",Table1[[#This Row],[academic_performance]]&gt;3,"Very good",Table1[[#This Row],[academic_performance]]&gt;4,"Excellent")</f>
        <v>Need Improvement</v>
      </c>
      <c r="K1143">
        <v>0.6</v>
      </c>
      <c r="L1143" t="str">
        <f>IF(Table1[[#This Row],[physical_activity]]&gt;1.9,"better overall ","lower rate of depression")</f>
        <v>lower rate of depression</v>
      </c>
      <c r="M1143" t="s">
        <v>15</v>
      </c>
      <c r="N1143">
        <v>9</v>
      </c>
      <c r="O1143">
        <v>7</v>
      </c>
      <c r="P1143">
        <v>9</v>
      </c>
      <c r="Q1143">
        <v>0</v>
      </c>
    </row>
    <row r="1144" spans="1:17" x14ac:dyDescent="0.3">
      <c r="A1144">
        <v>19</v>
      </c>
      <c r="B1144" t="s">
        <v>16</v>
      </c>
      <c r="C1144" t="str">
        <f>IF(Table1[[#This Row],[age]]&gt;18,"Adult","Teenage")</f>
        <v>Adult</v>
      </c>
      <c r="D1144">
        <v>7.9</v>
      </c>
      <c r="E1144" t="s">
        <v>17</v>
      </c>
      <c r="F1144">
        <v>5.8</v>
      </c>
      <c r="G1144">
        <f>Table1[[#This Row],[sleep_hours]]-Table1[[#This Row],[daily_social_media_hours]]</f>
        <v>-2.1000000000000005</v>
      </c>
      <c r="H1144">
        <v>2.1</v>
      </c>
      <c r="I1144">
        <v>3.91</v>
      </c>
      <c r="J1144" t="str" cm="1">
        <f t="array" ref="J1144">_xlfn.IFS(Table1[[#This Row],[academic_performance]]&gt;1,"Need Improvement",Table1[[#This Row],[academic_performance]]&gt;2,"Good",Table1[[#This Row],[academic_performance]]&gt;3,"Very good",Table1[[#This Row],[academic_performance]]&gt;4,"Excellent")</f>
        <v>Need Improvement</v>
      </c>
      <c r="K1144">
        <v>1.4</v>
      </c>
      <c r="L1144" t="str">
        <f>IF(Table1[[#This Row],[physical_activity]]&gt;1.9,"better overall ","lower rate of depression")</f>
        <v>lower rate of depression</v>
      </c>
      <c r="M1144" t="s">
        <v>18</v>
      </c>
      <c r="N1144">
        <v>7</v>
      </c>
      <c r="O1144">
        <v>1</v>
      </c>
      <c r="P1144">
        <v>10</v>
      </c>
      <c r="Q1144">
        <v>0</v>
      </c>
    </row>
    <row r="1145" spans="1:17" x14ac:dyDescent="0.3">
      <c r="A1145">
        <v>17</v>
      </c>
      <c r="B1145" t="s">
        <v>13</v>
      </c>
      <c r="C1145" t="str">
        <f>IF(Table1[[#This Row],[age]]&gt;18,"Adult","Teenage")</f>
        <v>Teenage</v>
      </c>
      <c r="D1145">
        <v>5.9</v>
      </c>
      <c r="E1145" t="s">
        <v>20</v>
      </c>
      <c r="F1145">
        <v>6.6</v>
      </c>
      <c r="G1145">
        <f>Table1[[#This Row],[sleep_hours]]-Table1[[#This Row],[daily_social_media_hours]]</f>
        <v>0.69999999999999929</v>
      </c>
      <c r="H1145">
        <v>1.3</v>
      </c>
      <c r="I1145">
        <v>2.11</v>
      </c>
      <c r="J1145" t="str" cm="1">
        <f t="array" ref="J1145">_xlfn.IFS(Table1[[#This Row],[academic_performance]]&gt;1,"Need Improvement",Table1[[#This Row],[academic_performance]]&gt;2,"Good",Table1[[#This Row],[academic_performance]]&gt;3,"Very good",Table1[[#This Row],[academic_performance]]&gt;4,"Excellent")</f>
        <v>Need Improvement</v>
      </c>
      <c r="K1145">
        <v>1.4</v>
      </c>
      <c r="L1145" t="str">
        <f>IF(Table1[[#This Row],[physical_activity]]&gt;1.9,"better overall ","lower rate of depression")</f>
        <v>lower rate of depression</v>
      </c>
      <c r="M1145" t="s">
        <v>15</v>
      </c>
      <c r="N1145">
        <v>10</v>
      </c>
      <c r="O1145">
        <v>4</v>
      </c>
      <c r="P1145">
        <v>9</v>
      </c>
      <c r="Q1145">
        <v>0</v>
      </c>
    </row>
    <row r="1146" spans="1:17" x14ac:dyDescent="0.3">
      <c r="A1146">
        <v>13</v>
      </c>
      <c r="B1146" t="s">
        <v>16</v>
      </c>
      <c r="C1146" t="str">
        <f>IF(Table1[[#This Row],[age]]&gt;18,"Adult","Teenage")</f>
        <v>Teenage</v>
      </c>
      <c r="D1146">
        <v>2.6</v>
      </c>
      <c r="E1146" t="s">
        <v>17</v>
      </c>
      <c r="F1146">
        <v>8.5</v>
      </c>
      <c r="G1146">
        <f>Table1[[#This Row],[sleep_hours]]-Table1[[#This Row],[daily_social_media_hours]]</f>
        <v>5.9</v>
      </c>
      <c r="H1146">
        <v>1.9</v>
      </c>
      <c r="I1146">
        <v>3.06</v>
      </c>
      <c r="J1146" t="str" cm="1">
        <f t="array" ref="J1146">_xlfn.IFS(Table1[[#This Row],[academic_performance]]&gt;1,"Need Improvement",Table1[[#This Row],[academic_performance]]&gt;2,"Good",Table1[[#This Row],[academic_performance]]&gt;3,"Very good",Table1[[#This Row],[academic_performance]]&gt;4,"Excellent")</f>
        <v>Need Improvement</v>
      </c>
      <c r="K1146">
        <v>1.9</v>
      </c>
      <c r="L1146" t="str">
        <f>IF(Table1[[#This Row],[physical_activity]]&gt;1.9,"better overall ","lower rate of depression")</f>
        <v>lower rate of depression</v>
      </c>
      <c r="M1146" t="s">
        <v>18</v>
      </c>
      <c r="N1146">
        <v>5</v>
      </c>
      <c r="O1146">
        <v>7</v>
      </c>
      <c r="P1146">
        <v>6</v>
      </c>
      <c r="Q1146">
        <v>0</v>
      </c>
    </row>
    <row r="1147" spans="1:17" x14ac:dyDescent="0.3">
      <c r="A1147">
        <v>18</v>
      </c>
      <c r="B1147" t="s">
        <v>16</v>
      </c>
      <c r="C1147" t="str">
        <f>IF(Table1[[#This Row],[age]]&gt;18,"Adult","Teenage")</f>
        <v>Teenage</v>
      </c>
      <c r="D1147">
        <v>6.3</v>
      </c>
      <c r="E1147" t="s">
        <v>17</v>
      </c>
      <c r="F1147">
        <v>4.8</v>
      </c>
      <c r="G1147">
        <f>Table1[[#This Row],[sleep_hours]]-Table1[[#This Row],[daily_social_media_hours]]</f>
        <v>-1.5</v>
      </c>
      <c r="H1147">
        <v>1.2</v>
      </c>
      <c r="I1147">
        <v>2.91</v>
      </c>
      <c r="J1147" t="str" cm="1">
        <f t="array" ref="J1147">_xlfn.IFS(Table1[[#This Row],[academic_performance]]&gt;1,"Need Improvement",Table1[[#This Row],[academic_performance]]&gt;2,"Good",Table1[[#This Row],[academic_performance]]&gt;3,"Very good",Table1[[#This Row],[academic_performance]]&gt;4,"Excellent")</f>
        <v>Need Improvement</v>
      </c>
      <c r="K1147">
        <v>1.3</v>
      </c>
      <c r="L1147" t="str">
        <f>IF(Table1[[#This Row],[physical_activity]]&gt;1.9,"better overall ","lower rate of depression")</f>
        <v>lower rate of depression</v>
      </c>
      <c r="M1147" t="s">
        <v>19</v>
      </c>
      <c r="N1147">
        <v>9</v>
      </c>
      <c r="O1147">
        <v>10</v>
      </c>
      <c r="P1147">
        <v>3</v>
      </c>
      <c r="Q1147">
        <v>1</v>
      </c>
    </row>
    <row r="1148" spans="1:17" x14ac:dyDescent="0.3">
      <c r="A1148">
        <v>19</v>
      </c>
      <c r="B1148" t="s">
        <v>16</v>
      </c>
      <c r="C1148" t="str">
        <f>IF(Table1[[#This Row],[age]]&gt;18,"Adult","Teenage")</f>
        <v>Adult</v>
      </c>
      <c r="D1148">
        <v>4.5</v>
      </c>
      <c r="E1148" t="s">
        <v>17</v>
      </c>
      <c r="F1148">
        <v>8.4</v>
      </c>
      <c r="G1148">
        <f>Table1[[#This Row],[sleep_hours]]-Table1[[#This Row],[daily_social_media_hours]]</f>
        <v>3.9000000000000004</v>
      </c>
      <c r="H1148">
        <v>2.1</v>
      </c>
      <c r="I1148">
        <v>2.62</v>
      </c>
      <c r="J1148" t="str" cm="1">
        <f t="array" ref="J1148">_xlfn.IFS(Table1[[#This Row],[academic_performance]]&gt;1,"Need Improvement",Table1[[#This Row],[academic_performance]]&gt;2,"Good",Table1[[#This Row],[academic_performance]]&gt;3,"Very good",Table1[[#This Row],[academic_performance]]&gt;4,"Excellent")</f>
        <v>Need Improvement</v>
      </c>
      <c r="K1148">
        <v>2</v>
      </c>
      <c r="L1148" t="str">
        <f>IF(Table1[[#This Row],[physical_activity]]&gt;1.9,"better overall ","lower rate of depression")</f>
        <v xml:space="preserve">better overall </v>
      </c>
      <c r="M1148" t="s">
        <v>15</v>
      </c>
      <c r="N1148">
        <v>5</v>
      </c>
      <c r="O1148">
        <v>10</v>
      </c>
      <c r="P1148">
        <v>5</v>
      </c>
      <c r="Q1148">
        <v>0</v>
      </c>
    </row>
    <row r="1149" spans="1:17" x14ac:dyDescent="0.3">
      <c r="A1149">
        <v>19</v>
      </c>
      <c r="B1149" t="s">
        <v>13</v>
      </c>
      <c r="C1149" t="str">
        <f>IF(Table1[[#This Row],[age]]&gt;18,"Adult","Teenage")</f>
        <v>Adult</v>
      </c>
      <c r="D1149">
        <v>5.3</v>
      </c>
      <c r="E1149" t="s">
        <v>14</v>
      </c>
      <c r="F1149">
        <v>4.7</v>
      </c>
      <c r="G1149">
        <f>Table1[[#This Row],[sleep_hours]]-Table1[[#This Row],[daily_social_media_hours]]</f>
        <v>-0.59999999999999964</v>
      </c>
      <c r="H1149">
        <v>2.8</v>
      </c>
      <c r="I1149">
        <v>2.82</v>
      </c>
      <c r="J1149" t="str" cm="1">
        <f t="array" ref="J1149">_xlfn.IFS(Table1[[#This Row],[academic_performance]]&gt;1,"Need Improvement",Table1[[#This Row],[academic_performance]]&gt;2,"Good",Table1[[#This Row],[academic_performance]]&gt;3,"Very good",Table1[[#This Row],[academic_performance]]&gt;4,"Excellent")</f>
        <v>Need Improvement</v>
      </c>
      <c r="K1149">
        <v>0.3</v>
      </c>
      <c r="L1149" t="str">
        <f>IF(Table1[[#This Row],[physical_activity]]&gt;1.9,"better overall ","lower rate of depression")</f>
        <v>lower rate of depression</v>
      </c>
      <c r="M1149" t="s">
        <v>18</v>
      </c>
      <c r="N1149">
        <v>1</v>
      </c>
      <c r="O1149">
        <v>9</v>
      </c>
      <c r="P1149">
        <v>6</v>
      </c>
      <c r="Q1149">
        <v>0</v>
      </c>
    </row>
    <row r="1150" spans="1:17" x14ac:dyDescent="0.3">
      <c r="A1150">
        <v>13</v>
      </c>
      <c r="B1150" t="s">
        <v>16</v>
      </c>
      <c r="C1150" t="str">
        <f>IF(Table1[[#This Row],[age]]&gt;18,"Adult","Teenage")</f>
        <v>Teenage</v>
      </c>
      <c r="D1150">
        <v>5.2</v>
      </c>
      <c r="E1150" t="s">
        <v>20</v>
      </c>
      <c r="F1150">
        <v>7.4</v>
      </c>
      <c r="G1150">
        <f>Table1[[#This Row],[sleep_hours]]-Table1[[#This Row],[daily_social_media_hours]]</f>
        <v>2.2000000000000002</v>
      </c>
      <c r="H1150">
        <v>2.5</v>
      </c>
      <c r="I1150">
        <v>3.93</v>
      </c>
      <c r="J1150" t="str" cm="1">
        <f t="array" ref="J1150">_xlfn.IFS(Table1[[#This Row],[academic_performance]]&gt;1,"Need Improvement",Table1[[#This Row],[academic_performance]]&gt;2,"Good",Table1[[#This Row],[academic_performance]]&gt;3,"Very good",Table1[[#This Row],[academic_performance]]&gt;4,"Excellent")</f>
        <v>Need Improvement</v>
      </c>
      <c r="K1150">
        <v>0.8</v>
      </c>
      <c r="L1150" t="str">
        <f>IF(Table1[[#This Row],[physical_activity]]&gt;1.9,"better overall ","lower rate of depression")</f>
        <v>lower rate of depression</v>
      </c>
      <c r="M1150" t="s">
        <v>15</v>
      </c>
      <c r="N1150">
        <v>4</v>
      </c>
      <c r="O1150">
        <v>4</v>
      </c>
      <c r="P1150">
        <v>8</v>
      </c>
      <c r="Q1150">
        <v>0</v>
      </c>
    </row>
    <row r="1151" spans="1:17" x14ac:dyDescent="0.3">
      <c r="A1151">
        <v>15</v>
      </c>
      <c r="B1151" t="s">
        <v>13</v>
      </c>
      <c r="C1151" t="str">
        <f>IF(Table1[[#This Row],[age]]&gt;18,"Adult","Teenage")</f>
        <v>Teenage</v>
      </c>
      <c r="D1151">
        <v>3.3</v>
      </c>
      <c r="E1151" t="s">
        <v>20</v>
      </c>
      <c r="F1151">
        <v>6.1</v>
      </c>
      <c r="G1151">
        <f>Table1[[#This Row],[sleep_hours]]-Table1[[#This Row],[daily_social_media_hours]]</f>
        <v>2.8</v>
      </c>
      <c r="H1151">
        <v>1.2</v>
      </c>
      <c r="I1151">
        <v>2.56</v>
      </c>
      <c r="J1151" t="str" cm="1">
        <f t="array" ref="J1151">_xlfn.IFS(Table1[[#This Row],[academic_performance]]&gt;1,"Need Improvement",Table1[[#This Row],[academic_performance]]&gt;2,"Good",Table1[[#This Row],[academic_performance]]&gt;3,"Very good",Table1[[#This Row],[academic_performance]]&gt;4,"Excellent")</f>
        <v>Need Improvement</v>
      </c>
      <c r="K1151">
        <v>1.4</v>
      </c>
      <c r="L1151" t="str">
        <f>IF(Table1[[#This Row],[physical_activity]]&gt;1.9,"better overall ","lower rate of depression")</f>
        <v>lower rate of depression</v>
      </c>
      <c r="M1151" t="s">
        <v>15</v>
      </c>
      <c r="N1151">
        <v>8</v>
      </c>
      <c r="O1151">
        <v>6</v>
      </c>
      <c r="P1151">
        <v>3</v>
      </c>
      <c r="Q1151">
        <v>0</v>
      </c>
    </row>
    <row r="1152" spans="1:17" x14ac:dyDescent="0.3">
      <c r="A1152">
        <v>14</v>
      </c>
      <c r="B1152" t="s">
        <v>16</v>
      </c>
      <c r="C1152" t="str">
        <f>IF(Table1[[#This Row],[age]]&gt;18,"Adult","Teenage")</f>
        <v>Teenage</v>
      </c>
      <c r="D1152">
        <v>1.1000000000000001</v>
      </c>
      <c r="E1152" t="s">
        <v>20</v>
      </c>
      <c r="F1152">
        <v>5.4</v>
      </c>
      <c r="G1152">
        <f>Table1[[#This Row],[sleep_hours]]-Table1[[#This Row],[daily_social_media_hours]]</f>
        <v>4.3000000000000007</v>
      </c>
      <c r="H1152">
        <v>1.6</v>
      </c>
      <c r="I1152">
        <v>3.34</v>
      </c>
      <c r="J1152" t="str" cm="1">
        <f t="array" ref="J1152">_xlfn.IFS(Table1[[#This Row],[academic_performance]]&gt;1,"Need Improvement",Table1[[#This Row],[academic_performance]]&gt;2,"Good",Table1[[#This Row],[academic_performance]]&gt;3,"Very good",Table1[[#This Row],[academic_performance]]&gt;4,"Excellent")</f>
        <v>Need Improvement</v>
      </c>
      <c r="K1152">
        <v>1.5</v>
      </c>
      <c r="L1152" t="str">
        <f>IF(Table1[[#This Row],[physical_activity]]&gt;1.9,"better overall ","lower rate of depression")</f>
        <v>lower rate of depression</v>
      </c>
      <c r="M1152" t="s">
        <v>19</v>
      </c>
      <c r="N1152">
        <v>4</v>
      </c>
      <c r="O1152">
        <v>5</v>
      </c>
      <c r="P1152">
        <v>8</v>
      </c>
      <c r="Q1152">
        <v>0</v>
      </c>
    </row>
    <row r="1153" spans="1:17" x14ac:dyDescent="0.3">
      <c r="A1153">
        <v>17</v>
      </c>
      <c r="B1153" t="s">
        <v>16</v>
      </c>
      <c r="C1153" t="str">
        <f>IF(Table1[[#This Row],[age]]&gt;18,"Adult","Teenage")</f>
        <v>Teenage</v>
      </c>
      <c r="D1153">
        <v>5</v>
      </c>
      <c r="E1153" t="s">
        <v>14</v>
      </c>
      <c r="F1153">
        <v>7.3</v>
      </c>
      <c r="G1153">
        <f>Table1[[#This Row],[sleep_hours]]-Table1[[#This Row],[daily_social_media_hours]]</f>
        <v>2.2999999999999998</v>
      </c>
      <c r="H1153">
        <v>1.2</v>
      </c>
      <c r="I1153">
        <v>3.39</v>
      </c>
      <c r="J1153" t="str" cm="1">
        <f t="array" ref="J1153">_xlfn.IFS(Table1[[#This Row],[academic_performance]]&gt;1,"Need Improvement",Table1[[#This Row],[academic_performance]]&gt;2,"Good",Table1[[#This Row],[academic_performance]]&gt;3,"Very good",Table1[[#This Row],[academic_performance]]&gt;4,"Excellent")</f>
        <v>Need Improvement</v>
      </c>
      <c r="K1153">
        <v>0.7</v>
      </c>
      <c r="L1153" t="str">
        <f>IF(Table1[[#This Row],[physical_activity]]&gt;1.9,"better overall ","lower rate of depression")</f>
        <v>lower rate of depression</v>
      </c>
      <c r="M1153" t="s">
        <v>19</v>
      </c>
      <c r="N1153">
        <v>9</v>
      </c>
      <c r="O1153">
        <v>10</v>
      </c>
      <c r="P1153">
        <v>8</v>
      </c>
      <c r="Q1153">
        <v>0</v>
      </c>
    </row>
    <row r="1154" spans="1:17" x14ac:dyDescent="0.3">
      <c r="A1154">
        <v>15</v>
      </c>
      <c r="B1154" t="s">
        <v>16</v>
      </c>
      <c r="C1154" t="str">
        <f>IF(Table1[[#This Row],[age]]&gt;18,"Adult","Teenage")</f>
        <v>Teenage</v>
      </c>
      <c r="D1154">
        <v>7.4</v>
      </c>
      <c r="E1154" t="s">
        <v>17</v>
      </c>
      <c r="F1154">
        <v>8.6</v>
      </c>
      <c r="G1154">
        <f>Table1[[#This Row],[sleep_hours]]-Table1[[#This Row],[daily_social_media_hours]]</f>
        <v>1.1999999999999993</v>
      </c>
      <c r="H1154">
        <v>1.4</v>
      </c>
      <c r="I1154">
        <v>2.19</v>
      </c>
      <c r="J1154" t="str" cm="1">
        <f t="array" ref="J1154">_xlfn.IFS(Table1[[#This Row],[academic_performance]]&gt;1,"Need Improvement",Table1[[#This Row],[academic_performance]]&gt;2,"Good",Table1[[#This Row],[academic_performance]]&gt;3,"Very good",Table1[[#This Row],[academic_performance]]&gt;4,"Excellent")</f>
        <v>Need Improvement</v>
      </c>
      <c r="K1154">
        <v>1.8</v>
      </c>
      <c r="L1154" t="str">
        <f>IF(Table1[[#This Row],[physical_activity]]&gt;1.9,"better overall ","lower rate of depression")</f>
        <v>lower rate of depression</v>
      </c>
      <c r="M1154" t="s">
        <v>15</v>
      </c>
      <c r="N1154">
        <v>10</v>
      </c>
      <c r="O1154">
        <v>10</v>
      </c>
      <c r="P1154">
        <v>1</v>
      </c>
      <c r="Q1154">
        <v>0</v>
      </c>
    </row>
    <row r="1155" spans="1:17" x14ac:dyDescent="0.3">
      <c r="A1155">
        <v>15</v>
      </c>
      <c r="B1155" t="s">
        <v>16</v>
      </c>
      <c r="C1155" t="str">
        <f>IF(Table1[[#This Row],[age]]&gt;18,"Adult","Teenage")</f>
        <v>Teenage</v>
      </c>
      <c r="D1155">
        <v>7.4</v>
      </c>
      <c r="E1155" t="s">
        <v>17</v>
      </c>
      <c r="F1155">
        <v>8.9</v>
      </c>
      <c r="G1155">
        <f>Table1[[#This Row],[sleep_hours]]-Table1[[#This Row],[daily_social_media_hours]]</f>
        <v>1.5</v>
      </c>
      <c r="H1155">
        <v>2.9</v>
      </c>
      <c r="I1155">
        <v>3.39</v>
      </c>
      <c r="J1155" t="str" cm="1">
        <f t="array" ref="J1155">_xlfn.IFS(Table1[[#This Row],[academic_performance]]&gt;1,"Need Improvement",Table1[[#This Row],[academic_performance]]&gt;2,"Good",Table1[[#This Row],[academic_performance]]&gt;3,"Very good",Table1[[#This Row],[academic_performance]]&gt;4,"Excellent")</f>
        <v>Need Improvement</v>
      </c>
      <c r="K1155">
        <v>1.1000000000000001</v>
      </c>
      <c r="L1155" t="str">
        <f>IF(Table1[[#This Row],[physical_activity]]&gt;1.9,"better overall ","lower rate of depression")</f>
        <v>lower rate of depression</v>
      </c>
      <c r="M1155" t="s">
        <v>18</v>
      </c>
      <c r="N1155">
        <v>4</v>
      </c>
      <c r="O1155">
        <v>9</v>
      </c>
      <c r="P1155">
        <v>1</v>
      </c>
      <c r="Q1155">
        <v>0</v>
      </c>
    </row>
    <row r="1156" spans="1:17" x14ac:dyDescent="0.3">
      <c r="A1156">
        <v>17</v>
      </c>
      <c r="B1156" t="s">
        <v>13</v>
      </c>
      <c r="C1156" t="str">
        <f>IF(Table1[[#This Row],[age]]&gt;18,"Adult","Teenage")</f>
        <v>Teenage</v>
      </c>
      <c r="D1156">
        <v>6.6</v>
      </c>
      <c r="E1156" t="s">
        <v>17</v>
      </c>
      <c r="F1156">
        <v>5.2</v>
      </c>
      <c r="G1156">
        <f>Table1[[#This Row],[sleep_hours]]-Table1[[#This Row],[daily_social_media_hours]]</f>
        <v>-1.3999999999999995</v>
      </c>
      <c r="H1156">
        <v>2.2000000000000002</v>
      </c>
      <c r="I1156">
        <v>2.98</v>
      </c>
      <c r="J1156" t="str" cm="1">
        <f t="array" ref="J1156">_xlfn.IFS(Table1[[#This Row],[academic_performance]]&gt;1,"Need Improvement",Table1[[#This Row],[academic_performance]]&gt;2,"Good",Table1[[#This Row],[academic_performance]]&gt;3,"Very good",Table1[[#This Row],[academic_performance]]&gt;4,"Excellent")</f>
        <v>Need Improvement</v>
      </c>
      <c r="K1156">
        <v>0.8</v>
      </c>
      <c r="L1156" t="str">
        <f>IF(Table1[[#This Row],[physical_activity]]&gt;1.9,"better overall ","lower rate of depression")</f>
        <v>lower rate of depression</v>
      </c>
      <c r="M1156" t="s">
        <v>18</v>
      </c>
      <c r="N1156">
        <v>6</v>
      </c>
      <c r="O1156">
        <v>8</v>
      </c>
      <c r="P1156">
        <v>7</v>
      </c>
      <c r="Q1156">
        <v>0</v>
      </c>
    </row>
    <row r="1157" spans="1:17" x14ac:dyDescent="0.3">
      <c r="A1157">
        <v>13</v>
      </c>
      <c r="B1157" t="s">
        <v>16</v>
      </c>
      <c r="C1157" t="str">
        <f>IF(Table1[[#This Row],[age]]&gt;18,"Adult","Teenage")</f>
        <v>Teenage</v>
      </c>
      <c r="D1157">
        <v>7.1</v>
      </c>
      <c r="E1157" t="s">
        <v>20</v>
      </c>
      <c r="F1157">
        <v>7.2</v>
      </c>
      <c r="G1157">
        <f>Table1[[#This Row],[sleep_hours]]-Table1[[#This Row],[daily_social_media_hours]]</f>
        <v>0.10000000000000053</v>
      </c>
      <c r="H1157">
        <v>1.1000000000000001</v>
      </c>
      <c r="I1157">
        <v>3.69</v>
      </c>
      <c r="J1157" t="str" cm="1">
        <f t="array" ref="J1157">_xlfn.IFS(Table1[[#This Row],[academic_performance]]&gt;1,"Need Improvement",Table1[[#This Row],[academic_performance]]&gt;2,"Good",Table1[[#This Row],[academic_performance]]&gt;3,"Very good",Table1[[#This Row],[academic_performance]]&gt;4,"Excellent")</f>
        <v>Need Improvement</v>
      </c>
      <c r="K1157">
        <v>1</v>
      </c>
      <c r="L1157" t="str">
        <f>IF(Table1[[#This Row],[physical_activity]]&gt;1.9,"better overall ","lower rate of depression")</f>
        <v>lower rate of depression</v>
      </c>
      <c r="M1157" t="s">
        <v>15</v>
      </c>
      <c r="N1157">
        <v>4</v>
      </c>
      <c r="O1157">
        <v>6</v>
      </c>
      <c r="P1157">
        <v>3</v>
      </c>
      <c r="Q1157">
        <v>0</v>
      </c>
    </row>
    <row r="1158" spans="1:17" x14ac:dyDescent="0.3">
      <c r="A1158">
        <v>15</v>
      </c>
      <c r="B1158" t="s">
        <v>16</v>
      </c>
      <c r="C1158" t="str">
        <f>IF(Table1[[#This Row],[age]]&gt;18,"Adult","Teenage")</f>
        <v>Teenage</v>
      </c>
      <c r="D1158">
        <v>1.1000000000000001</v>
      </c>
      <c r="E1158" t="s">
        <v>17</v>
      </c>
      <c r="F1158">
        <v>8.6</v>
      </c>
      <c r="G1158">
        <f>Table1[[#This Row],[sleep_hours]]-Table1[[#This Row],[daily_social_media_hours]]</f>
        <v>7.5</v>
      </c>
      <c r="H1158">
        <v>2.2999999999999998</v>
      </c>
      <c r="I1158">
        <v>3.68</v>
      </c>
      <c r="J1158" t="str" cm="1">
        <f t="array" ref="J1158">_xlfn.IFS(Table1[[#This Row],[academic_performance]]&gt;1,"Need Improvement",Table1[[#This Row],[academic_performance]]&gt;2,"Good",Table1[[#This Row],[academic_performance]]&gt;3,"Very good",Table1[[#This Row],[academic_performance]]&gt;4,"Excellent")</f>
        <v>Need Improvement</v>
      </c>
      <c r="K1158">
        <v>0.5</v>
      </c>
      <c r="L1158" t="str">
        <f>IF(Table1[[#This Row],[physical_activity]]&gt;1.9,"better overall ","lower rate of depression")</f>
        <v>lower rate of depression</v>
      </c>
      <c r="M1158" t="s">
        <v>15</v>
      </c>
      <c r="N1158">
        <v>1</v>
      </c>
      <c r="O1158">
        <v>2</v>
      </c>
      <c r="P1158">
        <v>7</v>
      </c>
      <c r="Q1158">
        <v>0</v>
      </c>
    </row>
    <row r="1159" spans="1:17" x14ac:dyDescent="0.3">
      <c r="A1159">
        <v>13</v>
      </c>
      <c r="B1159" t="s">
        <v>16</v>
      </c>
      <c r="C1159" t="str">
        <f>IF(Table1[[#This Row],[age]]&gt;18,"Adult","Teenage")</f>
        <v>Teenage</v>
      </c>
      <c r="D1159">
        <v>3.6</v>
      </c>
      <c r="E1159" t="s">
        <v>17</v>
      </c>
      <c r="F1159">
        <v>8.6999999999999993</v>
      </c>
      <c r="G1159">
        <f>Table1[[#This Row],[sleep_hours]]-Table1[[#This Row],[daily_social_media_hours]]</f>
        <v>5.0999999999999996</v>
      </c>
      <c r="H1159">
        <v>0.8</v>
      </c>
      <c r="I1159">
        <v>2.41</v>
      </c>
      <c r="J1159" t="str" cm="1">
        <f t="array" ref="J1159">_xlfn.IFS(Table1[[#This Row],[academic_performance]]&gt;1,"Need Improvement",Table1[[#This Row],[academic_performance]]&gt;2,"Good",Table1[[#This Row],[academic_performance]]&gt;3,"Very good",Table1[[#This Row],[academic_performance]]&gt;4,"Excellent")</f>
        <v>Need Improvement</v>
      </c>
      <c r="K1159">
        <v>1.3</v>
      </c>
      <c r="L1159" t="str">
        <f>IF(Table1[[#This Row],[physical_activity]]&gt;1.9,"better overall ","lower rate of depression")</f>
        <v>lower rate of depression</v>
      </c>
      <c r="M1159" t="s">
        <v>15</v>
      </c>
      <c r="N1159">
        <v>4</v>
      </c>
      <c r="O1159">
        <v>6</v>
      </c>
      <c r="P1159">
        <v>8</v>
      </c>
      <c r="Q1159">
        <v>0</v>
      </c>
    </row>
    <row r="1160" spans="1:17" x14ac:dyDescent="0.3">
      <c r="A1160">
        <v>16</v>
      </c>
      <c r="B1160" t="s">
        <v>13</v>
      </c>
      <c r="C1160" t="str">
        <f>IF(Table1[[#This Row],[age]]&gt;18,"Adult","Teenage")</f>
        <v>Teenage</v>
      </c>
      <c r="D1160">
        <v>5.0999999999999996</v>
      </c>
      <c r="E1160" t="s">
        <v>17</v>
      </c>
      <c r="F1160">
        <v>4.5999999999999996</v>
      </c>
      <c r="G1160">
        <f>Table1[[#This Row],[sleep_hours]]-Table1[[#This Row],[daily_social_media_hours]]</f>
        <v>-0.5</v>
      </c>
      <c r="H1160">
        <v>1.1000000000000001</v>
      </c>
      <c r="I1160">
        <v>2.75</v>
      </c>
      <c r="J1160" t="str" cm="1">
        <f t="array" ref="J1160">_xlfn.IFS(Table1[[#This Row],[academic_performance]]&gt;1,"Need Improvement",Table1[[#This Row],[academic_performance]]&gt;2,"Good",Table1[[#This Row],[academic_performance]]&gt;3,"Very good",Table1[[#This Row],[academic_performance]]&gt;4,"Excellent")</f>
        <v>Need Improvement</v>
      </c>
      <c r="K1160">
        <v>1.5</v>
      </c>
      <c r="L1160" t="str">
        <f>IF(Table1[[#This Row],[physical_activity]]&gt;1.9,"better overall ","lower rate of depression")</f>
        <v>lower rate of depression</v>
      </c>
      <c r="M1160" t="s">
        <v>19</v>
      </c>
      <c r="N1160">
        <v>6</v>
      </c>
      <c r="O1160">
        <v>3</v>
      </c>
      <c r="P1160">
        <v>6</v>
      </c>
      <c r="Q1160">
        <v>0</v>
      </c>
    </row>
    <row r="1161" spans="1:17" x14ac:dyDescent="0.3">
      <c r="A1161">
        <v>19</v>
      </c>
      <c r="B1161" t="s">
        <v>16</v>
      </c>
      <c r="C1161" t="str">
        <f>IF(Table1[[#This Row],[age]]&gt;18,"Adult","Teenage")</f>
        <v>Adult</v>
      </c>
      <c r="D1161">
        <v>7.3</v>
      </c>
      <c r="E1161" t="s">
        <v>14</v>
      </c>
      <c r="F1161">
        <v>7.8</v>
      </c>
      <c r="G1161">
        <f>Table1[[#This Row],[sleep_hours]]-Table1[[#This Row],[daily_social_media_hours]]</f>
        <v>0.5</v>
      </c>
      <c r="H1161">
        <v>1</v>
      </c>
      <c r="I1161">
        <v>2.91</v>
      </c>
      <c r="J1161" t="str" cm="1">
        <f t="array" ref="J1161">_xlfn.IFS(Table1[[#This Row],[academic_performance]]&gt;1,"Need Improvement",Table1[[#This Row],[academic_performance]]&gt;2,"Good",Table1[[#This Row],[academic_performance]]&gt;3,"Very good",Table1[[#This Row],[academic_performance]]&gt;4,"Excellent")</f>
        <v>Need Improvement</v>
      </c>
      <c r="K1161">
        <v>0.8</v>
      </c>
      <c r="L1161" t="str">
        <f>IF(Table1[[#This Row],[physical_activity]]&gt;1.9,"better overall ","lower rate of depression")</f>
        <v>lower rate of depression</v>
      </c>
      <c r="M1161" t="s">
        <v>19</v>
      </c>
      <c r="N1161">
        <v>9</v>
      </c>
      <c r="O1161">
        <v>7</v>
      </c>
      <c r="P1161">
        <v>5</v>
      </c>
      <c r="Q1161">
        <v>0</v>
      </c>
    </row>
    <row r="1162" spans="1:17" x14ac:dyDescent="0.3">
      <c r="A1162">
        <v>13</v>
      </c>
      <c r="B1162" t="s">
        <v>16</v>
      </c>
      <c r="C1162" t="str">
        <f>IF(Table1[[#This Row],[age]]&gt;18,"Adult","Teenage")</f>
        <v>Teenage</v>
      </c>
      <c r="D1162">
        <v>7.7</v>
      </c>
      <c r="E1162" t="s">
        <v>20</v>
      </c>
      <c r="F1162">
        <v>7.5</v>
      </c>
      <c r="G1162">
        <f>Table1[[#This Row],[sleep_hours]]-Table1[[#This Row],[daily_social_media_hours]]</f>
        <v>-0.20000000000000018</v>
      </c>
      <c r="H1162">
        <v>1.4</v>
      </c>
      <c r="I1162">
        <v>2.2400000000000002</v>
      </c>
      <c r="J1162" t="str" cm="1">
        <f t="array" ref="J1162">_xlfn.IFS(Table1[[#This Row],[academic_performance]]&gt;1,"Need Improvement",Table1[[#This Row],[academic_performance]]&gt;2,"Good",Table1[[#This Row],[academic_performance]]&gt;3,"Very good",Table1[[#This Row],[academic_performance]]&gt;4,"Excellent")</f>
        <v>Need Improvement</v>
      </c>
      <c r="K1162">
        <v>0.1</v>
      </c>
      <c r="L1162" t="str">
        <f>IF(Table1[[#This Row],[physical_activity]]&gt;1.9,"better overall ","lower rate of depression")</f>
        <v>lower rate of depression</v>
      </c>
      <c r="M1162" t="s">
        <v>15</v>
      </c>
      <c r="N1162">
        <v>5</v>
      </c>
      <c r="O1162">
        <v>3</v>
      </c>
      <c r="P1162">
        <v>3</v>
      </c>
      <c r="Q1162">
        <v>0</v>
      </c>
    </row>
    <row r="1163" spans="1:17" x14ac:dyDescent="0.3">
      <c r="A1163">
        <v>13</v>
      </c>
      <c r="B1163" t="s">
        <v>16</v>
      </c>
      <c r="C1163" t="str">
        <f>IF(Table1[[#This Row],[age]]&gt;18,"Adult","Teenage")</f>
        <v>Teenage</v>
      </c>
      <c r="D1163">
        <v>7.9</v>
      </c>
      <c r="E1163" t="s">
        <v>17</v>
      </c>
      <c r="F1163">
        <v>4.0999999999999996</v>
      </c>
      <c r="G1163">
        <f>Table1[[#This Row],[sleep_hours]]-Table1[[#This Row],[daily_social_media_hours]]</f>
        <v>-3.8000000000000007</v>
      </c>
      <c r="H1163">
        <v>1.6</v>
      </c>
      <c r="I1163">
        <v>2.74</v>
      </c>
      <c r="J1163" t="str" cm="1">
        <f t="array" ref="J1163">_xlfn.IFS(Table1[[#This Row],[academic_performance]]&gt;1,"Need Improvement",Table1[[#This Row],[academic_performance]]&gt;2,"Good",Table1[[#This Row],[academic_performance]]&gt;3,"Very good",Table1[[#This Row],[academic_performance]]&gt;4,"Excellent")</f>
        <v>Need Improvement</v>
      </c>
      <c r="K1163">
        <v>0.9</v>
      </c>
      <c r="L1163" t="str">
        <f>IF(Table1[[#This Row],[physical_activity]]&gt;1.9,"better overall ","lower rate of depression")</f>
        <v>lower rate of depression</v>
      </c>
      <c r="M1163" t="s">
        <v>19</v>
      </c>
      <c r="N1163">
        <v>9</v>
      </c>
      <c r="O1163">
        <v>3</v>
      </c>
      <c r="P1163">
        <v>5</v>
      </c>
      <c r="Q1163">
        <v>0</v>
      </c>
    </row>
    <row r="1164" spans="1:17" x14ac:dyDescent="0.3">
      <c r="A1164">
        <v>16</v>
      </c>
      <c r="B1164" t="s">
        <v>16</v>
      </c>
      <c r="C1164" t="str">
        <f>IF(Table1[[#This Row],[age]]&gt;18,"Adult","Teenage")</f>
        <v>Teenage</v>
      </c>
      <c r="D1164">
        <v>5.5</v>
      </c>
      <c r="E1164" t="s">
        <v>20</v>
      </c>
      <c r="F1164">
        <v>5.8</v>
      </c>
      <c r="G1164">
        <f>Table1[[#This Row],[sleep_hours]]-Table1[[#This Row],[daily_social_media_hours]]</f>
        <v>0.29999999999999982</v>
      </c>
      <c r="H1164">
        <v>2.5</v>
      </c>
      <c r="I1164">
        <v>2.34</v>
      </c>
      <c r="J1164" t="str" cm="1">
        <f t="array" ref="J1164">_xlfn.IFS(Table1[[#This Row],[academic_performance]]&gt;1,"Need Improvement",Table1[[#This Row],[academic_performance]]&gt;2,"Good",Table1[[#This Row],[academic_performance]]&gt;3,"Very good",Table1[[#This Row],[academic_performance]]&gt;4,"Excellent")</f>
        <v>Need Improvement</v>
      </c>
      <c r="K1164">
        <v>1</v>
      </c>
      <c r="L1164" t="str">
        <f>IF(Table1[[#This Row],[physical_activity]]&gt;1.9,"better overall ","lower rate of depression")</f>
        <v>lower rate of depression</v>
      </c>
      <c r="M1164" t="s">
        <v>15</v>
      </c>
      <c r="N1164">
        <v>5</v>
      </c>
      <c r="O1164">
        <v>2</v>
      </c>
      <c r="P1164">
        <v>8</v>
      </c>
      <c r="Q1164">
        <v>0</v>
      </c>
    </row>
    <row r="1165" spans="1:17" x14ac:dyDescent="0.3">
      <c r="A1165">
        <v>19</v>
      </c>
      <c r="B1165" t="s">
        <v>13</v>
      </c>
      <c r="C1165" t="str">
        <f>IF(Table1[[#This Row],[age]]&gt;18,"Adult","Teenage")</f>
        <v>Adult</v>
      </c>
      <c r="D1165">
        <v>4</v>
      </c>
      <c r="E1165" t="s">
        <v>14</v>
      </c>
      <c r="F1165">
        <v>7.8</v>
      </c>
      <c r="G1165">
        <f>Table1[[#This Row],[sleep_hours]]-Table1[[#This Row],[daily_social_media_hours]]</f>
        <v>3.8</v>
      </c>
      <c r="H1165">
        <v>0.6</v>
      </c>
      <c r="I1165">
        <v>3.61</v>
      </c>
      <c r="J1165" t="str" cm="1">
        <f t="array" ref="J1165">_xlfn.IFS(Table1[[#This Row],[academic_performance]]&gt;1,"Need Improvement",Table1[[#This Row],[academic_performance]]&gt;2,"Good",Table1[[#This Row],[academic_performance]]&gt;3,"Very good",Table1[[#This Row],[academic_performance]]&gt;4,"Excellent")</f>
        <v>Need Improvement</v>
      </c>
      <c r="K1165">
        <v>1.7</v>
      </c>
      <c r="L1165" t="str">
        <f>IF(Table1[[#This Row],[physical_activity]]&gt;1.9,"better overall ","lower rate of depression")</f>
        <v>lower rate of depression</v>
      </c>
      <c r="M1165" t="s">
        <v>18</v>
      </c>
      <c r="N1165">
        <v>2</v>
      </c>
      <c r="O1165">
        <v>7</v>
      </c>
      <c r="P1165">
        <v>9</v>
      </c>
      <c r="Q1165">
        <v>0</v>
      </c>
    </row>
    <row r="1166" spans="1:17" x14ac:dyDescent="0.3">
      <c r="A1166">
        <v>15</v>
      </c>
      <c r="B1166" t="s">
        <v>16</v>
      </c>
      <c r="C1166" t="str">
        <f>IF(Table1[[#This Row],[age]]&gt;18,"Adult","Teenage")</f>
        <v>Teenage</v>
      </c>
      <c r="D1166">
        <v>7.9</v>
      </c>
      <c r="E1166" t="s">
        <v>17</v>
      </c>
      <c r="F1166">
        <v>4.7</v>
      </c>
      <c r="G1166">
        <f>Table1[[#This Row],[sleep_hours]]-Table1[[#This Row],[daily_social_media_hours]]</f>
        <v>-3.2</v>
      </c>
      <c r="H1166">
        <v>1.5</v>
      </c>
      <c r="I1166">
        <v>3.3</v>
      </c>
      <c r="J1166" t="str" cm="1">
        <f t="array" ref="J1166">_xlfn.IFS(Table1[[#This Row],[academic_performance]]&gt;1,"Need Improvement",Table1[[#This Row],[academic_performance]]&gt;2,"Good",Table1[[#This Row],[academic_performance]]&gt;3,"Very good",Table1[[#This Row],[academic_performance]]&gt;4,"Excellent")</f>
        <v>Need Improvement</v>
      </c>
      <c r="K1166">
        <v>0</v>
      </c>
      <c r="L1166" t="str">
        <f>IF(Table1[[#This Row],[physical_activity]]&gt;1.9,"better overall ","lower rate of depression")</f>
        <v>lower rate of depression</v>
      </c>
      <c r="M1166" t="s">
        <v>15</v>
      </c>
      <c r="N1166">
        <v>5</v>
      </c>
      <c r="O1166">
        <v>8</v>
      </c>
      <c r="P1166">
        <v>5</v>
      </c>
      <c r="Q1166">
        <v>0</v>
      </c>
    </row>
    <row r="1167" spans="1:17" x14ac:dyDescent="0.3">
      <c r="A1167">
        <v>18</v>
      </c>
      <c r="B1167" t="s">
        <v>16</v>
      </c>
      <c r="C1167" t="str">
        <f>IF(Table1[[#This Row],[age]]&gt;18,"Adult","Teenage")</f>
        <v>Teenage</v>
      </c>
      <c r="D1167">
        <v>5.5</v>
      </c>
      <c r="E1167" t="s">
        <v>20</v>
      </c>
      <c r="F1167">
        <v>8.1999999999999993</v>
      </c>
      <c r="G1167">
        <f>Table1[[#This Row],[sleep_hours]]-Table1[[#This Row],[daily_social_media_hours]]</f>
        <v>2.6999999999999993</v>
      </c>
      <c r="H1167">
        <v>0.5</v>
      </c>
      <c r="I1167">
        <v>3.15</v>
      </c>
      <c r="J1167" t="str" cm="1">
        <f t="array" ref="J1167">_xlfn.IFS(Table1[[#This Row],[academic_performance]]&gt;1,"Need Improvement",Table1[[#This Row],[academic_performance]]&gt;2,"Good",Table1[[#This Row],[academic_performance]]&gt;3,"Very good",Table1[[#This Row],[academic_performance]]&gt;4,"Excellent")</f>
        <v>Need Improvement</v>
      </c>
      <c r="K1167">
        <v>1.2</v>
      </c>
      <c r="L1167" t="str">
        <f>IF(Table1[[#This Row],[physical_activity]]&gt;1.9,"better overall ","lower rate of depression")</f>
        <v>lower rate of depression</v>
      </c>
      <c r="M1167" t="s">
        <v>19</v>
      </c>
      <c r="N1167">
        <v>8</v>
      </c>
      <c r="O1167">
        <v>7</v>
      </c>
      <c r="P1167">
        <v>7</v>
      </c>
      <c r="Q1167">
        <v>0</v>
      </c>
    </row>
    <row r="1168" spans="1:17" x14ac:dyDescent="0.3">
      <c r="A1168">
        <v>17</v>
      </c>
      <c r="B1168" t="s">
        <v>16</v>
      </c>
      <c r="C1168" t="str">
        <f>IF(Table1[[#This Row],[age]]&gt;18,"Adult","Teenage")</f>
        <v>Teenage</v>
      </c>
      <c r="D1168">
        <v>7.6</v>
      </c>
      <c r="E1168" t="s">
        <v>20</v>
      </c>
      <c r="F1168">
        <v>7.1</v>
      </c>
      <c r="G1168">
        <f>Table1[[#This Row],[sleep_hours]]-Table1[[#This Row],[daily_social_media_hours]]</f>
        <v>-0.5</v>
      </c>
      <c r="H1168">
        <v>1.1000000000000001</v>
      </c>
      <c r="I1168">
        <v>2.0699999999999998</v>
      </c>
      <c r="J1168" t="str" cm="1">
        <f t="array" ref="J1168">_xlfn.IFS(Table1[[#This Row],[academic_performance]]&gt;1,"Need Improvement",Table1[[#This Row],[academic_performance]]&gt;2,"Good",Table1[[#This Row],[academic_performance]]&gt;3,"Very good",Table1[[#This Row],[academic_performance]]&gt;4,"Excellent")</f>
        <v>Need Improvement</v>
      </c>
      <c r="K1168">
        <v>1.9</v>
      </c>
      <c r="L1168" t="str">
        <f>IF(Table1[[#This Row],[physical_activity]]&gt;1.9,"better overall ","lower rate of depression")</f>
        <v>lower rate of depression</v>
      </c>
      <c r="M1168" t="s">
        <v>18</v>
      </c>
      <c r="N1168">
        <v>3</v>
      </c>
      <c r="O1168">
        <v>2</v>
      </c>
      <c r="P1168">
        <v>6</v>
      </c>
      <c r="Q1168">
        <v>0</v>
      </c>
    </row>
    <row r="1169" spans="1:17" x14ac:dyDescent="0.3">
      <c r="A1169">
        <v>13</v>
      </c>
      <c r="B1169" t="s">
        <v>13</v>
      </c>
      <c r="C1169" t="str">
        <f>IF(Table1[[#This Row],[age]]&gt;18,"Adult","Teenage")</f>
        <v>Teenage</v>
      </c>
      <c r="D1169">
        <v>1.3</v>
      </c>
      <c r="E1169" t="s">
        <v>17</v>
      </c>
      <c r="F1169">
        <v>4.4000000000000004</v>
      </c>
      <c r="G1169">
        <f>Table1[[#This Row],[sleep_hours]]-Table1[[#This Row],[daily_social_media_hours]]</f>
        <v>3.1000000000000005</v>
      </c>
      <c r="H1169">
        <v>0.9</v>
      </c>
      <c r="I1169">
        <v>2.99</v>
      </c>
      <c r="J1169" t="str" cm="1">
        <f t="array" ref="J1169">_xlfn.IFS(Table1[[#This Row],[academic_performance]]&gt;1,"Need Improvement",Table1[[#This Row],[academic_performance]]&gt;2,"Good",Table1[[#This Row],[academic_performance]]&gt;3,"Very good",Table1[[#This Row],[academic_performance]]&gt;4,"Excellent")</f>
        <v>Need Improvement</v>
      </c>
      <c r="K1169">
        <v>0</v>
      </c>
      <c r="L1169" t="str">
        <f>IF(Table1[[#This Row],[physical_activity]]&gt;1.9,"better overall ","lower rate of depression")</f>
        <v>lower rate of depression</v>
      </c>
      <c r="M1169" t="s">
        <v>18</v>
      </c>
      <c r="N1169">
        <v>8</v>
      </c>
      <c r="O1169">
        <v>2</v>
      </c>
      <c r="P1169">
        <v>5</v>
      </c>
      <c r="Q1169">
        <v>0</v>
      </c>
    </row>
    <row r="1170" spans="1:17" x14ac:dyDescent="0.3">
      <c r="A1170">
        <v>16</v>
      </c>
      <c r="B1170" t="s">
        <v>13</v>
      </c>
      <c r="C1170" t="str">
        <f>IF(Table1[[#This Row],[age]]&gt;18,"Adult","Teenage")</f>
        <v>Teenage</v>
      </c>
      <c r="D1170">
        <v>7.3</v>
      </c>
      <c r="E1170" t="s">
        <v>17</v>
      </c>
      <c r="F1170">
        <v>7</v>
      </c>
      <c r="G1170">
        <f>Table1[[#This Row],[sleep_hours]]-Table1[[#This Row],[daily_social_media_hours]]</f>
        <v>-0.29999999999999982</v>
      </c>
      <c r="H1170">
        <v>2.2000000000000002</v>
      </c>
      <c r="I1170">
        <v>2.0699999999999998</v>
      </c>
      <c r="J1170" t="str" cm="1">
        <f t="array" ref="J1170">_xlfn.IFS(Table1[[#This Row],[academic_performance]]&gt;1,"Need Improvement",Table1[[#This Row],[academic_performance]]&gt;2,"Good",Table1[[#This Row],[academic_performance]]&gt;3,"Very good",Table1[[#This Row],[academic_performance]]&gt;4,"Excellent")</f>
        <v>Need Improvement</v>
      </c>
      <c r="K1170">
        <v>1</v>
      </c>
      <c r="L1170" t="str">
        <f>IF(Table1[[#This Row],[physical_activity]]&gt;1.9,"better overall ","lower rate of depression")</f>
        <v>lower rate of depression</v>
      </c>
      <c r="M1170" t="s">
        <v>19</v>
      </c>
      <c r="N1170">
        <v>3</v>
      </c>
      <c r="O1170">
        <v>7</v>
      </c>
      <c r="P1170">
        <v>1</v>
      </c>
      <c r="Q1170">
        <v>0</v>
      </c>
    </row>
    <row r="1171" spans="1:17" x14ac:dyDescent="0.3">
      <c r="A1171">
        <v>18</v>
      </c>
      <c r="B1171" t="s">
        <v>13</v>
      </c>
      <c r="C1171" t="str">
        <f>IF(Table1[[#This Row],[age]]&gt;18,"Adult","Teenage")</f>
        <v>Teenage</v>
      </c>
      <c r="D1171">
        <v>4.3</v>
      </c>
      <c r="E1171" t="s">
        <v>14</v>
      </c>
      <c r="F1171">
        <v>6.7</v>
      </c>
      <c r="G1171">
        <f>Table1[[#This Row],[sleep_hours]]-Table1[[#This Row],[daily_social_media_hours]]</f>
        <v>2.4000000000000004</v>
      </c>
      <c r="H1171">
        <v>2.5</v>
      </c>
      <c r="I1171">
        <v>3.19</v>
      </c>
      <c r="J1171" t="str" cm="1">
        <f t="array" ref="J1171">_xlfn.IFS(Table1[[#This Row],[academic_performance]]&gt;1,"Need Improvement",Table1[[#This Row],[academic_performance]]&gt;2,"Good",Table1[[#This Row],[academic_performance]]&gt;3,"Very good",Table1[[#This Row],[academic_performance]]&gt;4,"Excellent")</f>
        <v>Need Improvement</v>
      </c>
      <c r="K1171">
        <v>1</v>
      </c>
      <c r="L1171" t="str">
        <f>IF(Table1[[#This Row],[physical_activity]]&gt;1.9,"better overall ","lower rate of depression")</f>
        <v>lower rate of depression</v>
      </c>
      <c r="M1171" t="s">
        <v>18</v>
      </c>
      <c r="N1171">
        <v>5</v>
      </c>
      <c r="O1171">
        <v>5</v>
      </c>
      <c r="P1171">
        <v>5</v>
      </c>
      <c r="Q1171">
        <v>0</v>
      </c>
    </row>
    <row r="1172" spans="1:17" x14ac:dyDescent="0.3">
      <c r="A1172">
        <v>16</v>
      </c>
      <c r="B1172" t="s">
        <v>13</v>
      </c>
      <c r="C1172" t="str">
        <f>IF(Table1[[#This Row],[age]]&gt;18,"Adult","Teenage")</f>
        <v>Teenage</v>
      </c>
      <c r="D1172">
        <v>7.1</v>
      </c>
      <c r="E1172" t="s">
        <v>17</v>
      </c>
      <c r="F1172">
        <v>7.7</v>
      </c>
      <c r="G1172">
        <f>Table1[[#This Row],[sleep_hours]]-Table1[[#This Row],[daily_social_media_hours]]</f>
        <v>0.60000000000000053</v>
      </c>
      <c r="H1172">
        <v>1.9</v>
      </c>
      <c r="I1172">
        <v>2.2400000000000002</v>
      </c>
      <c r="J1172" t="str" cm="1">
        <f t="array" ref="J1172">_xlfn.IFS(Table1[[#This Row],[academic_performance]]&gt;1,"Need Improvement",Table1[[#This Row],[academic_performance]]&gt;2,"Good",Table1[[#This Row],[academic_performance]]&gt;3,"Very good",Table1[[#This Row],[academic_performance]]&gt;4,"Excellent")</f>
        <v>Need Improvement</v>
      </c>
      <c r="K1172">
        <v>0.6</v>
      </c>
      <c r="L1172" t="str">
        <f>IF(Table1[[#This Row],[physical_activity]]&gt;1.9,"better overall ","lower rate of depression")</f>
        <v>lower rate of depression</v>
      </c>
      <c r="M1172" t="s">
        <v>18</v>
      </c>
      <c r="N1172">
        <v>8</v>
      </c>
      <c r="O1172">
        <v>10</v>
      </c>
      <c r="P1172">
        <v>5</v>
      </c>
      <c r="Q1172">
        <v>0</v>
      </c>
    </row>
    <row r="1173" spans="1:17" x14ac:dyDescent="0.3">
      <c r="A1173">
        <v>14</v>
      </c>
      <c r="B1173" t="s">
        <v>16</v>
      </c>
      <c r="C1173" t="str">
        <f>IF(Table1[[#This Row],[age]]&gt;18,"Adult","Teenage")</f>
        <v>Teenage</v>
      </c>
      <c r="D1173">
        <v>5.7</v>
      </c>
      <c r="E1173" t="s">
        <v>17</v>
      </c>
      <c r="F1173">
        <v>6.4</v>
      </c>
      <c r="G1173">
        <f>Table1[[#This Row],[sleep_hours]]-Table1[[#This Row],[daily_social_media_hours]]</f>
        <v>0.70000000000000018</v>
      </c>
      <c r="H1173">
        <v>1.9</v>
      </c>
      <c r="I1173">
        <v>3.3</v>
      </c>
      <c r="J1173" t="str" cm="1">
        <f t="array" ref="J1173">_xlfn.IFS(Table1[[#This Row],[academic_performance]]&gt;1,"Need Improvement",Table1[[#This Row],[academic_performance]]&gt;2,"Good",Table1[[#This Row],[academic_performance]]&gt;3,"Very good",Table1[[#This Row],[academic_performance]]&gt;4,"Excellent")</f>
        <v>Need Improvement</v>
      </c>
      <c r="K1173">
        <v>1.3</v>
      </c>
      <c r="L1173" t="str">
        <f>IF(Table1[[#This Row],[physical_activity]]&gt;1.9,"better overall ","lower rate of depression")</f>
        <v>lower rate of depression</v>
      </c>
      <c r="M1173" t="s">
        <v>18</v>
      </c>
      <c r="N1173">
        <v>6</v>
      </c>
      <c r="O1173">
        <v>8</v>
      </c>
      <c r="P1173">
        <v>5</v>
      </c>
      <c r="Q1173">
        <v>0</v>
      </c>
    </row>
    <row r="1174" spans="1:17" x14ac:dyDescent="0.3">
      <c r="A1174">
        <v>18</v>
      </c>
      <c r="B1174" t="s">
        <v>16</v>
      </c>
      <c r="C1174" t="str">
        <f>IF(Table1[[#This Row],[age]]&gt;18,"Adult","Teenage")</f>
        <v>Teenage</v>
      </c>
      <c r="D1174">
        <v>5.2</v>
      </c>
      <c r="E1174" t="s">
        <v>20</v>
      </c>
      <c r="F1174">
        <v>7.3</v>
      </c>
      <c r="G1174">
        <f>Table1[[#This Row],[sleep_hours]]-Table1[[#This Row],[daily_social_media_hours]]</f>
        <v>2.0999999999999996</v>
      </c>
      <c r="H1174">
        <v>1.7</v>
      </c>
      <c r="I1174">
        <v>3.33</v>
      </c>
      <c r="J1174" t="str" cm="1">
        <f t="array" ref="J1174">_xlfn.IFS(Table1[[#This Row],[academic_performance]]&gt;1,"Need Improvement",Table1[[#This Row],[academic_performance]]&gt;2,"Good",Table1[[#This Row],[academic_performance]]&gt;3,"Very good",Table1[[#This Row],[academic_performance]]&gt;4,"Excellent")</f>
        <v>Need Improvement</v>
      </c>
      <c r="K1174">
        <v>0.9</v>
      </c>
      <c r="L1174" t="str">
        <f>IF(Table1[[#This Row],[physical_activity]]&gt;1.9,"better overall ","lower rate of depression")</f>
        <v>lower rate of depression</v>
      </c>
      <c r="M1174" t="s">
        <v>15</v>
      </c>
      <c r="N1174">
        <v>7</v>
      </c>
      <c r="O1174">
        <v>4</v>
      </c>
      <c r="P1174">
        <v>9</v>
      </c>
      <c r="Q1174">
        <v>0</v>
      </c>
    </row>
    <row r="1175" spans="1:17" x14ac:dyDescent="0.3">
      <c r="A1175">
        <v>17</v>
      </c>
      <c r="B1175" t="s">
        <v>13</v>
      </c>
      <c r="C1175" t="str">
        <f>IF(Table1[[#This Row],[age]]&gt;18,"Adult","Teenage")</f>
        <v>Teenage</v>
      </c>
      <c r="D1175">
        <v>3.1</v>
      </c>
      <c r="E1175" t="s">
        <v>17</v>
      </c>
      <c r="F1175">
        <v>7.7</v>
      </c>
      <c r="G1175">
        <f>Table1[[#This Row],[sleep_hours]]-Table1[[#This Row],[daily_social_media_hours]]</f>
        <v>4.5999999999999996</v>
      </c>
      <c r="H1175">
        <v>2.2000000000000002</v>
      </c>
      <c r="I1175">
        <v>3.72</v>
      </c>
      <c r="J1175" t="str" cm="1">
        <f t="array" ref="J1175">_xlfn.IFS(Table1[[#This Row],[academic_performance]]&gt;1,"Need Improvement",Table1[[#This Row],[academic_performance]]&gt;2,"Good",Table1[[#This Row],[academic_performance]]&gt;3,"Very good",Table1[[#This Row],[academic_performance]]&gt;4,"Excellent")</f>
        <v>Need Improvement</v>
      </c>
      <c r="K1175">
        <v>1.4</v>
      </c>
      <c r="L1175" t="str">
        <f>IF(Table1[[#This Row],[physical_activity]]&gt;1.9,"better overall ","lower rate of depression")</f>
        <v>lower rate of depression</v>
      </c>
      <c r="M1175" t="s">
        <v>19</v>
      </c>
      <c r="N1175">
        <v>1</v>
      </c>
      <c r="O1175">
        <v>5</v>
      </c>
      <c r="P1175">
        <v>8</v>
      </c>
      <c r="Q1175">
        <v>0</v>
      </c>
    </row>
    <row r="1176" spans="1:17" x14ac:dyDescent="0.3">
      <c r="A1176">
        <v>13</v>
      </c>
      <c r="B1176" t="s">
        <v>13</v>
      </c>
      <c r="C1176" t="str">
        <f>IF(Table1[[#This Row],[age]]&gt;18,"Adult","Teenage")</f>
        <v>Teenage</v>
      </c>
      <c r="D1176">
        <v>3</v>
      </c>
      <c r="E1176" t="s">
        <v>20</v>
      </c>
      <c r="F1176">
        <v>6.2</v>
      </c>
      <c r="G1176">
        <f>Table1[[#This Row],[sleep_hours]]-Table1[[#This Row],[daily_social_media_hours]]</f>
        <v>3.2</v>
      </c>
      <c r="H1176">
        <v>0.8</v>
      </c>
      <c r="I1176">
        <v>3.96</v>
      </c>
      <c r="J1176" t="str" cm="1">
        <f t="array" ref="J1176">_xlfn.IFS(Table1[[#This Row],[academic_performance]]&gt;1,"Need Improvement",Table1[[#This Row],[academic_performance]]&gt;2,"Good",Table1[[#This Row],[academic_performance]]&gt;3,"Very good",Table1[[#This Row],[academic_performance]]&gt;4,"Excellent")</f>
        <v>Need Improvement</v>
      </c>
      <c r="K1176">
        <v>1.1000000000000001</v>
      </c>
      <c r="L1176" t="str">
        <f>IF(Table1[[#This Row],[physical_activity]]&gt;1.9,"better overall ","lower rate of depression")</f>
        <v>lower rate of depression</v>
      </c>
      <c r="M1176" t="s">
        <v>15</v>
      </c>
      <c r="N1176">
        <v>9</v>
      </c>
      <c r="O1176">
        <v>10</v>
      </c>
      <c r="P1176">
        <v>3</v>
      </c>
      <c r="Q1176">
        <v>0</v>
      </c>
    </row>
    <row r="1177" spans="1:17" x14ac:dyDescent="0.3">
      <c r="A1177">
        <v>17</v>
      </c>
      <c r="B1177" t="s">
        <v>16</v>
      </c>
      <c r="C1177" t="str">
        <f>IF(Table1[[#This Row],[age]]&gt;18,"Adult","Teenage")</f>
        <v>Teenage</v>
      </c>
      <c r="D1177">
        <v>6</v>
      </c>
      <c r="E1177" t="s">
        <v>20</v>
      </c>
      <c r="F1177">
        <v>4.2</v>
      </c>
      <c r="G1177">
        <f>Table1[[#This Row],[sleep_hours]]-Table1[[#This Row],[daily_social_media_hours]]</f>
        <v>-1.7999999999999998</v>
      </c>
      <c r="H1177">
        <v>2.2000000000000002</v>
      </c>
      <c r="I1177">
        <v>2.27</v>
      </c>
      <c r="J1177" t="str" cm="1">
        <f t="array" ref="J1177">_xlfn.IFS(Table1[[#This Row],[academic_performance]]&gt;1,"Need Improvement",Table1[[#This Row],[academic_performance]]&gt;2,"Good",Table1[[#This Row],[academic_performance]]&gt;3,"Very good",Table1[[#This Row],[academic_performance]]&gt;4,"Excellent")</f>
        <v>Need Improvement</v>
      </c>
      <c r="K1177">
        <v>0.5</v>
      </c>
      <c r="L1177" t="str">
        <f>IF(Table1[[#This Row],[physical_activity]]&gt;1.9,"better overall ","lower rate of depression")</f>
        <v>lower rate of depression</v>
      </c>
      <c r="M1177" t="s">
        <v>19</v>
      </c>
      <c r="N1177">
        <v>1</v>
      </c>
      <c r="O1177">
        <v>4</v>
      </c>
      <c r="P1177">
        <v>5</v>
      </c>
      <c r="Q1177">
        <v>0</v>
      </c>
    </row>
    <row r="1178" spans="1:17" x14ac:dyDescent="0.3">
      <c r="A1178">
        <v>13</v>
      </c>
      <c r="B1178" t="s">
        <v>13</v>
      </c>
      <c r="C1178" t="str">
        <f>IF(Table1[[#This Row],[age]]&gt;18,"Adult","Teenage")</f>
        <v>Teenage</v>
      </c>
      <c r="D1178">
        <v>5.9</v>
      </c>
      <c r="E1178" t="s">
        <v>14</v>
      </c>
      <c r="F1178">
        <v>8.6</v>
      </c>
      <c r="G1178">
        <f>Table1[[#This Row],[sleep_hours]]-Table1[[#This Row],[daily_social_media_hours]]</f>
        <v>2.6999999999999993</v>
      </c>
      <c r="H1178">
        <v>1.9</v>
      </c>
      <c r="I1178">
        <v>3.88</v>
      </c>
      <c r="J1178" t="str" cm="1">
        <f t="array" ref="J1178">_xlfn.IFS(Table1[[#This Row],[academic_performance]]&gt;1,"Need Improvement",Table1[[#This Row],[academic_performance]]&gt;2,"Good",Table1[[#This Row],[academic_performance]]&gt;3,"Very good",Table1[[#This Row],[academic_performance]]&gt;4,"Excellent")</f>
        <v>Need Improvement</v>
      </c>
      <c r="K1178">
        <v>0.2</v>
      </c>
      <c r="L1178" t="str">
        <f>IF(Table1[[#This Row],[physical_activity]]&gt;1.9,"better overall ","lower rate of depression")</f>
        <v>lower rate of depression</v>
      </c>
      <c r="M1178" t="s">
        <v>19</v>
      </c>
      <c r="N1178">
        <v>1</v>
      </c>
      <c r="O1178">
        <v>6</v>
      </c>
      <c r="P1178">
        <v>9</v>
      </c>
      <c r="Q1178">
        <v>0</v>
      </c>
    </row>
    <row r="1179" spans="1:17" x14ac:dyDescent="0.3">
      <c r="A1179">
        <v>15</v>
      </c>
      <c r="B1179" t="s">
        <v>13</v>
      </c>
      <c r="C1179" t="str">
        <f>IF(Table1[[#This Row],[age]]&gt;18,"Adult","Teenage")</f>
        <v>Teenage</v>
      </c>
      <c r="D1179">
        <v>5.0999999999999996</v>
      </c>
      <c r="E1179" t="s">
        <v>17</v>
      </c>
      <c r="F1179">
        <v>5.5</v>
      </c>
      <c r="G1179">
        <f>Table1[[#This Row],[sleep_hours]]-Table1[[#This Row],[daily_social_media_hours]]</f>
        <v>0.40000000000000036</v>
      </c>
      <c r="H1179">
        <v>0.7</v>
      </c>
      <c r="I1179">
        <v>2.13</v>
      </c>
      <c r="J1179" t="str" cm="1">
        <f t="array" ref="J1179">_xlfn.IFS(Table1[[#This Row],[academic_performance]]&gt;1,"Need Improvement",Table1[[#This Row],[academic_performance]]&gt;2,"Good",Table1[[#This Row],[academic_performance]]&gt;3,"Very good",Table1[[#This Row],[academic_performance]]&gt;4,"Excellent")</f>
        <v>Need Improvement</v>
      </c>
      <c r="K1179">
        <v>0.5</v>
      </c>
      <c r="L1179" t="str">
        <f>IF(Table1[[#This Row],[physical_activity]]&gt;1.9,"better overall ","lower rate of depression")</f>
        <v>lower rate of depression</v>
      </c>
      <c r="M1179" t="s">
        <v>19</v>
      </c>
      <c r="N1179">
        <v>6</v>
      </c>
      <c r="O1179">
        <v>10</v>
      </c>
      <c r="P1179">
        <v>8</v>
      </c>
      <c r="Q1179">
        <v>0</v>
      </c>
    </row>
    <row r="1180" spans="1:17" x14ac:dyDescent="0.3">
      <c r="A1180">
        <v>19</v>
      </c>
      <c r="B1180" t="s">
        <v>16</v>
      </c>
      <c r="C1180" t="str">
        <f>IF(Table1[[#This Row],[age]]&gt;18,"Adult","Teenage")</f>
        <v>Adult</v>
      </c>
      <c r="D1180">
        <v>3.5</v>
      </c>
      <c r="E1180" t="s">
        <v>14</v>
      </c>
      <c r="F1180">
        <v>4.9000000000000004</v>
      </c>
      <c r="G1180">
        <f>Table1[[#This Row],[sleep_hours]]-Table1[[#This Row],[daily_social_media_hours]]</f>
        <v>1.4000000000000004</v>
      </c>
      <c r="H1180">
        <v>0.5</v>
      </c>
      <c r="I1180">
        <v>3.68</v>
      </c>
      <c r="J1180" t="str" cm="1">
        <f t="array" ref="J1180">_xlfn.IFS(Table1[[#This Row],[academic_performance]]&gt;1,"Need Improvement",Table1[[#This Row],[academic_performance]]&gt;2,"Good",Table1[[#This Row],[academic_performance]]&gt;3,"Very good",Table1[[#This Row],[academic_performance]]&gt;4,"Excellent")</f>
        <v>Need Improvement</v>
      </c>
      <c r="K1180">
        <v>1.7</v>
      </c>
      <c r="L1180" t="str">
        <f>IF(Table1[[#This Row],[physical_activity]]&gt;1.9,"better overall ","lower rate of depression")</f>
        <v>lower rate of depression</v>
      </c>
      <c r="M1180" t="s">
        <v>18</v>
      </c>
      <c r="N1180">
        <v>8</v>
      </c>
      <c r="O1180">
        <v>4</v>
      </c>
      <c r="P1180">
        <v>3</v>
      </c>
      <c r="Q1180">
        <v>0</v>
      </c>
    </row>
    <row r="1181" spans="1:17" x14ac:dyDescent="0.3">
      <c r="A1181">
        <v>16</v>
      </c>
      <c r="B1181" t="s">
        <v>13</v>
      </c>
      <c r="C1181" t="str">
        <f>IF(Table1[[#This Row],[age]]&gt;18,"Adult","Teenage")</f>
        <v>Teenage</v>
      </c>
      <c r="D1181">
        <v>5.3</v>
      </c>
      <c r="E1181" t="s">
        <v>17</v>
      </c>
      <c r="F1181">
        <v>5.3</v>
      </c>
      <c r="G1181">
        <f>Table1[[#This Row],[sleep_hours]]-Table1[[#This Row],[daily_social_media_hours]]</f>
        <v>0</v>
      </c>
      <c r="H1181">
        <v>2.4</v>
      </c>
      <c r="I1181">
        <v>3.01</v>
      </c>
      <c r="J1181" t="str" cm="1">
        <f t="array" ref="J1181">_xlfn.IFS(Table1[[#This Row],[academic_performance]]&gt;1,"Need Improvement",Table1[[#This Row],[academic_performance]]&gt;2,"Good",Table1[[#This Row],[academic_performance]]&gt;3,"Very good",Table1[[#This Row],[academic_performance]]&gt;4,"Excellent")</f>
        <v>Need Improvement</v>
      </c>
      <c r="K1181">
        <v>1.6</v>
      </c>
      <c r="L1181" t="str">
        <f>IF(Table1[[#This Row],[physical_activity]]&gt;1.9,"better overall ","lower rate of depression")</f>
        <v>lower rate of depression</v>
      </c>
      <c r="M1181" t="s">
        <v>19</v>
      </c>
      <c r="N1181">
        <v>2</v>
      </c>
      <c r="O1181">
        <v>9</v>
      </c>
      <c r="P1181">
        <v>1</v>
      </c>
      <c r="Q1181">
        <v>0</v>
      </c>
    </row>
    <row r="1182" spans="1:17" x14ac:dyDescent="0.3">
      <c r="A1182">
        <v>13</v>
      </c>
      <c r="B1182" t="s">
        <v>16</v>
      </c>
      <c r="C1182" t="str">
        <f>IF(Table1[[#This Row],[age]]&gt;18,"Adult","Teenage")</f>
        <v>Teenage</v>
      </c>
      <c r="D1182">
        <v>4.0999999999999996</v>
      </c>
      <c r="E1182" t="s">
        <v>14</v>
      </c>
      <c r="F1182">
        <v>7.5</v>
      </c>
      <c r="G1182">
        <f>Table1[[#This Row],[sleep_hours]]-Table1[[#This Row],[daily_social_media_hours]]</f>
        <v>3.4000000000000004</v>
      </c>
      <c r="H1182">
        <v>1.7</v>
      </c>
      <c r="I1182">
        <v>3.12</v>
      </c>
      <c r="J1182" t="str" cm="1">
        <f t="array" ref="J1182">_xlfn.IFS(Table1[[#This Row],[academic_performance]]&gt;1,"Need Improvement",Table1[[#This Row],[academic_performance]]&gt;2,"Good",Table1[[#This Row],[academic_performance]]&gt;3,"Very good",Table1[[#This Row],[academic_performance]]&gt;4,"Excellent")</f>
        <v>Need Improvement</v>
      </c>
      <c r="K1182">
        <v>2</v>
      </c>
      <c r="L1182" t="str">
        <f>IF(Table1[[#This Row],[physical_activity]]&gt;1.9,"better overall ","lower rate of depression")</f>
        <v xml:space="preserve">better overall </v>
      </c>
      <c r="M1182" t="s">
        <v>19</v>
      </c>
      <c r="N1182">
        <v>1</v>
      </c>
      <c r="O1182">
        <v>4</v>
      </c>
      <c r="P1182">
        <v>9</v>
      </c>
      <c r="Q1182">
        <v>0</v>
      </c>
    </row>
    <row r="1183" spans="1:17" x14ac:dyDescent="0.3">
      <c r="A1183">
        <v>18</v>
      </c>
      <c r="B1183" t="s">
        <v>13</v>
      </c>
      <c r="C1183" t="str">
        <f>IF(Table1[[#This Row],[age]]&gt;18,"Adult","Teenage")</f>
        <v>Teenage</v>
      </c>
      <c r="D1183">
        <v>4.0999999999999996</v>
      </c>
      <c r="E1183" t="s">
        <v>14</v>
      </c>
      <c r="F1183">
        <v>6.7</v>
      </c>
      <c r="G1183">
        <f>Table1[[#This Row],[sleep_hours]]-Table1[[#This Row],[daily_social_media_hours]]</f>
        <v>2.6000000000000005</v>
      </c>
      <c r="H1183">
        <v>2.1</v>
      </c>
      <c r="I1183">
        <v>2.5</v>
      </c>
      <c r="J1183" t="str" cm="1">
        <f t="array" ref="J1183">_xlfn.IFS(Table1[[#This Row],[academic_performance]]&gt;1,"Need Improvement",Table1[[#This Row],[academic_performance]]&gt;2,"Good",Table1[[#This Row],[academic_performance]]&gt;3,"Very good",Table1[[#This Row],[academic_performance]]&gt;4,"Excellent")</f>
        <v>Need Improvement</v>
      </c>
      <c r="K1183">
        <v>0.1</v>
      </c>
      <c r="L1183" t="str">
        <f>IF(Table1[[#This Row],[physical_activity]]&gt;1.9,"better overall ","lower rate of depression")</f>
        <v>lower rate of depression</v>
      </c>
      <c r="M1183" t="s">
        <v>19</v>
      </c>
      <c r="N1183">
        <v>8</v>
      </c>
      <c r="O1183">
        <v>1</v>
      </c>
      <c r="P1183">
        <v>5</v>
      </c>
      <c r="Q1183">
        <v>0</v>
      </c>
    </row>
    <row r="1184" spans="1:17" x14ac:dyDescent="0.3">
      <c r="A1184">
        <v>15</v>
      </c>
      <c r="B1184" t="s">
        <v>13</v>
      </c>
      <c r="C1184" t="str">
        <f>IF(Table1[[#This Row],[age]]&gt;18,"Adult","Teenage")</f>
        <v>Teenage</v>
      </c>
      <c r="D1184">
        <v>6.3</v>
      </c>
      <c r="E1184" t="s">
        <v>17</v>
      </c>
      <c r="F1184">
        <v>6.8</v>
      </c>
      <c r="G1184">
        <f>Table1[[#This Row],[sleep_hours]]-Table1[[#This Row],[daily_social_media_hours]]</f>
        <v>0.5</v>
      </c>
      <c r="H1184">
        <v>1.8</v>
      </c>
      <c r="I1184">
        <v>2.59</v>
      </c>
      <c r="J1184" t="str" cm="1">
        <f t="array" ref="J1184">_xlfn.IFS(Table1[[#This Row],[academic_performance]]&gt;1,"Need Improvement",Table1[[#This Row],[academic_performance]]&gt;2,"Good",Table1[[#This Row],[academic_performance]]&gt;3,"Very good",Table1[[#This Row],[academic_performance]]&gt;4,"Excellent")</f>
        <v>Need Improvement</v>
      </c>
      <c r="K1184">
        <v>1.9</v>
      </c>
      <c r="L1184" t="str">
        <f>IF(Table1[[#This Row],[physical_activity]]&gt;1.9,"better overall ","lower rate of depression")</f>
        <v>lower rate of depression</v>
      </c>
      <c r="M1184" t="s">
        <v>18</v>
      </c>
      <c r="N1184">
        <v>10</v>
      </c>
      <c r="O1184">
        <v>5</v>
      </c>
      <c r="P1184">
        <v>5</v>
      </c>
      <c r="Q1184">
        <v>0</v>
      </c>
    </row>
    <row r="1185" spans="1:17" x14ac:dyDescent="0.3">
      <c r="A1185">
        <v>19</v>
      </c>
      <c r="B1185" t="s">
        <v>16</v>
      </c>
      <c r="C1185" t="str">
        <f>IF(Table1[[#This Row],[age]]&gt;18,"Adult","Teenage")</f>
        <v>Adult</v>
      </c>
      <c r="D1185">
        <v>6.6</v>
      </c>
      <c r="E1185" t="s">
        <v>20</v>
      </c>
      <c r="F1185">
        <v>9</v>
      </c>
      <c r="G1185">
        <f>Table1[[#This Row],[sleep_hours]]-Table1[[#This Row],[daily_social_media_hours]]</f>
        <v>2.4000000000000004</v>
      </c>
      <c r="H1185">
        <v>2.9</v>
      </c>
      <c r="I1185">
        <v>2.4700000000000002</v>
      </c>
      <c r="J1185" t="str" cm="1">
        <f t="array" ref="J1185">_xlfn.IFS(Table1[[#This Row],[academic_performance]]&gt;1,"Need Improvement",Table1[[#This Row],[academic_performance]]&gt;2,"Good",Table1[[#This Row],[academic_performance]]&gt;3,"Very good",Table1[[#This Row],[academic_performance]]&gt;4,"Excellent")</f>
        <v>Need Improvement</v>
      </c>
      <c r="K1185">
        <v>1.7</v>
      </c>
      <c r="L1185" t="str">
        <f>IF(Table1[[#This Row],[physical_activity]]&gt;1.9,"better overall ","lower rate of depression")</f>
        <v>lower rate of depression</v>
      </c>
      <c r="M1185" t="s">
        <v>19</v>
      </c>
      <c r="N1185">
        <v>3</v>
      </c>
      <c r="O1185">
        <v>7</v>
      </c>
      <c r="P1185">
        <v>9</v>
      </c>
      <c r="Q1185">
        <v>0</v>
      </c>
    </row>
    <row r="1186" spans="1:17" x14ac:dyDescent="0.3">
      <c r="A1186">
        <v>19</v>
      </c>
      <c r="B1186" t="s">
        <v>13</v>
      </c>
      <c r="C1186" t="str">
        <f>IF(Table1[[#This Row],[age]]&gt;18,"Adult","Teenage")</f>
        <v>Adult</v>
      </c>
      <c r="D1186">
        <v>1.4</v>
      </c>
      <c r="E1186" t="s">
        <v>20</v>
      </c>
      <c r="F1186">
        <v>4.5</v>
      </c>
      <c r="G1186">
        <f>Table1[[#This Row],[sleep_hours]]-Table1[[#This Row],[daily_social_media_hours]]</f>
        <v>3.1</v>
      </c>
      <c r="H1186">
        <v>2.2999999999999998</v>
      </c>
      <c r="I1186">
        <v>3.9</v>
      </c>
      <c r="J1186" t="str" cm="1">
        <f t="array" ref="J1186">_xlfn.IFS(Table1[[#This Row],[academic_performance]]&gt;1,"Need Improvement",Table1[[#This Row],[academic_performance]]&gt;2,"Good",Table1[[#This Row],[academic_performance]]&gt;3,"Very good",Table1[[#This Row],[academic_performance]]&gt;4,"Excellent")</f>
        <v>Need Improvement</v>
      </c>
      <c r="K1186">
        <v>0</v>
      </c>
      <c r="L1186" t="str">
        <f>IF(Table1[[#This Row],[physical_activity]]&gt;1.9,"better overall ","lower rate of depression")</f>
        <v>lower rate of depression</v>
      </c>
      <c r="M1186" t="s">
        <v>19</v>
      </c>
      <c r="N1186">
        <v>2</v>
      </c>
      <c r="O1186">
        <v>8</v>
      </c>
      <c r="P1186">
        <v>10</v>
      </c>
      <c r="Q1186">
        <v>0</v>
      </c>
    </row>
    <row r="1187" spans="1:17" x14ac:dyDescent="0.3">
      <c r="A1187">
        <v>19</v>
      </c>
      <c r="B1187" t="s">
        <v>13</v>
      </c>
      <c r="C1187" t="str">
        <f>IF(Table1[[#This Row],[age]]&gt;18,"Adult","Teenage")</f>
        <v>Adult</v>
      </c>
      <c r="D1187">
        <v>2.4</v>
      </c>
      <c r="E1187" t="s">
        <v>17</v>
      </c>
      <c r="F1187">
        <v>9</v>
      </c>
      <c r="G1187">
        <f>Table1[[#This Row],[sleep_hours]]-Table1[[#This Row],[daily_social_media_hours]]</f>
        <v>6.6</v>
      </c>
      <c r="H1187">
        <v>2.4</v>
      </c>
      <c r="I1187">
        <v>3.13</v>
      </c>
      <c r="J1187" t="str" cm="1">
        <f t="array" ref="J1187">_xlfn.IFS(Table1[[#This Row],[academic_performance]]&gt;1,"Need Improvement",Table1[[#This Row],[academic_performance]]&gt;2,"Good",Table1[[#This Row],[academic_performance]]&gt;3,"Very good",Table1[[#This Row],[academic_performance]]&gt;4,"Excellent")</f>
        <v>Need Improvement</v>
      </c>
      <c r="K1187">
        <v>0.5</v>
      </c>
      <c r="L1187" t="str">
        <f>IF(Table1[[#This Row],[physical_activity]]&gt;1.9,"better overall ","lower rate of depression")</f>
        <v>lower rate of depression</v>
      </c>
      <c r="M1187" t="s">
        <v>18</v>
      </c>
      <c r="N1187">
        <v>5</v>
      </c>
      <c r="O1187">
        <v>3</v>
      </c>
      <c r="P1187">
        <v>3</v>
      </c>
      <c r="Q1187">
        <v>0</v>
      </c>
    </row>
    <row r="1188" spans="1:17" x14ac:dyDescent="0.3">
      <c r="A1188">
        <v>18</v>
      </c>
      <c r="B1188" t="s">
        <v>13</v>
      </c>
      <c r="C1188" t="str">
        <f>IF(Table1[[#This Row],[age]]&gt;18,"Adult","Teenage")</f>
        <v>Teenage</v>
      </c>
      <c r="D1188">
        <v>1.6</v>
      </c>
      <c r="E1188" t="s">
        <v>20</v>
      </c>
      <c r="F1188">
        <v>5.4</v>
      </c>
      <c r="G1188">
        <f>Table1[[#This Row],[sleep_hours]]-Table1[[#This Row],[daily_social_media_hours]]</f>
        <v>3.8000000000000003</v>
      </c>
      <c r="H1188">
        <v>2</v>
      </c>
      <c r="I1188">
        <v>3.2</v>
      </c>
      <c r="J1188" t="str" cm="1">
        <f t="array" ref="J1188">_xlfn.IFS(Table1[[#This Row],[academic_performance]]&gt;1,"Need Improvement",Table1[[#This Row],[academic_performance]]&gt;2,"Good",Table1[[#This Row],[academic_performance]]&gt;3,"Very good",Table1[[#This Row],[academic_performance]]&gt;4,"Excellent")</f>
        <v>Need Improvement</v>
      </c>
      <c r="K1188">
        <v>1.8</v>
      </c>
      <c r="L1188" t="str">
        <f>IF(Table1[[#This Row],[physical_activity]]&gt;1.9,"better overall ","lower rate of depression")</f>
        <v>lower rate of depression</v>
      </c>
      <c r="M1188" t="s">
        <v>15</v>
      </c>
      <c r="N1188">
        <v>8</v>
      </c>
      <c r="O1188">
        <v>8</v>
      </c>
      <c r="P1188">
        <v>3</v>
      </c>
      <c r="Q1188">
        <v>0</v>
      </c>
    </row>
    <row r="1189" spans="1:17" x14ac:dyDescent="0.3">
      <c r="A1189">
        <v>18</v>
      </c>
      <c r="B1189" t="s">
        <v>13</v>
      </c>
      <c r="C1189" t="str">
        <f>IF(Table1[[#This Row],[age]]&gt;18,"Adult","Teenage")</f>
        <v>Teenage</v>
      </c>
      <c r="D1189">
        <v>2</v>
      </c>
      <c r="E1189" t="s">
        <v>14</v>
      </c>
      <c r="F1189">
        <v>8.9</v>
      </c>
      <c r="G1189">
        <f>Table1[[#This Row],[sleep_hours]]-Table1[[#This Row],[daily_social_media_hours]]</f>
        <v>6.9</v>
      </c>
      <c r="H1189">
        <v>0.8</v>
      </c>
      <c r="I1189">
        <v>2.96</v>
      </c>
      <c r="J1189" t="str" cm="1">
        <f t="array" ref="J1189">_xlfn.IFS(Table1[[#This Row],[academic_performance]]&gt;1,"Need Improvement",Table1[[#This Row],[academic_performance]]&gt;2,"Good",Table1[[#This Row],[academic_performance]]&gt;3,"Very good",Table1[[#This Row],[academic_performance]]&gt;4,"Excellent")</f>
        <v>Need Improvement</v>
      </c>
      <c r="K1189">
        <v>0.5</v>
      </c>
      <c r="L1189" t="str">
        <f>IF(Table1[[#This Row],[physical_activity]]&gt;1.9,"better overall ","lower rate of depression")</f>
        <v>lower rate of depression</v>
      </c>
      <c r="M1189" t="s">
        <v>19</v>
      </c>
      <c r="N1189">
        <v>6</v>
      </c>
      <c r="O1189">
        <v>2</v>
      </c>
      <c r="P1189">
        <v>2</v>
      </c>
      <c r="Q1189">
        <v>0</v>
      </c>
    </row>
    <row r="1190" spans="1:17" x14ac:dyDescent="0.3">
      <c r="A1190">
        <v>17</v>
      </c>
      <c r="B1190" t="s">
        <v>16</v>
      </c>
      <c r="C1190" t="str">
        <f>IF(Table1[[#This Row],[age]]&gt;18,"Adult","Teenage")</f>
        <v>Teenage</v>
      </c>
      <c r="D1190">
        <v>7.4</v>
      </c>
      <c r="E1190" t="s">
        <v>14</v>
      </c>
      <c r="F1190">
        <v>7.4</v>
      </c>
      <c r="G1190">
        <f>Table1[[#This Row],[sleep_hours]]-Table1[[#This Row],[daily_social_media_hours]]</f>
        <v>0</v>
      </c>
      <c r="H1190">
        <v>2</v>
      </c>
      <c r="I1190">
        <v>3.76</v>
      </c>
      <c r="J1190" t="str" cm="1">
        <f t="array" ref="J1190">_xlfn.IFS(Table1[[#This Row],[academic_performance]]&gt;1,"Need Improvement",Table1[[#This Row],[academic_performance]]&gt;2,"Good",Table1[[#This Row],[academic_performance]]&gt;3,"Very good",Table1[[#This Row],[academic_performance]]&gt;4,"Excellent")</f>
        <v>Need Improvement</v>
      </c>
      <c r="K1190">
        <v>1.7</v>
      </c>
      <c r="L1190" t="str">
        <f>IF(Table1[[#This Row],[physical_activity]]&gt;1.9,"better overall ","lower rate of depression")</f>
        <v>lower rate of depression</v>
      </c>
      <c r="M1190" t="s">
        <v>18</v>
      </c>
      <c r="N1190">
        <v>10</v>
      </c>
      <c r="O1190">
        <v>1</v>
      </c>
      <c r="P1190">
        <v>4</v>
      </c>
      <c r="Q1190">
        <v>0</v>
      </c>
    </row>
    <row r="1191" spans="1:17" x14ac:dyDescent="0.3">
      <c r="A1191">
        <v>14</v>
      </c>
      <c r="B1191" t="s">
        <v>16</v>
      </c>
      <c r="C1191" t="str">
        <f>IF(Table1[[#This Row],[age]]&gt;18,"Adult","Teenage")</f>
        <v>Teenage</v>
      </c>
      <c r="D1191">
        <v>1.6</v>
      </c>
      <c r="E1191" t="s">
        <v>17</v>
      </c>
      <c r="F1191">
        <v>4.8</v>
      </c>
      <c r="G1191">
        <f>Table1[[#This Row],[sleep_hours]]-Table1[[#This Row],[daily_social_media_hours]]</f>
        <v>3.1999999999999997</v>
      </c>
      <c r="H1191">
        <v>2.4</v>
      </c>
      <c r="I1191">
        <v>2.97</v>
      </c>
      <c r="J1191" t="str" cm="1">
        <f t="array" ref="J1191">_xlfn.IFS(Table1[[#This Row],[academic_performance]]&gt;1,"Need Improvement",Table1[[#This Row],[academic_performance]]&gt;2,"Good",Table1[[#This Row],[academic_performance]]&gt;3,"Very good",Table1[[#This Row],[academic_performance]]&gt;4,"Excellent")</f>
        <v>Need Improvement</v>
      </c>
      <c r="K1191">
        <v>1.9</v>
      </c>
      <c r="L1191" t="str">
        <f>IF(Table1[[#This Row],[physical_activity]]&gt;1.9,"better overall ","lower rate of depression")</f>
        <v>lower rate of depression</v>
      </c>
      <c r="M1191" t="s">
        <v>15</v>
      </c>
      <c r="N1191">
        <v>9</v>
      </c>
      <c r="O1191">
        <v>9</v>
      </c>
      <c r="P1191">
        <v>10</v>
      </c>
      <c r="Q1191">
        <v>0</v>
      </c>
    </row>
    <row r="1192" spans="1:17" x14ac:dyDescent="0.3">
      <c r="A1192">
        <v>17</v>
      </c>
      <c r="B1192" t="s">
        <v>16</v>
      </c>
      <c r="C1192" t="str">
        <f>IF(Table1[[#This Row],[age]]&gt;18,"Adult","Teenage")</f>
        <v>Teenage</v>
      </c>
      <c r="D1192">
        <v>3.8</v>
      </c>
      <c r="E1192" t="s">
        <v>14</v>
      </c>
      <c r="F1192">
        <v>8.4</v>
      </c>
      <c r="G1192">
        <f>Table1[[#This Row],[sleep_hours]]-Table1[[#This Row],[daily_social_media_hours]]</f>
        <v>4.6000000000000005</v>
      </c>
      <c r="H1192">
        <v>0.9</v>
      </c>
      <c r="I1192">
        <v>3.6</v>
      </c>
      <c r="J1192" t="str" cm="1">
        <f t="array" ref="J1192">_xlfn.IFS(Table1[[#This Row],[academic_performance]]&gt;1,"Need Improvement",Table1[[#This Row],[academic_performance]]&gt;2,"Good",Table1[[#This Row],[academic_performance]]&gt;3,"Very good",Table1[[#This Row],[academic_performance]]&gt;4,"Excellent")</f>
        <v>Need Improvement</v>
      </c>
      <c r="K1192">
        <v>1.9</v>
      </c>
      <c r="L1192" t="str">
        <f>IF(Table1[[#This Row],[physical_activity]]&gt;1.9,"better overall ","lower rate of depression")</f>
        <v>lower rate of depression</v>
      </c>
      <c r="M1192" t="s">
        <v>18</v>
      </c>
      <c r="N1192">
        <v>1</v>
      </c>
      <c r="O1192">
        <v>2</v>
      </c>
      <c r="P1192">
        <v>2</v>
      </c>
      <c r="Q1192">
        <v>0</v>
      </c>
    </row>
    <row r="1193" spans="1:17" x14ac:dyDescent="0.3">
      <c r="A1193">
        <v>19</v>
      </c>
      <c r="B1193" t="s">
        <v>13</v>
      </c>
      <c r="C1193" t="str">
        <f>IF(Table1[[#This Row],[age]]&gt;18,"Adult","Teenage")</f>
        <v>Adult</v>
      </c>
      <c r="D1193">
        <v>8</v>
      </c>
      <c r="E1193" t="s">
        <v>17</v>
      </c>
      <c r="F1193">
        <v>4.7</v>
      </c>
      <c r="G1193">
        <f>Table1[[#This Row],[sleep_hours]]-Table1[[#This Row],[daily_social_media_hours]]</f>
        <v>-3.3</v>
      </c>
      <c r="H1193">
        <v>0.5</v>
      </c>
      <c r="I1193">
        <v>2.1800000000000002</v>
      </c>
      <c r="J1193" t="str" cm="1">
        <f t="array" ref="J1193">_xlfn.IFS(Table1[[#This Row],[academic_performance]]&gt;1,"Need Improvement",Table1[[#This Row],[academic_performance]]&gt;2,"Good",Table1[[#This Row],[academic_performance]]&gt;3,"Very good",Table1[[#This Row],[academic_performance]]&gt;4,"Excellent")</f>
        <v>Need Improvement</v>
      </c>
      <c r="K1193">
        <v>0.6</v>
      </c>
      <c r="L1193" t="str">
        <f>IF(Table1[[#This Row],[physical_activity]]&gt;1.9,"better overall ","lower rate of depression")</f>
        <v>lower rate of depression</v>
      </c>
      <c r="M1193" t="s">
        <v>19</v>
      </c>
      <c r="N1193">
        <v>8</v>
      </c>
      <c r="O1193">
        <v>8</v>
      </c>
      <c r="P1193">
        <v>6</v>
      </c>
      <c r="Q1193">
        <v>1</v>
      </c>
    </row>
    <row r="1194" spans="1:17" x14ac:dyDescent="0.3">
      <c r="A1194">
        <v>13</v>
      </c>
      <c r="B1194" t="s">
        <v>13</v>
      </c>
      <c r="C1194" t="str">
        <f>IF(Table1[[#This Row],[age]]&gt;18,"Adult","Teenage")</f>
        <v>Teenage</v>
      </c>
      <c r="D1194">
        <v>7.8</v>
      </c>
      <c r="E1194" t="s">
        <v>17</v>
      </c>
      <c r="F1194">
        <v>5.9</v>
      </c>
      <c r="G1194">
        <f>Table1[[#This Row],[sleep_hours]]-Table1[[#This Row],[daily_social_media_hours]]</f>
        <v>-1.8999999999999995</v>
      </c>
      <c r="H1194">
        <v>1.5</v>
      </c>
      <c r="I1194">
        <v>3.31</v>
      </c>
      <c r="J1194" t="str" cm="1">
        <f t="array" ref="J1194">_xlfn.IFS(Table1[[#This Row],[academic_performance]]&gt;1,"Need Improvement",Table1[[#This Row],[academic_performance]]&gt;2,"Good",Table1[[#This Row],[academic_performance]]&gt;3,"Very good",Table1[[#This Row],[academic_performance]]&gt;4,"Excellent")</f>
        <v>Need Improvement</v>
      </c>
      <c r="K1194">
        <v>1.9</v>
      </c>
      <c r="L1194" t="str">
        <f>IF(Table1[[#This Row],[physical_activity]]&gt;1.9,"better overall ","lower rate of depression")</f>
        <v>lower rate of depression</v>
      </c>
      <c r="M1194" t="s">
        <v>18</v>
      </c>
      <c r="N1194">
        <v>10</v>
      </c>
      <c r="O1194">
        <v>1</v>
      </c>
      <c r="P1194">
        <v>10</v>
      </c>
      <c r="Q1194">
        <v>0</v>
      </c>
    </row>
    <row r="1195" spans="1:17" x14ac:dyDescent="0.3">
      <c r="A1195">
        <v>13</v>
      </c>
      <c r="B1195" t="s">
        <v>16</v>
      </c>
      <c r="C1195" t="str">
        <f>IF(Table1[[#This Row],[age]]&gt;18,"Adult","Teenage")</f>
        <v>Teenage</v>
      </c>
      <c r="D1195">
        <v>7.2</v>
      </c>
      <c r="E1195" t="s">
        <v>14</v>
      </c>
      <c r="F1195">
        <v>8.1</v>
      </c>
      <c r="G1195">
        <f>Table1[[#This Row],[sleep_hours]]-Table1[[#This Row],[daily_social_media_hours]]</f>
        <v>0.89999999999999947</v>
      </c>
      <c r="H1195">
        <v>2.1</v>
      </c>
      <c r="I1195">
        <v>2.52</v>
      </c>
      <c r="J1195" t="str" cm="1">
        <f t="array" ref="J1195">_xlfn.IFS(Table1[[#This Row],[academic_performance]]&gt;1,"Need Improvement",Table1[[#This Row],[academic_performance]]&gt;2,"Good",Table1[[#This Row],[academic_performance]]&gt;3,"Very good",Table1[[#This Row],[academic_performance]]&gt;4,"Excellent")</f>
        <v>Need Improvement</v>
      </c>
      <c r="K1195">
        <v>0.4</v>
      </c>
      <c r="L1195" t="str">
        <f>IF(Table1[[#This Row],[physical_activity]]&gt;1.9,"better overall ","lower rate of depression")</f>
        <v>lower rate of depression</v>
      </c>
      <c r="M1195" t="s">
        <v>19</v>
      </c>
      <c r="N1195">
        <v>3</v>
      </c>
      <c r="O1195">
        <v>3</v>
      </c>
      <c r="P1195">
        <v>7</v>
      </c>
      <c r="Q1195">
        <v>0</v>
      </c>
    </row>
    <row r="1196" spans="1:17" x14ac:dyDescent="0.3">
      <c r="A1196">
        <v>17</v>
      </c>
      <c r="B1196" t="s">
        <v>13</v>
      </c>
      <c r="C1196" t="str">
        <f>IF(Table1[[#This Row],[age]]&gt;18,"Adult","Teenage")</f>
        <v>Teenage</v>
      </c>
      <c r="D1196">
        <v>2</v>
      </c>
      <c r="E1196" t="s">
        <v>20</v>
      </c>
      <c r="F1196">
        <v>4.5</v>
      </c>
      <c r="G1196">
        <f>Table1[[#This Row],[sleep_hours]]-Table1[[#This Row],[daily_social_media_hours]]</f>
        <v>2.5</v>
      </c>
      <c r="H1196">
        <v>1.7</v>
      </c>
      <c r="I1196">
        <v>2.65</v>
      </c>
      <c r="J1196" t="str" cm="1">
        <f t="array" ref="J1196">_xlfn.IFS(Table1[[#This Row],[academic_performance]]&gt;1,"Need Improvement",Table1[[#This Row],[academic_performance]]&gt;2,"Good",Table1[[#This Row],[academic_performance]]&gt;3,"Very good",Table1[[#This Row],[academic_performance]]&gt;4,"Excellent")</f>
        <v>Need Improvement</v>
      </c>
      <c r="K1196">
        <v>0</v>
      </c>
      <c r="L1196" t="str">
        <f>IF(Table1[[#This Row],[physical_activity]]&gt;1.9,"better overall ","lower rate of depression")</f>
        <v>lower rate of depression</v>
      </c>
      <c r="M1196" t="s">
        <v>19</v>
      </c>
      <c r="N1196">
        <v>9</v>
      </c>
      <c r="O1196">
        <v>4</v>
      </c>
      <c r="P1196">
        <v>2</v>
      </c>
      <c r="Q1196">
        <v>0</v>
      </c>
    </row>
    <row r="1197" spans="1:17" x14ac:dyDescent="0.3">
      <c r="A1197">
        <v>18</v>
      </c>
      <c r="B1197" t="s">
        <v>16</v>
      </c>
      <c r="C1197" t="str">
        <f>IF(Table1[[#This Row],[age]]&gt;18,"Adult","Teenage")</f>
        <v>Teenage</v>
      </c>
      <c r="D1197">
        <v>6.8</v>
      </c>
      <c r="E1197" t="s">
        <v>14</v>
      </c>
      <c r="F1197">
        <v>6.6</v>
      </c>
      <c r="G1197">
        <f>Table1[[#This Row],[sleep_hours]]-Table1[[#This Row],[daily_social_media_hours]]</f>
        <v>-0.20000000000000018</v>
      </c>
      <c r="H1197">
        <v>2</v>
      </c>
      <c r="I1197">
        <v>2.76</v>
      </c>
      <c r="J1197" t="str" cm="1">
        <f t="array" ref="J1197">_xlfn.IFS(Table1[[#This Row],[academic_performance]]&gt;1,"Need Improvement",Table1[[#This Row],[academic_performance]]&gt;2,"Good",Table1[[#This Row],[academic_performance]]&gt;3,"Very good",Table1[[#This Row],[academic_performance]]&gt;4,"Excellent")</f>
        <v>Need Improvement</v>
      </c>
      <c r="K1197">
        <v>1</v>
      </c>
      <c r="L1197" t="str">
        <f>IF(Table1[[#This Row],[physical_activity]]&gt;1.9,"better overall ","lower rate of depression")</f>
        <v>lower rate of depression</v>
      </c>
      <c r="M1197" t="s">
        <v>15</v>
      </c>
      <c r="N1197">
        <v>3</v>
      </c>
      <c r="O1197">
        <v>4</v>
      </c>
      <c r="P1197">
        <v>4</v>
      </c>
      <c r="Q1197">
        <v>0</v>
      </c>
    </row>
    <row r="1198" spans="1:17" x14ac:dyDescent="0.3">
      <c r="A1198">
        <v>16</v>
      </c>
      <c r="B1198" t="s">
        <v>13</v>
      </c>
      <c r="C1198" t="str">
        <f>IF(Table1[[#This Row],[age]]&gt;18,"Adult","Teenage")</f>
        <v>Teenage</v>
      </c>
      <c r="D1198">
        <v>2.2999999999999998</v>
      </c>
      <c r="E1198" t="s">
        <v>20</v>
      </c>
      <c r="F1198">
        <v>8</v>
      </c>
      <c r="G1198">
        <f>Table1[[#This Row],[sleep_hours]]-Table1[[#This Row],[daily_social_media_hours]]</f>
        <v>5.7</v>
      </c>
      <c r="H1198">
        <v>1.9</v>
      </c>
      <c r="I1198">
        <v>2.12</v>
      </c>
      <c r="J1198" t="str" cm="1">
        <f t="array" ref="J1198">_xlfn.IFS(Table1[[#This Row],[academic_performance]]&gt;1,"Need Improvement",Table1[[#This Row],[academic_performance]]&gt;2,"Good",Table1[[#This Row],[academic_performance]]&gt;3,"Very good",Table1[[#This Row],[academic_performance]]&gt;4,"Excellent")</f>
        <v>Need Improvement</v>
      </c>
      <c r="K1198">
        <v>0.4</v>
      </c>
      <c r="L1198" t="str">
        <f>IF(Table1[[#This Row],[physical_activity]]&gt;1.9,"better overall ","lower rate of depression")</f>
        <v>lower rate of depression</v>
      </c>
      <c r="M1198" t="s">
        <v>18</v>
      </c>
      <c r="N1198">
        <v>7</v>
      </c>
      <c r="O1198">
        <v>4</v>
      </c>
      <c r="P1198">
        <v>4</v>
      </c>
      <c r="Q1198">
        <v>0</v>
      </c>
    </row>
    <row r="1199" spans="1:17" x14ac:dyDescent="0.3">
      <c r="A1199">
        <v>14</v>
      </c>
      <c r="B1199" t="s">
        <v>16</v>
      </c>
      <c r="C1199" t="str">
        <f>IF(Table1[[#This Row],[age]]&gt;18,"Adult","Teenage")</f>
        <v>Teenage</v>
      </c>
      <c r="D1199">
        <v>1.7</v>
      </c>
      <c r="E1199" t="s">
        <v>20</v>
      </c>
      <c r="F1199">
        <v>8.6999999999999993</v>
      </c>
      <c r="G1199">
        <f>Table1[[#This Row],[sleep_hours]]-Table1[[#This Row],[daily_social_media_hours]]</f>
        <v>6.9999999999999991</v>
      </c>
      <c r="H1199">
        <v>0.7</v>
      </c>
      <c r="I1199">
        <v>3.98</v>
      </c>
      <c r="J1199" t="str" cm="1">
        <f t="array" ref="J1199">_xlfn.IFS(Table1[[#This Row],[academic_performance]]&gt;1,"Need Improvement",Table1[[#This Row],[academic_performance]]&gt;2,"Good",Table1[[#This Row],[academic_performance]]&gt;3,"Very good",Table1[[#This Row],[academic_performance]]&gt;4,"Excellent")</f>
        <v>Need Improvement</v>
      </c>
      <c r="K1199">
        <v>0.8</v>
      </c>
      <c r="L1199" t="str">
        <f>IF(Table1[[#This Row],[physical_activity]]&gt;1.9,"better overall ","lower rate of depression")</f>
        <v>lower rate of depression</v>
      </c>
      <c r="M1199" t="s">
        <v>18</v>
      </c>
      <c r="N1199">
        <v>1</v>
      </c>
      <c r="O1199">
        <v>1</v>
      </c>
      <c r="P1199">
        <v>1</v>
      </c>
      <c r="Q1199">
        <v>0</v>
      </c>
    </row>
    <row r="1200" spans="1:17" x14ac:dyDescent="0.3">
      <c r="A1200">
        <v>15</v>
      </c>
      <c r="B1200" t="s">
        <v>13</v>
      </c>
      <c r="C1200" t="str">
        <f>IF(Table1[[#This Row],[age]]&gt;18,"Adult","Teenage")</f>
        <v>Teenage</v>
      </c>
      <c r="D1200">
        <v>3.9</v>
      </c>
      <c r="E1200" t="s">
        <v>20</v>
      </c>
      <c r="F1200">
        <v>8.5</v>
      </c>
      <c r="G1200">
        <f>Table1[[#This Row],[sleep_hours]]-Table1[[#This Row],[daily_social_media_hours]]</f>
        <v>4.5999999999999996</v>
      </c>
      <c r="H1200">
        <v>2.1</v>
      </c>
      <c r="I1200">
        <v>3.19</v>
      </c>
      <c r="J1200" t="str" cm="1">
        <f t="array" ref="J1200">_xlfn.IFS(Table1[[#This Row],[academic_performance]]&gt;1,"Need Improvement",Table1[[#This Row],[academic_performance]]&gt;2,"Good",Table1[[#This Row],[academic_performance]]&gt;3,"Very good",Table1[[#This Row],[academic_performance]]&gt;4,"Excellent")</f>
        <v>Need Improvement</v>
      </c>
      <c r="K1200">
        <v>0.6</v>
      </c>
      <c r="L1200" t="str">
        <f>IF(Table1[[#This Row],[physical_activity]]&gt;1.9,"better overall ","lower rate of depression")</f>
        <v>lower rate of depression</v>
      </c>
      <c r="M1200" t="s">
        <v>18</v>
      </c>
      <c r="N1200">
        <v>7</v>
      </c>
      <c r="O1200">
        <v>9</v>
      </c>
      <c r="P1200">
        <v>9</v>
      </c>
      <c r="Q1200">
        <v>0</v>
      </c>
    </row>
    <row r="1201" spans="1:17" x14ac:dyDescent="0.3">
      <c r="A1201">
        <v>16</v>
      </c>
      <c r="B1201" t="s">
        <v>16</v>
      </c>
      <c r="C1201" t="str">
        <f>IF(Table1[[#This Row],[age]]&gt;18,"Adult","Teenage")</f>
        <v>Teenage</v>
      </c>
      <c r="D1201">
        <v>4.7</v>
      </c>
      <c r="E1201" t="s">
        <v>17</v>
      </c>
      <c r="F1201">
        <v>6.5</v>
      </c>
      <c r="G1201">
        <f>Table1[[#This Row],[sleep_hours]]-Table1[[#This Row],[daily_social_media_hours]]</f>
        <v>1.7999999999999998</v>
      </c>
      <c r="H1201">
        <v>1</v>
      </c>
      <c r="I1201">
        <v>2.91</v>
      </c>
      <c r="J1201" t="str" cm="1">
        <f t="array" ref="J1201">_xlfn.IFS(Table1[[#This Row],[academic_performance]]&gt;1,"Need Improvement",Table1[[#This Row],[academic_performance]]&gt;2,"Good",Table1[[#This Row],[academic_performance]]&gt;3,"Very good",Table1[[#This Row],[academic_performance]]&gt;4,"Excellent")</f>
        <v>Need Improvement</v>
      </c>
      <c r="K1201">
        <v>0.9</v>
      </c>
      <c r="L1201" t="str">
        <f>IF(Table1[[#This Row],[physical_activity]]&gt;1.9,"better overall ","lower rate of depression")</f>
        <v>lower rate of depression</v>
      </c>
      <c r="M1201" t="s">
        <v>19</v>
      </c>
      <c r="N1201">
        <v>5</v>
      </c>
      <c r="O1201">
        <v>7</v>
      </c>
      <c r="P1201">
        <v>3</v>
      </c>
      <c r="Q12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87544-DF7B-49DC-AD04-D548EDFD5B60}">
  <dimension ref="A2:J34"/>
  <sheetViews>
    <sheetView topLeftCell="F3" workbookViewId="0">
      <selection activeCell="J16" sqref="J16"/>
    </sheetView>
  </sheetViews>
  <sheetFormatPr defaultRowHeight="14.4" x14ac:dyDescent="0.3"/>
  <cols>
    <col min="1" max="1" width="13.109375" bestFit="1" customWidth="1"/>
    <col min="2" max="2" width="22.33203125" bestFit="1" customWidth="1"/>
    <col min="3" max="3" width="18.6640625" bestFit="1" customWidth="1"/>
    <col min="4" max="4" width="12.5546875" bestFit="1" customWidth="1"/>
    <col min="5" max="5" width="19.109375" bestFit="1" customWidth="1"/>
    <col min="6" max="6" width="12.5546875" bestFit="1" customWidth="1"/>
    <col min="7" max="7" width="27.77734375" bestFit="1" customWidth="1"/>
    <col min="8" max="8" width="21" bestFit="1" customWidth="1"/>
    <col min="9" max="9" width="10.77734375" bestFit="1" customWidth="1"/>
    <col min="10" max="10" width="21.88671875" bestFit="1" customWidth="1"/>
  </cols>
  <sheetData>
    <row r="2" spans="1:10" ht="15.6" x14ac:dyDescent="0.3">
      <c r="A2" s="3" t="s">
        <v>38</v>
      </c>
      <c r="E2" s="3" t="s">
        <v>37</v>
      </c>
    </row>
    <row r="3" spans="1:10" x14ac:dyDescent="0.3">
      <c r="A3" s="1" t="s">
        <v>23</v>
      </c>
      <c r="B3" t="s">
        <v>30</v>
      </c>
      <c r="C3" t="s">
        <v>29</v>
      </c>
      <c r="E3" s="1" t="s">
        <v>23</v>
      </c>
      <c r="F3" t="s">
        <v>36</v>
      </c>
      <c r="H3" t="s">
        <v>44</v>
      </c>
    </row>
    <row r="4" spans="1:10" x14ac:dyDescent="0.3">
      <c r="A4" s="2" t="s">
        <v>27</v>
      </c>
      <c r="B4">
        <v>162</v>
      </c>
      <c r="C4">
        <v>162</v>
      </c>
      <c r="E4" s="2" t="s">
        <v>27</v>
      </c>
      <c r="F4">
        <v>162</v>
      </c>
      <c r="H4">
        <v>1200</v>
      </c>
    </row>
    <row r="5" spans="1:10" x14ac:dyDescent="0.3">
      <c r="A5" s="2" t="s">
        <v>28</v>
      </c>
      <c r="B5">
        <v>1038</v>
      </c>
      <c r="C5">
        <v>1038</v>
      </c>
      <c r="E5" s="2" t="s">
        <v>28</v>
      </c>
      <c r="F5">
        <v>1038</v>
      </c>
    </row>
    <row r="6" spans="1:10" x14ac:dyDescent="0.3">
      <c r="A6" s="2" t="s">
        <v>24</v>
      </c>
      <c r="B6">
        <v>1200</v>
      </c>
      <c r="C6">
        <v>1200</v>
      </c>
      <c r="E6" s="2" t="s">
        <v>24</v>
      </c>
      <c r="F6">
        <v>1200</v>
      </c>
    </row>
    <row r="9" spans="1:10" ht="15.6" x14ac:dyDescent="0.3">
      <c r="A9" s="3" t="s">
        <v>31</v>
      </c>
      <c r="F9" s="3" t="s">
        <v>39</v>
      </c>
    </row>
    <row r="10" spans="1:10" x14ac:dyDescent="0.3">
      <c r="A10" s="1" t="s">
        <v>23</v>
      </c>
      <c r="B10" t="s">
        <v>45</v>
      </c>
      <c r="F10" s="1" t="s">
        <v>23</v>
      </c>
      <c r="G10" t="s">
        <v>22</v>
      </c>
      <c r="J10" t="s">
        <v>43</v>
      </c>
    </row>
    <row r="11" spans="1:10" x14ac:dyDescent="0.3">
      <c r="A11" s="2" t="s">
        <v>20</v>
      </c>
      <c r="B11">
        <v>391</v>
      </c>
      <c r="F11" s="2" t="s">
        <v>16</v>
      </c>
      <c r="G11">
        <v>17</v>
      </c>
      <c r="J11">
        <v>5444.0000000000064</v>
      </c>
    </row>
    <row r="12" spans="1:10" x14ac:dyDescent="0.3">
      <c r="A12" s="2" t="s">
        <v>14</v>
      </c>
      <c r="B12">
        <v>411</v>
      </c>
      <c r="F12" s="2" t="s">
        <v>13</v>
      </c>
      <c r="G12">
        <v>14</v>
      </c>
    </row>
    <row r="13" spans="1:10" x14ac:dyDescent="0.3">
      <c r="A13" s="2" t="s">
        <v>17</v>
      </c>
      <c r="B13">
        <v>398</v>
      </c>
      <c r="F13" s="2" t="s">
        <v>24</v>
      </c>
      <c r="G13">
        <v>31</v>
      </c>
    </row>
    <row r="14" spans="1:10" x14ac:dyDescent="0.3">
      <c r="A14" s="2" t="s">
        <v>24</v>
      </c>
      <c r="B14">
        <v>1200</v>
      </c>
    </row>
    <row r="16" spans="1:10" ht="15.6" x14ac:dyDescent="0.3">
      <c r="A16" s="3" t="s">
        <v>34</v>
      </c>
      <c r="F16" s="3" t="s">
        <v>41</v>
      </c>
      <c r="J16" t="s">
        <v>48</v>
      </c>
    </row>
    <row r="17" spans="1:10" x14ac:dyDescent="0.3">
      <c r="A17" s="1" t="s">
        <v>23</v>
      </c>
      <c r="B17" t="s">
        <v>32</v>
      </c>
      <c r="C17" t="s">
        <v>33</v>
      </c>
      <c r="F17" s="1" t="s">
        <v>23</v>
      </c>
      <c r="G17" t="s">
        <v>40</v>
      </c>
      <c r="J17">
        <v>1200</v>
      </c>
    </row>
    <row r="18" spans="1:10" x14ac:dyDescent="0.3">
      <c r="A18" s="2" t="s">
        <v>27</v>
      </c>
      <c r="B18">
        <v>911</v>
      </c>
      <c r="C18">
        <v>972</v>
      </c>
      <c r="F18" s="2">
        <v>0</v>
      </c>
      <c r="G18">
        <v>3495.5999999999954</v>
      </c>
    </row>
    <row r="19" spans="1:10" x14ac:dyDescent="0.3">
      <c r="A19" s="2" t="s">
        <v>28</v>
      </c>
      <c r="B19">
        <v>5624</v>
      </c>
      <c r="C19">
        <v>5792</v>
      </c>
      <c r="F19" s="2">
        <v>1</v>
      </c>
      <c r="G19">
        <v>92.860000000000014</v>
      </c>
    </row>
    <row r="20" spans="1:10" x14ac:dyDescent="0.3">
      <c r="A20" s="2" t="s">
        <v>24</v>
      </c>
      <c r="B20">
        <v>6535</v>
      </c>
      <c r="C20">
        <v>6764</v>
      </c>
      <c r="F20" s="2" t="s">
        <v>24</v>
      </c>
      <c r="G20">
        <v>3588.4599999999955</v>
      </c>
    </row>
    <row r="23" spans="1:10" x14ac:dyDescent="0.3">
      <c r="A23" s="1" t="s">
        <v>23</v>
      </c>
      <c r="B23" t="s">
        <v>42</v>
      </c>
    </row>
    <row r="24" spans="1:10" x14ac:dyDescent="0.3">
      <c r="A24" s="2" t="s">
        <v>27</v>
      </c>
      <c r="B24">
        <v>162</v>
      </c>
      <c r="D24" s="1" t="s">
        <v>23</v>
      </c>
      <c r="E24" t="s">
        <v>46</v>
      </c>
    </row>
    <row r="25" spans="1:10" x14ac:dyDescent="0.3">
      <c r="A25" s="4" t="s">
        <v>20</v>
      </c>
      <c r="B25">
        <v>48</v>
      </c>
      <c r="D25" s="2" t="s">
        <v>27</v>
      </c>
      <c r="E25">
        <v>162</v>
      </c>
    </row>
    <row r="26" spans="1:10" x14ac:dyDescent="0.3">
      <c r="A26" s="4" t="s">
        <v>14</v>
      </c>
      <c r="B26">
        <v>51</v>
      </c>
      <c r="D26" s="2" t="s">
        <v>28</v>
      </c>
      <c r="E26">
        <v>1038</v>
      </c>
    </row>
    <row r="27" spans="1:10" x14ac:dyDescent="0.3">
      <c r="A27" s="4" t="s">
        <v>17</v>
      </c>
      <c r="B27">
        <v>63</v>
      </c>
      <c r="D27" s="2" t="s">
        <v>24</v>
      </c>
      <c r="E27">
        <v>1200</v>
      </c>
    </row>
    <row r="28" spans="1:10" x14ac:dyDescent="0.3">
      <c r="A28" s="2" t="s">
        <v>28</v>
      </c>
      <c r="B28">
        <v>1038</v>
      </c>
    </row>
    <row r="29" spans="1:10" x14ac:dyDescent="0.3">
      <c r="A29" s="4" t="s">
        <v>20</v>
      </c>
      <c r="B29">
        <v>343</v>
      </c>
    </row>
    <row r="30" spans="1:10" x14ac:dyDescent="0.3">
      <c r="A30" s="4" t="s">
        <v>14</v>
      </c>
      <c r="B30">
        <v>360</v>
      </c>
      <c r="D30" s="1" t="s">
        <v>23</v>
      </c>
      <c r="E30" t="s">
        <v>44</v>
      </c>
    </row>
    <row r="31" spans="1:10" x14ac:dyDescent="0.3">
      <c r="A31" s="4" t="s">
        <v>17</v>
      </c>
      <c r="B31">
        <v>335</v>
      </c>
      <c r="D31" s="2" t="s">
        <v>18</v>
      </c>
      <c r="E31">
        <v>369</v>
      </c>
    </row>
    <row r="32" spans="1:10" x14ac:dyDescent="0.3">
      <c r="A32" s="2" t="s">
        <v>24</v>
      </c>
      <c r="B32">
        <v>1200</v>
      </c>
      <c r="D32" s="2" t="s">
        <v>15</v>
      </c>
      <c r="E32">
        <v>415</v>
      </c>
    </row>
    <row r="33" spans="4:5" x14ac:dyDescent="0.3">
      <c r="D33" s="2" t="s">
        <v>19</v>
      </c>
      <c r="E33">
        <v>416</v>
      </c>
    </row>
    <row r="34" spans="4:5" x14ac:dyDescent="0.3">
      <c r="D34" s="2" t="s">
        <v>24</v>
      </c>
      <c r="E34">
        <v>1200</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B0111-A804-4DDE-A7C8-672A290D7798}">
  <dimension ref="A1:X2"/>
  <sheetViews>
    <sheetView showGridLines="0" tabSelected="1" zoomScale="81" zoomScaleNormal="81" workbookViewId="0">
      <selection activeCell="Q13" sqref="Q13"/>
    </sheetView>
  </sheetViews>
  <sheetFormatPr defaultRowHeight="14.4" x14ac:dyDescent="0.3"/>
  <cols>
    <col min="1" max="24" width="8.88671875" style="5"/>
    <col min="25" max="16384" width="8.88671875" style="7"/>
  </cols>
  <sheetData>
    <row r="1" spans="1:24" customFormat="1" ht="17.399999999999999" customHeight="1" x14ac:dyDescent="0.3">
      <c r="A1" s="6" t="s">
        <v>21</v>
      </c>
      <c r="B1" s="6"/>
      <c r="C1" s="6"/>
      <c r="D1" s="6"/>
      <c r="E1" s="6"/>
      <c r="F1" s="6"/>
      <c r="G1" s="6"/>
      <c r="H1" s="6"/>
      <c r="I1" s="6"/>
      <c r="J1" s="6"/>
      <c r="K1" s="6"/>
      <c r="L1" s="6"/>
      <c r="M1" s="6"/>
      <c r="N1" s="6"/>
      <c r="O1" s="6"/>
      <c r="P1" s="6"/>
      <c r="Q1" s="6"/>
      <c r="R1" s="6"/>
      <c r="S1" s="6"/>
      <c r="T1" s="6"/>
      <c r="U1" s="6"/>
      <c r="V1" s="6"/>
      <c r="W1" s="6"/>
      <c r="X1" s="6"/>
    </row>
    <row r="2" spans="1:24" customFormat="1" x14ac:dyDescent="0.3">
      <c r="A2" s="6"/>
      <c r="B2" s="6"/>
      <c r="C2" s="6"/>
      <c r="D2" s="6"/>
      <c r="E2" s="6"/>
      <c r="F2" s="6"/>
      <c r="G2" s="6"/>
      <c r="H2" s="6"/>
      <c r="I2" s="6"/>
      <c r="J2" s="6"/>
      <c r="K2" s="6"/>
      <c r="L2" s="6"/>
      <c r="M2" s="6"/>
      <c r="N2" s="6"/>
      <c r="O2" s="6"/>
      <c r="P2" s="6"/>
      <c r="Q2" s="6"/>
      <c r="R2" s="6"/>
      <c r="S2" s="6"/>
      <c r="T2" s="6"/>
      <c r="U2" s="6"/>
      <c r="V2" s="6"/>
      <c r="W2" s="6"/>
      <c r="X2" s="6"/>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Teen_Mental_Health_Dataset</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SLIM 3i</dc:creator>
  <cp:lastModifiedBy>LAxmi Basavaraj</cp:lastModifiedBy>
  <dcterms:created xsi:type="dcterms:W3CDTF">2026-06-24T08:53:23Z</dcterms:created>
  <dcterms:modified xsi:type="dcterms:W3CDTF">2026-07-09T15:36:38Z</dcterms:modified>
</cp:coreProperties>
</file>